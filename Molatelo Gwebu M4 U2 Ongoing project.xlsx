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beautygwebu/Documents/Molatelo Gwebu/"/>
    </mc:Choice>
  </mc:AlternateContent>
  <xr:revisionPtr revIDLastSave="0" documentId="8_{C09993BF-02D8-9C48-B6B8-3E126C6AB295}" xr6:coauthVersionLast="47" xr6:coauthVersionMax="47" xr10:uidLastSave="{00000000-0000-0000-0000-000000000000}"/>
  <bookViews>
    <workbookView xWindow="0" yWindow="600" windowWidth="28800" windowHeight="16120" tabRatio="711" xr2:uid="{00000000-000D-0000-FFFF-FFFF00000000}"/>
  </bookViews>
  <sheets>
    <sheet name="Instructions" sheetId="1" r:id="rId1"/>
    <sheet name="Question 1 Data &amp; Answer" sheetId="2" r:id="rId2"/>
    <sheet name="Question 2 &amp; 3 Data" sheetId="3" r:id="rId3"/>
    <sheet name="Answer 2 Descriptive Statistics" sheetId="7" r:id="rId4"/>
    <sheet name="Answer 3 Pivot Table" sheetId="8" r:id="rId5"/>
    <sheet name="Question 4 Data &amp; Answer" sheetId="4" r:id="rId6"/>
    <sheet name="Answer. 4 ANOVA" sheetId="10" r:id="rId7"/>
    <sheet name="Question 5 Data" sheetId="5" r:id="rId8"/>
    <sheet name="Answer 5 Regression Analysis" sheetId="11" r:id="rId9"/>
    <sheet name="Question 5.1 - 5.3 Answer" sheetId="6" r:id="rId10"/>
  </sheet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nAs/Ybw9VJWTCq6pjAWFlcW/c4BkD+7jFj3fYpJ4mXw="/>
    </ext>
  </extLst>
</workbook>
</file>

<file path=xl/calcChain.xml><?xml version="1.0" encoding="utf-8"?>
<calcChain xmlns="http://schemas.openxmlformats.org/spreadsheetml/2006/main">
  <c r="F21" i="2" l="1"/>
  <c r="F5" i="4"/>
  <c r="F4" i="4"/>
  <c r="F3" i="4"/>
  <c r="F19" i="2"/>
  <c r="F17" i="2"/>
  <c r="F16" i="2"/>
  <c r="F15" i="2" a="1"/>
  <c r="F15" i="2" s="1"/>
  <c r="F14" i="2"/>
  <c r="F13" i="2"/>
  <c r="F12" i="2"/>
  <c r="F11" i="2"/>
  <c r="F10" i="2"/>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I3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<sst xmlns="http://schemas.openxmlformats.org/spreadsheetml/2006/main" count="21638" uniqueCount="4845">
  <si>
    <r>
      <rPr>
        <b/>
        <sz val="11"/>
        <color theme="1"/>
        <rFont val="Calibri"/>
        <family val="2"/>
      </rPr>
      <t xml:space="preserve">Learning outcomes:
</t>
    </r>
    <r>
      <rPr>
        <sz val="11"/>
        <color theme="1"/>
        <rFont val="Calibri"/>
        <family val="2"/>
      </rPr>
      <t xml:space="preserve">
</t>
    </r>
    <r>
      <rPr>
        <b/>
        <sz val="11"/>
        <color theme="1"/>
        <rFont val="Calibri"/>
        <family val="2"/>
      </rPr>
      <t xml:space="preserve">LO4: </t>
    </r>
    <r>
      <rPr>
        <sz val="11"/>
        <color theme="1"/>
        <rFont val="Calibri"/>
        <family val="2"/>
      </rPr>
      <t xml:space="preserve">Use Microsoft Excel to calculate central tendency, distribution, correlation, and dispersion.
</t>
    </r>
    <r>
      <rPr>
        <b/>
        <sz val="11"/>
        <color theme="1"/>
        <rFont val="Calibri"/>
        <family val="2"/>
      </rPr>
      <t xml:space="preserve">LO5: </t>
    </r>
    <r>
      <rPr>
        <sz val="11"/>
        <color theme="1"/>
        <rFont val="Calibri"/>
        <family val="2"/>
      </rPr>
      <t>Use Microsoft Excel to create and format pivot tables.</t>
    </r>
  </si>
  <si>
    <t>1. Instructions and guidelines (Read carefully)</t>
  </si>
  <si>
    <r>
      <rPr>
        <b/>
        <sz val="14"/>
        <color theme="1"/>
        <rFont val="Calibri"/>
        <family val="2"/>
      </rPr>
      <t>Instructions</t>
    </r>
    <r>
      <rPr>
        <b/>
        <sz val="11"/>
        <color theme="1"/>
        <rFont val="Calibri"/>
        <family val="2"/>
      </rPr>
      <t xml:space="preserve">
</t>
    </r>
    <r>
      <rPr>
        <sz val="11"/>
        <color theme="1"/>
        <rFont val="Calibri"/>
        <family val="2"/>
      </rPr>
      <t xml:space="preserve">
1. Insert your name and surname in the space provided above, as well as in the </t>
    </r>
    <r>
      <rPr>
        <b/>
        <sz val="11"/>
        <color theme="1"/>
        <rFont val="Calibri"/>
        <family val="2"/>
      </rPr>
      <t>file name</t>
    </r>
    <r>
      <rPr>
        <sz val="11"/>
        <color theme="1"/>
        <rFont val="Calibri"/>
        <family val="2"/>
      </rPr>
      <t xml:space="preserve">. Save the file as: </t>
    </r>
    <r>
      <rPr>
        <b/>
        <sz val="11"/>
        <color theme="1"/>
        <rFont val="Calibri"/>
        <family val="2"/>
      </rPr>
      <t>First name Surname M4 U2 Activity submission – e.g.</t>
    </r>
    <r>
      <rPr>
        <b/>
        <sz val="11"/>
        <color rgb="FF0070C0"/>
        <rFont val="Calibri (Body)"/>
      </rPr>
      <t xml:space="preserve"> </t>
    </r>
    <r>
      <rPr>
        <b/>
        <sz val="11"/>
        <color rgb="FF0070C0"/>
        <rFont val="Calibri"/>
        <family val="2"/>
      </rPr>
      <t>Lilly Smith M4 U2 Activity submission</t>
    </r>
    <r>
      <rPr>
        <b/>
        <sz val="11"/>
        <color rgb="FFA20000"/>
        <rFont val="Calibri"/>
        <family val="2"/>
      </rPr>
      <t>.</t>
    </r>
    <r>
      <rPr>
        <b/>
        <sz val="11"/>
        <color theme="1"/>
        <rFont val="Calibri"/>
        <family val="2"/>
      </rPr>
      <t xml:space="preserve"> NB!</t>
    </r>
    <r>
      <rPr>
        <sz val="11"/>
        <color theme="1"/>
        <rFont val="Calibri"/>
        <family val="2"/>
      </rPr>
      <t xml:space="preserve"> </t>
    </r>
    <r>
      <rPr>
        <i/>
        <sz val="11"/>
        <color theme="1"/>
        <rFont val="Calibri"/>
        <family val="2"/>
      </rPr>
      <t>Please ensure that you use the name that appears in your student profile on the Online Campus.</t>
    </r>
    <r>
      <rPr>
        <sz val="11"/>
        <color theme="1"/>
        <rFont val="Calibri"/>
        <family val="2"/>
      </rPr>
      <t xml:space="preserve">
2. Submit your assignment in </t>
    </r>
    <r>
      <rPr>
        <b/>
        <sz val="11"/>
        <color theme="1"/>
        <rFont val="Calibri"/>
        <family val="2"/>
      </rPr>
      <t>Excel only</t>
    </r>
    <r>
      <rPr>
        <sz val="11"/>
        <color theme="1"/>
        <rFont val="Calibri"/>
        <family val="2"/>
      </rPr>
      <t>. No other file types will be accepted.</t>
    </r>
  </si>
  <si>
    <r>
      <rPr>
        <b/>
        <sz val="11"/>
        <color theme="1"/>
        <rFont val="Calibri"/>
        <family val="2"/>
      </rPr>
      <t xml:space="preserve">IMPORTANT NOTICE: </t>
    </r>
    <r>
      <rPr>
        <sz val="11"/>
        <color theme="1"/>
        <rFont val="Calibri"/>
        <family val="2"/>
      </rPr>
      <t xml:space="preserve">Please ensure that you have checked your course calendar for the due date for this assignment. </t>
    </r>
  </si>
  <si>
    <r>
      <rPr>
        <b/>
        <sz val="16"/>
        <color rgb="FF7B7B7B"/>
        <rFont val="Calibri"/>
        <family val="2"/>
      </rPr>
      <t>2. Mark allocation</t>
    </r>
    <r>
      <rPr>
        <sz val="11"/>
        <color theme="1"/>
        <rFont val="Calibri"/>
        <family val="2"/>
      </rPr>
      <t xml:space="preserve">
Each question receives a mark allocation. However, you will only receive a final percentage mark and will not be given individual marks for each question. The mark allocation is there to show you the weighting and length of each question.
</t>
    </r>
    <r>
      <rPr>
        <b/>
        <sz val="11"/>
        <color theme="1"/>
        <rFont val="Calibri"/>
        <family val="2"/>
      </rPr>
      <t xml:space="preserve">     </t>
    </r>
  </si>
  <si>
    <r>
      <rPr>
        <b/>
        <sz val="11"/>
        <color theme="1"/>
        <rFont val="Calibri"/>
        <family val="2"/>
      </rPr>
      <t>Question 1:</t>
    </r>
    <r>
      <rPr>
        <sz val="11"/>
        <color theme="1"/>
        <rFont val="Calibri"/>
        <family val="2"/>
      </rPr>
      <t xml:space="preserve"> Using built-in functions                    </t>
    </r>
  </si>
  <si>
    <r>
      <rPr>
        <b/>
        <sz val="11"/>
        <color theme="1"/>
        <rFont val="Calibri"/>
        <family val="2"/>
      </rPr>
      <t>Question 2:</t>
    </r>
    <r>
      <rPr>
        <sz val="11"/>
        <color theme="1"/>
        <rFont val="Calibri"/>
        <family val="2"/>
      </rPr>
      <t xml:space="preserve"> Summarise the descriptive statistics</t>
    </r>
  </si>
  <si>
    <r>
      <rPr>
        <b/>
        <sz val="11"/>
        <color theme="1"/>
        <rFont val="Calibri"/>
        <family val="2"/>
      </rPr>
      <t xml:space="preserve">Question 3: </t>
    </r>
    <r>
      <rPr>
        <sz val="11"/>
        <color theme="1"/>
        <rFont val="Calibri"/>
        <family val="2"/>
      </rPr>
      <t>Creating a pivot table</t>
    </r>
  </si>
  <si>
    <r>
      <rPr>
        <b/>
        <sz val="11"/>
        <color theme="1"/>
        <rFont val="Calibri"/>
        <family val="2"/>
      </rPr>
      <t>Question 4:</t>
    </r>
    <r>
      <rPr>
        <sz val="11"/>
        <color theme="1"/>
        <rFont val="Calibri"/>
        <family val="2"/>
      </rPr>
      <t xml:space="preserve"> ANOVA</t>
    </r>
  </si>
  <si>
    <r>
      <rPr>
        <b/>
        <sz val="11"/>
        <color theme="1"/>
        <rFont val="Calibri"/>
        <family val="2"/>
      </rPr>
      <t>Question 5:</t>
    </r>
    <r>
      <rPr>
        <sz val="11"/>
        <color theme="1"/>
        <rFont val="Calibri"/>
        <family val="2"/>
      </rPr>
      <t xml:space="preserve"> Perform a regression analysis</t>
    </r>
  </si>
  <si>
    <t xml:space="preserve">TOTAL:                                                                  </t>
  </si>
  <si>
    <t>3. Questions</t>
  </si>
  <si>
    <r>
      <rPr>
        <b/>
        <sz val="11"/>
        <color rgb="FF0070C0"/>
        <rFont val="Calibri (Body)"/>
      </rPr>
      <t>Question 3</t>
    </r>
    <r>
      <rPr>
        <sz val="11"/>
        <color theme="1"/>
        <rFont val="Calibri"/>
        <family val="2"/>
      </rPr>
      <t xml:space="preserve">
Use the data in the </t>
    </r>
    <r>
      <rPr>
        <i/>
        <sz val="11"/>
        <color theme="1"/>
        <rFont val="Calibri"/>
        <family val="2"/>
      </rPr>
      <t>"</t>
    </r>
    <r>
      <rPr>
        <sz val="11"/>
        <color theme="1"/>
        <rFont val="Calibri"/>
        <family val="2"/>
      </rPr>
      <t>Question 2 &amp; 3"</t>
    </r>
    <r>
      <rPr>
        <i/>
        <sz val="11"/>
        <color theme="1"/>
        <rFont val="Calibri"/>
        <family val="2"/>
      </rPr>
      <t xml:space="preserve"> </t>
    </r>
    <r>
      <rPr>
        <sz val="11"/>
        <color theme="1"/>
        <rFont val="Calibri"/>
        <family val="2"/>
      </rPr>
      <t xml:space="preserve">tab to create a pivot table according to the following criteria:
1. Create your pivot table on a new worksheet, and name this worksheet </t>
    </r>
    <r>
      <rPr>
        <i/>
        <sz val="11"/>
        <color theme="1"/>
        <rFont val="Calibri"/>
        <family val="2"/>
      </rPr>
      <t>"</t>
    </r>
    <r>
      <rPr>
        <sz val="11"/>
        <color theme="1"/>
        <rFont val="Calibri"/>
        <family val="2"/>
      </rPr>
      <t>Answer 3 Pivot table</t>
    </r>
    <r>
      <rPr>
        <i/>
        <sz val="11"/>
        <color theme="1"/>
        <rFont val="Calibri"/>
        <family val="2"/>
      </rPr>
      <t>"</t>
    </r>
    <r>
      <rPr>
        <sz val="11"/>
        <color theme="1"/>
        <rFont val="Calibri"/>
        <family val="2"/>
      </rPr>
      <t>. This worksheet should appear next to the</t>
    </r>
    <r>
      <rPr>
        <i/>
        <sz val="11"/>
        <color theme="1"/>
        <rFont val="Calibri"/>
        <family val="2"/>
      </rPr>
      <t xml:space="preserve"> "</t>
    </r>
    <r>
      <rPr>
        <sz val="11"/>
        <color theme="1"/>
        <rFont val="Calibri"/>
        <family val="2"/>
      </rPr>
      <t>Answer 2 Descriptive Statistics</t>
    </r>
    <r>
      <rPr>
        <i/>
        <sz val="11"/>
        <color theme="1"/>
        <rFont val="Calibri"/>
        <family val="2"/>
      </rPr>
      <t>"</t>
    </r>
    <r>
      <rPr>
        <sz val="11"/>
        <color theme="1"/>
        <rFont val="Calibri"/>
        <family val="2"/>
      </rPr>
      <t xml:space="preserve"> tab you created to answer Question 2.
2. Create a pivot table that displays the Sales by Country by month. Filter the pivot table for year 2010, 2011.  Put the InvoiceMonth in the Column Labels, and the Country in the Row Labels. 
3. Ensure your pivot table includes grand totals and shows the % contribution by country to the sales total. Hint: use % of column.
4. Format the sales amount to use the thousands separator.</t>
    </r>
  </si>
  <si>
    <r>
      <rPr>
        <b/>
        <sz val="11"/>
        <color rgb="FF0070C0"/>
        <rFont val="Calibri (Body)"/>
      </rPr>
      <t xml:space="preserve">
Question 5</t>
    </r>
    <r>
      <rPr>
        <sz val="11"/>
        <color theme="1"/>
        <rFont val="Calibri"/>
        <family val="2"/>
      </rPr>
      <t xml:space="preserve">
The worksheet titled </t>
    </r>
    <r>
      <rPr>
        <i/>
        <sz val="11"/>
        <color theme="1"/>
        <rFont val="Calibri"/>
        <family val="2"/>
      </rPr>
      <t>"</t>
    </r>
    <r>
      <rPr>
        <sz val="11"/>
        <color theme="1"/>
        <rFont val="Calibri"/>
        <family val="2"/>
      </rPr>
      <t>Question 5 Data</t>
    </r>
    <r>
      <rPr>
        <i/>
        <sz val="11"/>
        <color theme="1"/>
        <rFont val="Calibri"/>
        <family val="2"/>
      </rPr>
      <t>"</t>
    </r>
    <r>
      <rPr>
        <sz val="11"/>
        <color theme="1"/>
        <rFont val="Calibri"/>
        <family val="2"/>
      </rPr>
      <t xml:space="preserve"> data related to the number of tracks sold according to the artist, album and song name, genre, and more. 
1. Perform a regression analysis for the quantity of tracks sold using the independent variables price, the maximum chart position, as well as the duration of the track. The duration of the track is represented by the Millieseconds column.
2. Create your regression analysis on a new worksheet, and name the worksheet </t>
    </r>
    <r>
      <rPr>
        <i/>
        <sz val="11"/>
        <color theme="1"/>
        <rFont val="Calibri"/>
        <family val="2"/>
      </rPr>
      <t>"</t>
    </r>
    <r>
      <rPr>
        <sz val="11"/>
        <color theme="1"/>
        <rFont val="Calibri"/>
        <family val="2"/>
      </rPr>
      <t>Answer 5 Regression Analysis</t>
    </r>
    <r>
      <rPr>
        <i/>
        <sz val="11"/>
        <color theme="1"/>
        <rFont val="Calibri"/>
        <family val="2"/>
      </rPr>
      <t>"</t>
    </r>
    <r>
      <rPr>
        <sz val="11"/>
        <color theme="1"/>
        <rFont val="Calibri"/>
        <family val="2"/>
      </rPr>
      <t xml:space="preserve">. This worksheet should appear after the </t>
    </r>
    <r>
      <rPr>
        <i/>
        <sz val="11"/>
        <color theme="1"/>
        <rFont val="Calibri"/>
        <family val="2"/>
      </rPr>
      <t>"</t>
    </r>
    <r>
      <rPr>
        <sz val="11"/>
        <color theme="1"/>
        <rFont val="Calibri"/>
        <family val="2"/>
      </rPr>
      <t>Question 5 Data</t>
    </r>
    <r>
      <rPr>
        <i/>
        <sz val="11"/>
        <color theme="1"/>
        <rFont val="Calibri"/>
        <family val="2"/>
      </rPr>
      <t>"</t>
    </r>
    <r>
      <rPr>
        <sz val="11"/>
        <color theme="1"/>
        <rFont val="Calibri"/>
        <family val="2"/>
      </rPr>
      <t xml:space="preserve"> tab.
3. Once you have completed the regression analysis, answer the questions in the worksheet titled "Question 5.1 - 5.3" based on this regression analysis. Answer the three questions (Question 5.1 - 5.3)  in the spaces provided in the worksheet. Please note that your answer should not exceed the space provided, approximately 50 words for Questions 5.2 and 5.3.
</t>
    </r>
  </si>
  <si>
    <t xml:space="preserve">
</t>
  </si>
  <si>
    <t>InvoiceId</t>
  </si>
  <si>
    <t>CustomerID</t>
  </si>
  <si>
    <t>SalesAmount</t>
  </si>
  <si>
    <t>Answer here:</t>
  </si>
  <si>
    <t>SalesAmount:</t>
  </si>
  <si>
    <t>Mean</t>
  </si>
  <si>
    <t>Median</t>
  </si>
  <si>
    <t>Mode</t>
  </si>
  <si>
    <t>Highest invoice</t>
  </si>
  <si>
    <t>Lowest invoice</t>
  </si>
  <si>
    <t>Range</t>
  </si>
  <si>
    <t>Variance</t>
  </si>
  <si>
    <t>Standard deviation</t>
  </si>
  <si>
    <t>CustomerID:</t>
  </si>
  <si>
    <t>Most purchases by one customer</t>
  </si>
  <si>
    <t>Number of purchases made:</t>
  </si>
  <si>
    <t>CustomerId</t>
  </si>
  <si>
    <t>InvoiceMonth</t>
  </si>
  <si>
    <t>SalesDate</t>
  </si>
  <si>
    <t>BillingAddress</t>
  </si>
  <si>
    <t>BillingCity</t>
  </si>
  <si>
    <t>BillingState</t>
  </si>
  <si>
    <t>BillingCountry</t>
  </si>
  <si>
    <t>Theodor-Heuss-Straße 34</t>
  </si>
  <si>
    <t>Stuttgart</t>
  </si>
  <si>
    <t>Germany</t>
  </si>
  <si>
    <t>Ullevålsveien 14</t>
  </si>
  <si>
    <t>Oslo</t>
  </si>
  <si>
    <t>Norway</t>
  </si>
  <si>
    <t>Grétrystraat 63</t>
  </si>
  <si>
    <t>Brussels</t>
  </si>
  <si>
    <t>Belgium</t>
  </si>
  <si>
    <t>8210 111 ST NW</t>
  </si>
  <si>
    <t>Edmonton</t>
  </si>
  <si>
    <t>AB</t>
  </si>
  <si>
    <t>Canada</t>
  </si>
  <si>
    <t>69 Salem Street</t>
  </si>
  <si>
    <t>Boston</t>
  </si>
  <si>
    <t>MA</t>
  </si>
  <si>
    <t>Berger Straße 10</t>
  </si>
  <si>
    <t>Frankfurt</t>
  </si>
  <si>
    <t>Barbarossastraße 19</t>
  </si>
  <si>
    <t>Berlin</t>
  </si>
  <si>
    <t>8, Rue Hanovre</t>
  </si>
  <si>
    <t>Paris</t>
  </si>
  <si>
    <t>France</t>
  </si>
  <si>
    <t>9, Place Louis Barthou</t>
  </si>
  <si>
    <t>Bordeaux</t>
  </si>
  <si>
    <t>3 Chatham Street</t>
  </si>
  <si>
    <t>Dublin</t>
  </si>
  <si>
    <t>Ireland</t>
  </si>
  <si>
    <t>202 Hoxton Street</t>
  </si>
  <si>
    <t>London</t>
  </si>
  <si>
    <t>1600 Amphitheatre Parkway</t>
  </si>
  <si>
    <t>Mountain View</t>
  </si>
  <si>
    <t>CA</t>
  </si>
  <si>
    <t>1 Microsoft Way</t>
  </si>
  <si>
    <t>Redmond</t>
  </si>
  <si>
    <t>WA</t>
  </si>
  <si>
    <t>1 Infinite Loop</t>
  </si>
  <si>
    <t>Cupertino</t>
  </si>
  <si>
    <t>801 W 4th Street</t>
  </si>
  <si>
    <t>Reno</t>
  </si>
  <si>
    <t>NV</t>
  </si>
  <si>
    <t>319 N. Frances Street</t>
  </si>
  <si>
    <t>Madison</t>
  </si>
  <si>
    <t>WI</t>
  </si>
  <si>
    <t>194A Chain Lake Drive</t>
  </si>
  <si>
    <t>Halifax</t>
  </si>
  <si>
    <t>NS</t>
  </si>
  <si>
    <t>110 Raeburn Pl</t>
  </si>
  <si>
    <t xml:space="preserve">Edinburgh </t>
  </si>
  <si>
    <t>421 Bourke Street</t>
  </si>
  <si>
    <t>Sidney</t>
  </si>
  <si>
    <t>NSW</t>
  </si>
  <si>
    <t>Australia</t>
  </si>
  <si>
    <t>Calle Lira, 198</t>
  </si>
  <si>
    <t>Santiago</t>
  </si>
  <si>
    <t>Chile</t>
  </si>
  <si>
    <t>3,Raj Bhavan Road</t>
  </si>
  <si>
    <t>Bangalore</t>
  </si>
  <si>
    <t>India</t>
  </si>
  <si>
    <t>Rua Dr. Falcão Filho, 155</t>
  </si>
  <si>
    <t>São Paulo</t>
  </si>
  <si>
    <t>SP</t>
  </si>
  <si>
    <t>Brazil</t>
  </si>
  <si>
    <t>5112 48 Street</t>
  </si>
  <si>
    <t>Yellowknife</t>
  </si>
  <si>
    <t>NT</t>
  </si>
  <si>
    <t>Rua da Assunção 53</t>
  </si>
  <si>
    <t>Lisbon</t>
  </si>
  <si>
    <t>Portugal</t>
  </si>
  <si>
    <t>Tauentzienstraße 8</t>
  </si>
  <si>
    <t>Lijnbaansgracht 120bg</t>
  </si>
  <si>
    <t>Amsterdam</t>
  </si>
  <si>
    <t>VV</t>
  </si>
  <si>
    <t>Netherlands</t>
  </si>
  <si>
    <t>Praça Pio X, 119</t>
  </si>
  <si>
    <t>Rio de Janeiro</t>
  </si>
  <si>
    <t>RJ</t>
  </si>
  <si>
    <t>Qe 7 Bloco G</t>
  </si>
  <si>
    <t>Brasília</t>
  </si>
  <si>
    <t>DF</t>
  </si>
  <si>
    <t>700 W Pender Street</t>
  </si>
  <si>
    <t>Vancouver</t>
  </si>
  <si>
    <t>BC</t>
  </si>
  <si>
    <t>1033 N Park Ave</t>
  </si>
  <si>
    <t>Tucson</t>
  </si>
  <si>
    <t>AZ</t>
  </si>
  <si>
    <t>C/ San Bernardo 85</t>
  </si>
  <si>
    <t>Madrid</t>
  </si>
  <si>
    <t>Spain</t>
  </si>
  <si>
    <t>Celsiusg. 9</t>
  </si>
  <si>
    <t>Stockholm</t>
  </si>
  <si>
    <t>Sweden</t>
  </si>
  <si>
    <t>113 Lupus St</t>
  </si>
  <si>
    <t>Rilská 3174/6</t>
  </si>
  <si>
    <t>Prague</t>
  </si>
  <si>
    <t>Czech Republic</t>
  </si>
  <si>
    <t>796 Dundas Street West</t>
  </si>
  <si>
    <t>Toronto</t>
  </si>
  <si>
    <t>ON</t>
  </si>
  <si>
    <t>230 Elgin Street</t>
  </si>
  <si>
    <t>Ottawa</t>
  </si>
  <si>
    <t>696 Osborne Street</t>
  </si>
  <si>
    <t>Winnipeg</t>
  </si>
  <si>
    <t>MB</t>
  </si>
  <si>
    <t>Porthaninkatu 9</t>
  </si>
  <si>
    <t>Helsinki</t>
  </si>
  <si>
    <t>Finland</t>
  </si>
  <si>
    <t>Sønder Boulevard 51</t>
  </si>
  <si>
    <t>Copenhagen</t>
  </si>
  <si>
    <t>Denmark</t>
  </si>
  <si>
    <t>Av. Paulista, 2022</t>
  </si>
  <si>
    <t>Via Degli Scipioni, 43</t>
  </si>
  <si>
    <t>Rome</t>
  </si>
  <si>
    <t>RM</t>
  </si>
  <si>
    <t>Italy</t>
  </si>
  <si>
    <t>Ordynacka 10</t>
  </si>
  <si>
    <t>Warsaw</t>
  </si>
  <si>
    <t>Poland</t>
  </si>
  <si>
    <t>2211 W Berry Street</t>
  </si>
  <si>
    <t>Fort Worth</t>
  </si>
  <si>
    <t>TX</t>
  </si>
  <si>
    <t>302 S 700 E</t>
  </si>
  <si>
    <t>Salt Lake City</t>
  </si>
  <si>
    <t>UT</t>
  </si>
  <si>
    <t>Klanova 9/506</t>
  </si>
  <si>
    <t>Rotenturmstraße 4, 1010 Innere Stadt</t>
  </si>
  <si>
    <t>Vienne</t>
  </si>
  <si>
    <t>Austria</t>
  </si>
  <si>
    <t>68, Rue Jouvence</t>
  </si>
  <si>
    <t>Dijon</t>
  </si>
  <si>
    <t>Erzsébet krt. 58.</t>
  </si>
  <si>
    <t>Budapest</t>
  </si>
  <si>
    <t>Hungary</t>
  </si>
  <si>
    <t>120 S Orange Ave</t>
  </si>
  <si>
    <t>Orlando</t>
  </si>
  <si>
    <t>FL</t>
  </si>
  <si>
    <t>162 E Superior Street</t>
  </si>
  <si>
    <t>Chicago</t>
  </si>
  <si>
    <t>IL</t>
  </si>
  <si>
    <t>Av. Brigadeiro Faria Lima, 2170</t>
  </si>
  <si>
    <t>São José dos Campos</t>
  </si>
  <si>
    <t>1498 rue Bélanger</t>
  </si>
  <si>
    <t>Montréal</t>
  </si>
  <si>
    <t>QC</t>
  </si>
  <si>
    <t>4, Rue Milton</t>
  </si>
  <si>
    <t>11, Place Bellecour</t>
  </si>
  <si>
    <t>Lyon</t>
  </si>
  <si>
    <t>627 Broadway</t>
  </si>
  <si>
    <t>New York</t>
  </si>
  <si>
    <t>NY</t>
  </si>
  <si>
    <t>541 Del Medio Avenue</t>
  </si>
  <si>
    <t>307 Macacha Güemes</t>
  </si>
  <si>
    <t>Buenos Aires</t>
  </si>
  <si>
    <t>Argentina</t>
  </si>
  <si>
    <t>12,Community Centre</t>
  </si>
  <si>
    <t>Delhi</t>
  </si>
  <si>
    <t>Rua dos Campeões Europeus de Viena, 4350</t>
  </si>
  <si>
    <t>Porto</t>
  </si>
  <si>
    <t>TrackId</t>
  </si>
  <si>
    <t>TrackName</t>
  </si>
  <si>
    <t>AlbumTitle</t>
  </si>
  <si>
    <t>Artist</t>
  </si>
  <si>
    <t>MediaType</t>
  </si>
  <si>
    <t>Genre</t>
  </si>
  <si>
    <t>Composer</t>
  </si>
  <si>
    <t>Bytes</t>
  </si>
  <si>
    <t>Milliseconds</t>
  </si>
  <si>
    <t>UnitPrice</t>
  </si>
  <si>
    <t>ChartPosition</t>
  </si>
  <si>
    <t>QuantitySold</t>
  </si>
  <si>
    <t>For Those About To Rock (We Salute You)</t>
  </si>
  <si>
    <t>For Those About To Rock We Salute You</t>
  </si>
  <si>
    <t>AC/DC</t>
  </si>
  <si>
    <t>MPEG audio file</t>
  </si>
  <si>
    <t>Rock</t>
  </si>
  <si>
    <t>Angus Young, Malcolm Young, Brian Johnson</t>
  </si>
  <si>
    <t>Balls to the Wall</t>
  </si>
  <si>
    <t>Accept</t>
  </si>
  <si>
    <t>Protected AAC audio file</t>
  </si>
  <si>
    <t>Fast As a Shark</t>
  </si>
  <si>
    <t>Restless and Wild</t>
  </si>
  <si>
    <t>F. Baltes, S. Kaufman, U. Dirkscneider &amp; W. Hoffman</t>
  </si>
  <si>
    <t>F. Baltes, R.A. Smith-Diesel, S. Kaufman, U. Dirkscneider &amp; W. Hoffman</t>
  </si>
  <si>
    <t>Princess of the Dawn</t>
  </si>
  <si>
    <t>Deaffy &amp; R.A. Smith-Diesel</t>
  </si>
  <si>
    <t>Put The Finger On You</t>
  </si>
  <si>
    <t>Let's Get It Up</t>
  </si>
  <si>
    <t>Inject The Venom</t>
  </si>
  <si>
    <t>Snowballed</t>
  </si>
  <si>
    <t>Evil Walks</t>
  </si>
  <si>
    <t>C.O.D.</t>
  </si>
  <si>
    <t>Breaking The Rules</t>
  </si>
  <si>
    <t>Night Of The Long Knives</t>
  </si>
  <si>
    <t>Spellbound</t>
  </si>
  <si>
    <t>Go Down</t>
  </si>
  <si>
    <t>Let There Be Rock</t>
  </si>
  <si>
    <t>Dog Eat Dog</t>
  </si>
  <si>
    <t>Bad Boy Boogie</t>
  </si>
  <si>
    <t>Problem Child</t>
  </si>
  <si>
    <t>Overdose</t>
  </si>
  <si>
    <t>Hell Ain't A Bad Place To Be</t>
  </si>
  <si>
    <t>Whole Lotta Rosie</t>
  </si>
  <si>
    <t>Walk On Water</t>
  </si>
  <si>
    <t>Big Ones</t>
  </si>
  <si>
    <t>Aerosmith</t>
  </si>
  <si>
    <t>Steven Tyler, Joe Perry, Jack Blades, Tommy Shaw</t>
  </si>
  <si>
    <t>Love In An Elevator</t>
  </si>
  <si>
    <t>Steven Tyler, Joe Perry</t>
  </si>
  <si>
    <t>Rag Doll</t>
  </si>
  <si>
    <t>Steven Tyler, Joe Perry, Jim Vallance, Holly Knight</t>
  </si>
  <si>
    <t>What It Takes</t>
  </si>
  <si>
    <t>Steven Tyler, Joe Perry, Desmond Child</t>
  </si>
  <si>
    <t>Dude (Looks Like A Lady)</t>
  </si>
  <si>
    <t>Janie's Got A Gun</t>
  </si>
  <si>
    <t>Steven Tyler, Tom Hamilton</t>
  </si>
  <si>
    <t>Cryin'</t>
  </si>
  <si>
    <t>Steven Tyler, Joe Perry, Taylor Rhodes</t>
  </si>
  <si>
    <t>Amazing</t>
  </si>
  <si>
    <t>Steven Tyler, Richie Supa</t>
  </si>
  <si>
    <t>Blind Man</t>
  </si>
  <si>
    <t>Deuces Are Wild</t>
  </si>
  <si>
    <t>Steven Tyler, Jim Vallance</t>
  </si>
  <si>
    <t>The Other Side</t>
  </si>
  <si>
    <t>Crazy</t>
  </si>
  <si>
    <t>Eat The Rich</t>
  </si>
  <si>
    <t>Steven Tyler, Joe Perry, Jim Vallance</t>
  </si>
  <si>
    <t>Angel</t>
  </si>
  <si>
    <t>Steven Tyler, Desmond Child</t>
  </si>
  <si>
    <t>Livin' On The Edge</t>
  </si>
  <si>
    <t>Steven Tyler, Joe Perry, Mark Hudson</t>
  </si>
  <si>
    <t>All I Really Want</t>
  </si>
  <si>
    <t>Jagged Little Pill</t>
  </si>
  <si>
    <t>Alanis Morissette</t>
  </si>
  <si>
    <t>Alanis Morissette &amp; Glenn Ballard</t>
  </si>
  <si>
    <t>You Oughta Know</t>
  </si>
  <si>
    <t>Perfect</t>
  </si>
  <si>
    <t>Hand In My Pocket</t>
  </si>
  <si>
    <t>Right Through You</t>
  </si>
  <si>
    <t>Forgiven</t>
  </si>
  <si>
    <t>You Learn</t>
  </si>
  <si>
    <t>Head Over Feet</t>
  </si>
  <si>
    <t>Mary Jane</t>
  </si>
  <si>
    <t>Ironic</t>
  </si>
  <si>
    <t>Not The Doctor</t>
  </si>
  <si>
    <t>Wake Up</t>
  </si>
  <si>
    <t>You Oughta Know (Alternate)</t>
  </si>
  <si>
    <t>We Die Young</t>
  </si>
  <si>
    <t>Facelift</t>
  </si>
  <si>
    <t>Alice In Chains</t>
  </si>
  <si>
    <t>Jerry Cantrell</t>
  </si>
  <si>
    <t>Man In The Box</t>
  </si>
  <si>
    <t>Jerry Cantrell, Layne Staley</t>
  </si>
  <si>
    <t>Sea Of Sorrow</t>
  </si>
  <si>
    <t>Bleed The Freak</t>
  </si>
  <si>
    <t>I Can't Remember</t>
  </si>
  <si>
    <t>Love, Hate, Love</t>
  </si>
  <si>
    <t>It Ain't Like That</t>
  </si>
  <si>
    <t>Jerry Cantrell, Michael Starr, Sean Kinney</t>
  </si>
  <si>
    <t>Sunshine</t>
  </si>
  <si>
    <t>Put You Down</t>
  </si>
  <si>
    <t>Confusion</t>
  </si>
  <si>
    <t>Jerry Cantrell, Michael Starr, Layne Staley</t>
  </si>
  <si>
    <t>I Know Somethin (Bout You)</t>
  </si>
  <si>
    <t>Real Thing</t>
  </si>
  <si>
    <t>Desafinado</t>
  </si>
  <si>
    <t>Warner 25 Anos</t>
  </si>
  <si>
    <t>Antônio Carlos Jobim</t>
  </si>
  <si>
    <t>Jazz</t>
  </si>
  <si>
    <t>Garota De Ipanema</t>
  </si>
  <si>
    <t>Samba De Uma Nota Só (One Note Samba)</t>
  </si>
  <si>
    <t>Por Causa De Você</t>
  </si>
  <si>
    <t>Ligia</t>
  </si>
  <si>
    <t>Fotografia</t>
  </si>
  <si>
    <t>Dindi (Dindi)</t>
  </si>
  <si>
    <t>Se Todos Fossem Iguais A Você (Instrumental)</t>
  </si>
  <si>
    <t>Falando De Amor</t>
  </si>
  <si>
    <t>Angela</t>
  </si>
  <si>
    <t>Corcovado (Quiet Nights Of Quiet Stars)</t>
  </si>
  <si>
    <t>Outra Vez</t>
  </si>
  <si>
    <t>O Boto (Bôto)</t>
  </si>
  <si>
    <t>Canta, Canta Mais</t>
  </si>
  <si>
    <t>Enter Sandman</t>
  </si>
  <si>
    <t>Plays Metallica By Four Cellos</t>
  </si>
  <si>
    <t>Apocalyptica</t>
  </si>
  <si>
    <t>Metal</t>
  </si>
  <si>
    <t>Master Of Puppets</t>
  </si>
  <si>
    <t>Harvester Of Sorrow</t>
  </si>
  <si>
    <t>The Unforgiven</t>
  </si>
  <si>
    <t>Sad But True</t>
  </si>
  <si>
    <t>Creeping Death</t>
  </si>
  <si>
    <t>Wherever I May Roam</t>
  </si>
  <si>
    <t>Welcome Home (Sanitarium)</t>
  </si>
  <si>
    <t>Cochise</t>
  </si>
  <si>
    <t>Audioslave</t>
  </si>
  <si>
    <t>Audioslave/Chris Cornell</t>
  </si>
  <si>
    <t>Show Me How to Live</t>
  </si>
  <si>
    <t>Gasoline</t>
  </si>
  <si>
    <t>What You Are</t>
  </si>
  <si>
    <t>Like a Stone</t>
  </si>
  <si>
    <t>Set It Off</t>
  </si>
  <si>
    <t>Shadow on the Sun</t>
  </si>
  <si>
    <t>I am the Highway</t>
  </si>
  <si>
    <t>Exploder</t>
  </si>
  <si>
    <t>Hypnotize</t>
  </si>
  <si>
    <t>Bring'em Back Alive</t>
  </si>
  <si>
    <t>Light My Way</t>
  </si>
  <si>
    <t>Getaway Car</t>
  </si>
  <si>
    <t>The Last Remaining Light</t>
  </si>
  <si>
    <t>Your Time Has Come</t>
  </si>
  <si>
    <t>Out Of Exile</t>
  </si>
  <si>
    <t>Alternative &amp; Punk</t>
  </si>
  <si>
    <t>Cornell, Commerford, Morello, Wilk</t>
  </si>
  <si>
    <t>Be Yourself</t>
  </si>
  <si>
    <t>Doesn't Remind Me</t>
  </si>
  <si>
    <t>Drown Me Slowly</t>
  </si>
  <si>
    <t>Heaven's Dead</t>
  </si>
  <si>
    <t>The Worm</t>
  </si>
  <si>
    <t>Man Or Animal</t>
  </si>
  <si>
    <t>Yesterday To Tomorrow</t>
  </si>
  <si>
    <t>Dandelion</t>
  </si>
  <si>
    <t>#1 Zero</t>
  </si>
  <si>
    <t>The Curse</t>
  </si>
  <si>
    <t>Money</t>
  </si>
  <si>
    <t>BackBeat Soundtrack</t>
  </si>
  <si>
    <t>BackBeat</t>
  </si>
  <si>
    <t>Rock And Roll</t>
  </si>
  <si>
    <t>Berry Gordy, Jr./Janie Bradford</t>
  </si>
  <si>
    <t>Long Tall Sally</t>
  </si>
  <si>
    <t>Enotris Johnson/Little Richard/Robert "Bumps" Blackwell</t>
  </si>
  <si>
    <t>Bad Boy</t>
  </si>
  <si>
    <t>Larry Williams</t>
  </si>
  <si>
    <t>Twist And Shout</t>
  </si>
  <si>
    <t>Bert Russell/Phil Medley</t>
  </si>
  <si>
    <t>Please Mr. Postman</t>
  </si>
  <si>
    <t>Brian Holland/Freddie Gorman/Georgia Dobbins/Robert Bateman/William Garrett</t>
  </si>
  <si>
    <t>C'Mon Everybody</t>
  </si>
  <si>
    <t>Eddie Cochran/Jerry Capehart</t>
  </si>
  <si>
    <t>Rock 'N' Roll Music</t>
  </si>
  <si>
    <t>Chuck Berry</t>
  </si>
  <si>
    <t>Slow Down</t>
  </si>
  <si>
    <t>Roadrunner</t>
  </si>
  <si>
    <t>Bo Diddley</t>
  </si>
  <si>
    <t>Carol</t>
  </si>
  <si>
    <t>Good Golly Miss Molly</t>
  </si>
  <si>
    <t>Little Richard</t>
  </si>
  <si>
    <t>20 Flight Rock</t>
  </si>
  <si>
    <t>Ned Fairchild</t>
  </si>
  <si>
    <t>Quadrant</t>
  </si>
  <si>
    <t>The Best Of Billy Cobham</t>
  </si>
  <si>
    <t>Billy Cobham</t>
  </si>
  <si>
    <t>Snoopy's search-Red baron</t>
  </si>
  <si>
    <t>Spanish moss-"A sound portrait"-Spanish moss</t>
  </si>
  <si>
    <t>Moon germs</t>
  </si>
  <si>
    <t>Stratus</t>
  </si>
  <si>
    <t>The pleasant pheasant</t>
  </si>
  <si>
    <t>Solo-Panhandler</t>
  </si>
  <si>
    <t>Do what cha wanna</t>
  </si>
  <si>
    <t>George Duke</t>
  </si>
  <si>
    <t>Intro/ Low Down</t>
  </si>
  <si>
    <t>Alcohol Fueled Brewtality Live! [Disc 1]</t>
  </si>
  <si>
    <t>Black Label Society</t>
  </si>
  <si>
    <t>13 Years Of Grief</t>
  </si>
  <si>
    <t>Stronger Than Death</t>
  </si>
  <si>
    <t>All For You</t>
  </si>
  <si>
    <t>Super Terrorizer</t>
  </si>
  <si>
    <t>Phoney Smile Fake Hellos</t>
  </si>
  <si>
    <t>Lost My Better Half</t>
  </si>
  <si>
    <t>Bored To Tears</t>
  </si>
  <si>
    <t>A.N.D.R.O.T.A.Z.</t>
  </si>
  <si>
    <t>Born To Booze</t>
  </si>
  <si>
    <t>World Of Trouble</t>
  </si>
  <si>
    <t>No More Tears</t>
  </si>
  <si>
    <t>The Begining... At Last</t>
  </si>
  <si>
    <t>Heart Of Gold</t>
  </si>
  <si>
    <t>Alcohol Fueled Brewtality Live! [Disc 2]</t>
  </si>
  <si>
    <t>Snowblind</t>
  </si>
  <si>
    <t>Like A Bird</t>
  </si>
  <si>
    <t>Blood In The Wall</t>
  </si>
  <si>
    <t>The Beginning...At Last</t>
  </si>
  <si>
    <t>Black Sabbath</t>
  </si>
  <si>
    <t>The Wizard</t>
  </si>
  <si>
    <t>Behind The Wall Of Sleep</t>
  </si>
  <si>
    <t>N.I.B.</t>
  </si>
  <si>
    <t>Evil Woman</t>
  </si>
  <si>
    <t>Sleeping Village</t>
  </si>
  <si>
    <t>Warning</t>
  </si>
  <si>
    <t>Wheels Of Confusion / The Straightener</t>
  </si>
  <si>
    <t>Black Sabbath Vol. 4 (Remaster)</t>
  </si>
  <si>
    <t>Tony Iommi, Bill Ward, Geezer Butler, Ozzy Osbourne</t>
  </si>
  <si>
    <t>Tomorrow's Dream</t>
  </si>
  <si>
    <t>Changes</t>
  </si>
  <si>
    <t>FX</t>
  </si>
  <si>
    <t>Supernaut</t>
  </si>
  <si>
    <t>Cornucopia</t>
  </si>
  <si>
    <t>Laguna Sunrise</t>
  </si>
  <si>
    <t>St. Vitus Dance</t>
  </si>
  <si>
    <t>Under The Sun/Every Day Comes and Goes</t>
  </si>
  <si>
    <t>Smoked Pork</t>
  </si>
  <si>
    <t>Body Count</t>
  </si>
  <si>
    <t>Body Count's In The House</t>
  </si>
  <si>
    <t>Now Sports</t>
  </si>
  <si>
    <t>A Statistic</t>
  </si>
  <si>
    <t>Bowels Of The Devil</t>
  </si>
  <si>
    <t>The Real Problem</t>
  </si>
  <si>
    <t>KKK Bitch</t>
  </si>
  <si>
    <t>D Note</t>
  </si>
  <si>
    <t>Voodoo</t>
  </si>
  <si>
    <t>The Winner Loses</t>
  </si>
  <si>
    <t>There Goes The Neighborhood</t>
  </si>
  <si>
    <t>Oprah</t>
  </si>
  <si>
    <t>Evil Dick</t>
  </si>
  <si>
    <t>Body Count Anthem</t>
  </si>
  <si>
    <t>Momma's Gotta Die Tonight</t>
  </si>
  <si>
    <t>Freedom Of Speech</t>
  </si>
  <si>
    <t>King In Crimson</t>
  </si>
  <si>
    <t>Chemical Wedding</t>
  </si>
  <si>
    <t>Bruce Dickinson</t>
  </si>
  <si>
    <t>Roy Z</t>
  </si>
  <si>
    <t>The Tower</t>
  </si>
  <si>
    <t>Killing Floor</t>
  </si>
  <si>
    <t>Adrian Smith</t>
  </si>
  <si>
    <t>Book Of Thel</t>
  </si>
  <si>
    <t>Eddie Casillas/Roy Z</t>
  </si>
  <si>
    <t>Gates Of Urizen</t>
  </si>
  <si>
    <t>Jerusalem</t>
  </si>
  <si>
    <t>Trupets Of Jericho</t>
  </si>
  <si>
    <t>Machine Men</t>
  </si>
  <si>
    <t>The Alchemist</t>
  </si>
  <si>
    <t>Realword</t>
  </si>
  <si>
    <t>First Time I Met The Blues</t>
  </si>
  <si>
    <t>The Best Of Buddy Guy - The Millenium Collection</t>
  </si>
  <si>
    <t>Buddy Guy</t>
  </si>
  <si>
    <t>Blues</t>
  </si>
  <si>
    <t>Eurreal Montgomery</t>
  </si>
  <si>
    <t>Let Me Love You Baby</t>
  </si>
  <si>
    <t>Willie Dixon</t>
  </si>
  <si>
    <t>Stone Crazy</t>
  </si>
  <si>
    <t>Pretty Baby</t>
  </si>
  <si>
    <t>When My Left Eye Jumps</t>
  </si>
  <si>
    <t>Al Perkins/Willie Dixon</t>
  </si>
  <si>
    <t>Leave My Girl Alone</t>
  </si>
  <si>
    <t>She Suits Me To A Tee</t>
  </si>
  <si>
    <t>Keep It To Myself (Aka Keep It To Yourself)</t>
  </si>
  <si>
    <t>Sonny Boy Williamson [I]</t>
  </si>
  <si>
    <t>My Time After Awhile</t>
  </si>
  <si>
    <t>Robert Geddins/Ron Badger/Sheldon Feinberg</t>
  </si>
  <si>
    <t>Too Many Ways (Alternate)</t>
  </si>
  <si>
    <t>Talkin' 'Bout Women Obviously</t>
  </si>
  <si>
    <t>Amos Blakemore/Buddy Guy</t>
  </si>
  <si>
    <t>Jorge Da Capadócia</t>
  </si>
  <si>
    <t>Prenda Minha</t>
  </si>
  <si>
    <t>Caetano Veloso</t>
  </si>
  <si>
    <t>Latin</t>
  </si>
  <si>
    <t>Jorge Ben</t>
  </si>
  <si>
    <t>Tradicional</t>
  </si>
  <si>
    <t>Meditação</t>
  </si>
  <si>
    <t>Tom Jobim - Newton Mendoça</t>
  </si>
  <si>
    <t>Terra</t>
  </si>
  <si>
    <t>Eclipse Oculto</t>
  </si>
  <si>
    <t>Texto "Verdade Tropical"</t>
  </si>
  <si>
    <t>Bem Devagar</t>
  </si>
  <si>
    <t>Gilberto Gil</t>
  </si>
  <si>
    <t>Drão</t>
  </si>
  <si>
    <t>Saudosismo</t>
  </si>
  <si>
    <t>Carolina</t>
  </si>
  <si>
    <t>Chico Buarque</t>
  </si>
  <si>
    <t>Sozinho</t>
  </si>
  <si>
    <t>Peninha</t>
  </si>
  <si>
    <t>Esse Cara</t>
  </si>
  <si>
    <t>Mel</t>
  </si>
  <si>
    <t>Caetano Veloso - Waly Salomão</t>
  </si>
  <si>
    <t>Linha Do Equador</t>
  </si>
  <si>
    <t>Caetano Veloso - Djavan</t>
  </si>
  <si>
    <t>Odara</t>
  </si>
  <si>
    <t>A Luz De Tieta</t>
  </si>
  <si>
    <t>Atrás Da Verd-E-Rosa Só Não Vai Quem Já Morreu</t>
  </si>
  <si>
    <t>David Corrêa - Paulinho Carvalho - Carlos Sena - Bira do Ponto</t>
  </si>
  <si>
    <t>Vida Boa</t>
  </si>
  <si>
    <t>Fausto Nilo - Armandinho</t>
  </si>
  <si>
    <t>Sozinho (Hitmakers Classic Mix)</t>
  </si>
  <si>
    <t>Sozinho Remix Ao Vivo</t>
  </si>
  <si>
    <t>Sozinho (Hitmakers Classic Radio Edit)</t>
  </si>
  <si>
    <t>Sozinho (Caêdrum 'n' Bass)</t>
  </si>
  <si>
    <t>Minha Historia</t>
  </si>
  <si>
    <t>Essa Moça Ta Diferente</t>
  </si>
  <si>
    <t>Vai Passar</t>
  </si>
  <si>
    <t>Samba De Orly</t>
  </si>
  <si>
    <t>Bye, Bye Brasil</t>
  </si>
  <si>
    <t>Atras Da Porta</t>
  </si>
  <si>
    <t>Tatuagem</t>
  </si>
  <si>
    <t>O Que Será (À Flor Da Terra)</t>
  </si>
  <si>
    <t>Morena De Angola</t>
  </si>
  <si>
    <t>Apesar De Você</t>
  </si>
  <si>
    <t>A Banda</t>
  </si>
  <si>
    <t>Com Açúcar E Com Afeto</t>
  </si>
  <si>
    <t>Brejo Da Cruz</t>
  </si>
  <si>
    <t>Meu Caro Amigo</t>
  </si>
  <si>
    <t>Geni E O Zepelim</t>
  </si>
  <si>
    <t>Trocando Em Miúdos</t>
  </si>
  <si>
    <t>Vai Trabalhar Vagabundo</t>
  </si>
  <si>
    <t>Gota D'água</t>
  </si>
  <si>
    <t>Construção / Deus Lhe Pague</t>
  </si>
  <si>
    <t>Mateus Enter</t>
  </si>
  <si>
    <t>Afrociberdelia</t>
  </si>
  <si>
    <t>Chico Science &amp; Nação Zumbi</t>
  </si>
  <si>
    <t>Chico Science</t>
  </si>
  <si>
    <t>O Cidadão Do Mundo</t>
  </si>
  <si>
    <t>Etnia</t>
  </si>
  <si>
    <t>Quilombo Groove [Instrumental]</t>
  </si>
  <si>
    <t>Macô</t>
  </si>
  <si>
    <t>Um Passeio No Mundo Livre</t>
  </si>
  <si>
    <t>Samba Do Lado</t>
  </si>
  <si>
    <t>Maracatu Atômico</t>
  </si>
  <si>
    <t>O Encontro De Isaac Asimov Com Santos Dumont No Céu</t>
  </si>
  <si>
    <t>Corpo De Lama</t>
  </si>
  <si>
    <t>Sobremesa</t>
  </si>
  <si>
    <t>Manguetown</t>
  </si>
  <si>
    <t>Um Satélite Na Cabeça</t>
  </si>
  <si>
    <t>Baião Ambiental [Instrumental]</t>
  </si>
  <si>
    <t>Sangue De Bairro</t>
  </si>
  <si>
    <t>Enquanto O Mundo Explode</t>
  </si>
  <si>
    <t>Interlude Zumbi</t>
  </si>
  <si>
    <t>Criança De Domingo</t>
  </si>
  <si>
    <t>Amor De Muito</t>
  </si>
  <si>
    <t>Samidarish [Instrumental]</t>
  </si>
  <si>
    <t>Maracatu Atômico [Atomic Version]</t>
  </si>
  <si>
    <t>Maracatu Atômico [Ragga Mix]</t>
  </si>
  <si>
    <t>Maracatu Atômico [Trip Hop]</t>
  </si>
  <si>
    <t>Banditismo Por Uma Questa</t>
  </si>
  <si>
    <t>Da Lama Ao Caos</t>
  </si>
  <si>
    <t>Rios Pontes &amp; Overdrives</t>
  </si>
  <si>
    <t>Cidade</t>
  </si>
  <si>
    <t>Praiera</t>
  </si>
  <si>
    <t>Samba Makossa</t>
  </si>
  <si>
    <t>Maracatu De Tiro Certeiro</t>
  </si>
  <si>
    <t>Salustiano Song</t>
  </si>
  <si>
    <t>Antene Se</t>
  </si>
  <si>
    <t>Risoflora</t>
  </si>
  <si>
    <t>Lixo Do Mangue</t>
  </si>
  <si>
    <t>Computadores Fazem Arte</t>
  </si>
  <si>
    <t>Girassol</t>
  </si>
  <si>
    <t>Acústico MTV [Live]</t>
  </si>
  <si>
    <t>Cidade Negra</t>
  </si>
  <si>
    <t>Reggae</t>
  </si>
  <si>
    <t>Bino Farias/Da Gama/Lazão/Pedro Luis/Toni Garrido</t>
  </si>
  <si>
    <t>A Sombra Da Maldade</t>
  </si>
  <si>
    <t>Da Gama/Toni Garrido</t>
  </si>
  <si>
    <t>Johnny B. Goode</t>
  </si>
  <si>
    <t>Soldado Da Paz</t>
  </si>
  <si>
    <t>Herbert Vianna</t>
  </si>
  <si>
    <t>Firmamento</t>
  </si>
  <si>
    <t>Bino Farias/Da Gama/Henry Lawes/Lazão/Toni Garrido/Winston Foser-Vers</t>
  </si>
  <si>
    <t>Extra</t>
  </si>
  <si>
    <t>O Erê</t>
  </si>
  <si>
    <t>Bernardo Vilhena/Bino Farias/Da Gama/Lazão/Toni Garrido</t>
  </si>
  <si>
    <t>Podes Crer</t>
  </si>
  <si>
    <t>Bino Farias/Da Gama/Lazão/Toni Garrido</t>
  </si>
  <si>
    <t>A Estrada</t>
  </si>
  <si>
    <t>Berlim</t>
  </si>
  <si>
    <t>Já Foi</t>
  </si>
  <si>
    <t>Onde Você Mora?</t>
  </si>
  <si>
    <t>Marisa Monte/Nando Reis</t>
  </si>
  <si>
    <t>Pensamento</t>
  </si>
  <si>
    <t>Bino Farias/Da Gamma/Lazão/Rás Bernard</t>
  </si>
  <si>
    <t>Conciliação</t>
  </si>
  <si>
    <t>Da Gama/Lazão/Rás Bernardo</t>
  </si>
  <si>
    <t>Realidade Virtual</t>
  </si>
  <si>
    <t>Mensagem</t>
  </si>
  <si>
    <t>Bino Farias/Da Gama/Lazão/Rás Bernardo</t>
  </si>
  <si>
    <t>A Cor Do Sol</t>
  </si>
  <si>
    <t>Bernardo Vilhena/Da Gama/Lazão</t>
  </si>
  <si>
    <t>Cidade Negra - Hits</t>
  </si>
  <si>
    <t>Bernardo Vilhena/Bino/Da Gama/Lazao/Toni Garrido</t>
  </si>
  <si>
    <t>Da Gama/Lazao/Toni Garrido</t>
  </si>
  <si>
    <t>Falar A Verdade</t>
  </si>
  <si>
    <t>Bino/Da Gama/Ras Bernardo</t>
  </si>
  <si>
    <t>Harry Lawes/Winston Foster-Vers</t>
  </si>
  <si>
    <t>Bino/Da Gamma/Lazao/Toni Garrido</t>
  </si>
  <si>
    <t>Doutor</t>
  </si>
  <si>
    <t>Bino/Da Gama/Toni Garrido</t>
  </si>
  <si>
    <t>Na Frente Da TV</t>
  </si>
  <si>
    <t>Bino/Da Gama/Lazao/Ras Bernardo</t>
  </si>
  <si>
    <t>Downtown</t>
  </si>
  <si>
    <t>Sábado A Noite</t>
  </si>
  <si>
    <t>Lulu Santos</t>
  </si>
  <si>
    <t>Bernardo Vilhena/Da Gama/Lazao</t>
  </si>
  <si>
    <t>Eu Também Quero Beijar</t>
  </si>
  <si>
    <t>Fausto Nilo/Moraes Moreira/Pepeu Gomes</t>
  </si>
  <si>
    <t>Noite Do Prazer</t>
  </si>
  <si>
    <t>Na Pista</t>
  </si>
  <si>
    <t>Cláudio Zoli</t>
  </si>
  <si>
    <t>À Francesa</t>
  </si>
  <si>
    <t>Cada Um Cada Um (A Namoradeira)</t>
  </si>
  <si>
    <t>Amor Demais</t>
  </si>
  <si>
    <t>Férias</t>
  </si>
  <si>
    <t>Gostava Tanto De Você</t>
  </si>
  <si>
    <t>Flor Do Futuro</t>
  </si>
  <si>
    <t>Felicidade Urgente</t>
  </si>
  <si>
    <t>Livre Pra Viver</t>
  </si>
  <si>
    <t>Dig-Dig, Lambe-Lambe (Ao Vivo)</t>
  </si>
  <si>
    <t>Axé Bahia 2001</t>
  </si>
  <si>
    <t>Various Artists</t>
  </si>
  <si>
    <t>Pop</t>
  </si>
  <si>
    <t>Cassiano Costa/Cintia Maviane/J.F./Lucas Costa</t>
  </si>
  <si>
    <t>Pererê</t>
  </si>
  <si>
    <t>Augusto Conceição/Chiclete Com Banana</t>
  </si>
  <si>
    <t>TriboTchan</t>
  </si>
  <si>
    <t>Cal Adan/Paulo Levi</t>
  </si>
  <si>
    <t>Tapa Aqui, Descobre Ali</t>
  </si>
  <si>
    <t>Paulo Levi/W. Rangel</t>
  </si>
  <si>
    <t>Daniela</t>
  </si>
  <si>
    <t>Jorge Cardoso/Pierre Onasis</t>
  </si>
  <si>
    <t>Bate Lata</t>
  </si>
  <si>
    <t>Fábio Nolasco/Gal Sales/Ivan Brasil</t>
  </si>
  <si>
    <t>Garotas do Brasil</t>
  </si>
  <si>
    <t>Garay, Ricardo Engels/Luca Predabom/Ludwig, Carlos Henrique/Maurício Vieira</t>
  </si>
  <si>
    <t>Levada do Amor (Ailoviu)</t>
  </si>
  <si>
    <t>Luiz Wanderley/Paulo Levi</t>
  </si>
  <si>
    <t>Lavadeira</t>
  </si>
  <si>
    <t>Do Vale, Valverde/Gal Oliveira/Luciano Pinto</t>
  </si>
  <si>
    <t>Reboladeira</t>
  </si>
  <si>
    <t>Cal Adan/Ferrugem/Julinho Carioca/Tríona Ní Dhomhnaill</t>
  </si>
  <si>
    <t>É que Nessa Encarnação Eu Nasci Manga</t>
  </si>
  <si>
    <t>Lucina/Luli</t>
  </si>
  <si>
    <t>Reggae Tchan</t>
  </si>
  <si>
    <t>Cal Adan/Del Rey, Tension/Edu Casanova</t>
  </si>
  <si>
    <t>My Love</t>
  </si>
  <si>
    <t>Jauperi/Zeu Góes</t>
  </si>
  <si>
    <t>Latinha de Cerveja</t>
  </si>
  <si>
    <t>Adriano Bernandes/Edmar Neves</t>
  </si>
  <si>
    <t>You Shook Me</t>
  </si>
  <si>
    <t>BBC Sessions [Disc 1] [Live]</t>
  </si>
  <si>
    <t>Led Zeppelin</t>
  </si>
  <si>
    <t>J B Lenoir/Willie Dixon</t>
  </si>
  <si>
    <t>I Can't Quit You Baby</t>
  </si>
  <si>
    <t>Communication Breakdown</t>
  </si>
  <si>
    <t>Jimmy Page/John Bonham/John Paul Jones</t>
  </si>
  <si>
    <t>Dazed and Confused</t>
  </si>
  <si>
    <t>Jimmy Page</t>
  </si>
  <si>
    <t>The Girl I Love She Got Long Black Wavy Hair</t>
  </si>
  <si>
    <t>Jimmy Page/John Bonham/John Estes/John Paul Jones/Robert Plant</t>
  </si>
  <si>
    <t>What is and Should Never Be</t>
  </si>
  <si>
    <t>Jimmy Page/Robert Plant</t>
  </si>
  <si>
    <t>Communication Breakdown(2)</t>
  </si>
  <si>
    <t>Travelling Riverside Blues</t>
  </si>
  <si>
    <t>Jimmy Page/Robert Johnson/Robert Plant</t>
  </si>
  <si>
    <t>Whole Lotta Love</t>
  </si>
  <si>
    <t>Jimmy Page/John Bonham/John Paul Jones/Robert Plant/Willie Dixon</t>
  </si>
  <si>
    <t>Somethin' Else</t>
  </si>
  <si>
    <t>Bob Cochran/Sharon Sheeley</t>
  </si>
  <si>
    <t>Communication Breakdown(3)</t>
  </si>
  <si>
    <t>I Can't Quit You Baby(2)</t>
  </si>
  <si>
    <t>You Shook Me(2)</t>
  </si>
  <si>
    <t>How Many More Times</t>
  </si>
  <si>
    <t>Chester Burnett/Jimmy Page/John Bonham/John Paul Jones/Robert Plant</t>
  </si>
  <si>
    <t>Debra Kadabra</t>
  </si>
  <si>
    <t>Bongo Fury</t>
  </si>
  <si>
    <t>Frank Zappa &amp; Captain Beefheart</t>
  </si>
  <si>
    <t>Frank Zappa</t>
  </si>
  <si>
    <t>Carolina Hard-Core Ecstasy</t>
  </si>
  <si>
    <t>Sam With The Showing Scalp Flat Top</t>
  </si>
  <si>
    <t>Don Van Vliet</t>
  </si>
  <si>
    <t>Poofter's Froth Wyoming Plans Ahead</t>
  </si>
  <si>
    <t>200 Years Old</t>
  </si>
  <si>
    <t>Cucamonga</t>
  </si>
  <si>
    <t>Advance Romance</t>
  </si>
  <si>
    <t>Man With The Woman Head</t>
  </si>
  <si>
    <t>Muffin Man</t>
  </si>
  <si>
    <t>Vai-Vai 2001</t>
  </si>
  <si>
    <t>Carnaval 2001</t>
  </si>
  <si>
    <t>Soundtrack</t>
  </si>
  <si>
    <t>X-9 2001</t>
  </si>
  <si>
    <t>Gavioes 2001</t>
  </si>
  <si>
    <t>Nene 2001</t>
  </si>
  <si>
    <t>Rosas De Ouro 2001</t>
  </si>
  <si>
    <t>Mocidade Alegre 2001</t>
  </si>
  <si>
    <t>Camisa Verde 2001</t>
  </si>
  <si>
    <t>Leandro De Itaquera 2001</t>
  </si>
  <si>
    <t>Tucuruvi 2001</t>
  </si>
  <si>
    <t>Aguia De Ouro 2001</t>
  </si>
  <si>
    <t>Ipiranga 2001</t>
  </si>
  <si>
    <t>Morro Da Casa Verde 2001</t>
  </si>
  <si>
    <t>Perola Negra 2001</t>
  </si>
  <si>
    <t>Sao Lucas 2001</t>
  </si>
  <si>
    <t>Guanabara</t>
  </si>
  <si>
    <t>Chill: Brazil (Disc 1)</t>
  </si>
  <si>
    <t>Marcos Valle</t>
  </si>
  <si>
    <t>Mas Que Nada</t>
  </si>
  <si>
    <t>Vôo Sobre o Horizonte</t>
  </si>
  <si>
    <t>J.r.Bertami/Parana</t>
  </si>
  <si>
    <t>A Paz</t>
  </si>
  <si>
    <t>Donato/Gilberto Gil</t>
  </si>
  <si>
    <t>Wave (Vou te Contar)</t>
  </si>
  <si>
    <t>Antonio Carlos Jobim</t>
  </si>
  <si>
    <t>Água de Beber</t>
  </si>
  <si>
    <t>Antonio Carlos Jobim/Vinicius de Moraes</t>
  </si>
  <si>
    <t>Samba da Bençaco</t>
  </si>
  <si>
    <t>Baden Powell/Vinicius de Moraes</t>
  </si>
  <si>
    <t>Pode Parar</t>
  </si>
  <si>
    <t>Jorge Vercilo/Jota Maranhao</t>
  </si>
  <si>
    <t>Menino do Rio</t>
  </si>
  <si>
    <t>Ando Meio Desligado</t>
  </si>
  <si>
    <t>Mistério da Raça</t>
  </si>
  <si>
    <t>Luiz Melodia/Ricardo Augusto</t>
  </si>
  <si>
    <t>All Star</t>
  </si>
  <si>
    <t>Nando Reis</t>
  </si>
  <si>
    <t>Menina Bonita</t>
  </si>
  <si>
    <t>Alexandre Brazil/Pedro Luis/Rodrigo Cabelo</t>
  </si>
  <si>
    <t>Pescador de Ilusões</t>
  </si>
  <si>
    <t>Macelo Yuka/O Rappa</t>
  </si>
  <si>
    <t>À Vontade (Live Mix)</t>
  </si>
  <si>
    <t>Bombom/Ed Motta</t>
  </si>
  <si>
    <t>Maria Fumaça</t>
  </si>
  <si>
    <t>Luiz Carlos/Oberdan</t>
  </si>
  <si>
    <t>Sambassim (dj patife remix)</t>
  </si>
  <si>
    <t>Alba Carvalho/Fernando Porto</t>
  </si>
  <si>
    <t>Chill: Brazil (Disc 2)</t>
  </si>
  <si>
    <t>Vários</t>
  </si>
  <si>
    <t>Tim Tim Por Tim Tim</t>
  </si>
  <si>
    <t>Tarde Em Itapoã</t>
  </si>
  <si>
    <t>Tanto Tempo</t>
  </si>
  <si>
    <t>Eu Vim Da Bahia - Live</t>
  </si>
  <si>
    <t>Alô Alô Marciano</t>
  </si>
  <si>
    <t>Linha Do Horizonte</t>
  </si>
  <si>
    <t>Only A Dream In Rio</t>
  </si>
  <si>
    <t>Abrir A Porta</t>
  </si>
  <si>
    <t>Alice</t>
  </si>
  <si>
    <t>Momentos Que Marcam</t>
  </si>
  <si>
    <t>Um Jantar Pra Dois</t>
  </si>
  <si>
    <t>Bumbo Da Mangueira</t>
  </si>
  <si>
    <t>Mr Funk Samba</t>
  </si>
  <si>
    <t>Santo Antonio</t>
  </si>
  <si>
    <t>Por Você</t>
  </si>
  <si>
    <t>Só Tinha De Ser Com Você</t>
  </si>
  <si>
    <t>Free Speech For The Dumb</t>
  </si>
  <si>
    <t>Garage Inc. (Disc 1)</t>
  </si>
  <si>
    <t>Metallica</t>
  </si>
  <si>
    <t>Molaney/Morris/Roberts/Wainwright</t>
  </si>
  <si>
    <t>It's Electric</t>
  </si>
  <si>
    <t>Harris/Tatler</t>
  </si>
  <si>
    <t>Sabbra Cadabra</t>
  </si>
  <si>
    <t>Turn The Page</t>
  </si>
  <si>
    <t>Seger</t>
  </si>
  <si>
    <t>Die Die My Darling</t>
  </si>
  <si>
    <t>Danzig</t>
  </si>
  <si>
    <t>Loverman</t>
  </si>
  <si>
    <t>Cave</t>
  </si>
  <si>
    <t>Mercyful Fate</t>
  </si>
  <si>
    <t>Diamond/Shermann</t>
  </si>
  <si>
    <t>Astronomy</t>
  </si>
  <si>
    <t>A.Bouchard/J.Bouchard/S.Pearlman</t>
  </si>
  <si>
    <t>Whiskey In The Jar</t>
  </si>
  <si>
    <t>Traditional</t>
  </si>
  <si>
    <t>Tuesday's Gone</t>
  </si>
  <si>
    <t>Collins/Van Zandt</t>
  </si>
  <si>
    <t>The More I See</t>
  </si>
  <si>
    <t>A Kind Of Magic</t>
  </si>
  <si>
    <t>Greatest Hits II</t>
  </si>
  <si>
    <t>Queen</t>
  </si>
  <si>
    <t>Roger Taylor</t>
  </si>
  <si>
    <t>Under Pressure</t>
  </si>
  <si>
    <t>Queen &amp; David Bowie</t>
  </si>
  <si>
    <t>Radio GA GA</t>
  </si>
  <si>
    <t>I Want It All</t>
  </si>
  <si>
    <t>I Want To Break Free</t>
  </si>
  <si>
    <t>John Deacon</t>
  </si>
  <si>
    <t>Innuendo</t>
  </si>
  <si>
    <t>It's A Hard Life</t>
  </si>
  <si>
    <t>Freddie Mercury</t>
  </si>
  <si>
    <t>Breakthru</t>
  </si>
  <si>
    <t>Who Wants To Live Forever</t>
  </si>
  <si>
    <t>Brian May</t>
  </si>
  <si>
    <t>Headlong</t>
  </si>
  <si>
    <t>The Miracle</t>
  </si>
  <si>
    <t>I'm Going Slightly Mad</t>
  </si>
  <si>
    <t>The Invisible Man</t>
  </si>
  <si>
    <t>Hammer To Fall</t>
  </si>
  <si>
    <t>Friends Will Be Friends</t>
  </si>
  <si>
    <t>Freddie Mercury &amp; John Deacon</t>
  </si>
  <si>
    <t>The Show Must Go On</t>
  </si>
  <si>
    <t>One Vision</t>
  </si>
  <si>
    <t>Detroit Rock City</t>
  </si>
  <si>
    <t>Greatest Kiss</t>
  </si>
  <si>
    <t>Kiss</t>
  </si>
  <si>
    <t>Paul Stanley, B. Ezrin</t>
  </si>
  <si>
    <t>Black Diamond</t>
  </si>
  <si>
    <t>Paul Stanley</t>
  </si>
  <si>
    <t>Hard Luck Woman</t>
  </si>
  <si>
    <t>Sure Know Something</t>
  </si>
  <si>
    <t>Paul Stanley, Vincent Poncia</t>
  </si>
  <si>
    <t>Love Gun</t>
  </si>
  <si>
    <t>Deuce</t>
  </si>
  <si>
    <t>Gene Simmons</t>
  </si>
  <si>
    <t>Goin' Blind</t>
  </si>
  <si>
    <t>Gene Simmons, S. Coronel</t>
  </si>
  <si>
    <t>Shock Me</t>
  </si>
  <si>
    <t>Ace Frehley</t>
  </si>
  <si>
    <t>Do You Love Me</t>
  </si>
  <si>
    <t>Paul Stanley, B. Ezrin, K. Fowley</t>
  </si>
  <si>
    <t>She</t>
  </si>
  <si>
    <t>I Was Made For Loving You</t>
  </si>
  <si>
    <t>Paul Stanley, Vincent Poncia, Desmond Child</t>
  </si>
  <si>
    <t>Shout It Out Loud</t>
  </si>
  <si>
    <t>Paul Stanley, Gene Simmons, B. Ezrin</t>
  </si>
  <si>
    <t>God Of Thunder</t>
  </si>
  <si>
    <t>Calling Dr. Love</t>
  </si>
  <si>
    <t>Beth</t>
  </si>
  <si>
    <t>S. Penridge, Bob Ezrin, Peter Criss</t>
  </si>
  <si>
    <t>Strutter</t>
  </si>
  <si>
    <t>Paul Stanley, Gene Simmons</t>
  </si>
  <si>
    <t>Rock And Roll All Nite</t>
  </si>
  <si>
    <t>Cold Gin</t>
  </si>
  <si>
    <t>Plaster Caster</t>
  </si>
  <si>
    <t>God Gave Rock 'n' Roll To You</t>
  </si>
  <si>
    <t>Paul Stanley, Gene Simmons, Rus Ballard, Bob Ezrin</t>
  </si>
  <si>
    <t>Heart of the Night</t>
  </si>
  <si>
    <t>Spyro Gyra</t>
  </si>
  <si>
    <t>De La Luz</t>
  </si>
  <si>
    <t>Westwood Moon</t>
  </si>
  <si>
    <t>Midnight</t>
  </si>
  <si>
    <t>Playtime</t>
  </si>
  <si>
    <t>Surrender</t>
  </si>
  <si>
    <t>Valentino's</t>
  </si>
  <si>
    <t>Believe</t>
  </si>
  <si>
    <t>As We Sleep</t>
  </si>
  <si>
    <t>When Evening Falls</t>
  </si>
  <si>
    <t>J Squared</t>
  </si>
  <si>
    <t>Best Thing</t>
  </si>
  <si>
    <t>Maria</t>
  </si>
  <si>
    <t>International Superhits</t>
  </si>
  <si>
    <t>Green Day</t>
  </si>
  <si>
    <t>Billie Joe Armstrong -Words Green Day -Music</t>
  </si>
  <si>
    <t>Poprocks And Coke</t>
  </si>
  <si>
    <t>Longview</t>
  </si>
  <si>
    <t>Welcome To Paradise</t>
  </si>
  <si>
    <t>Basket Case</t>
  </si>
  <si>
    <t>When I Come Around</t>
  </si>
  <si>
    <t>J.A.R. (Jason Andrew Relva)</t>
  </si>
  <si>
    <t>Mike Dirnt -Words Green Day -Music</t>
  </si>
  <si>
    <t>Geek Stink Breath</t>
  </si>
  <si>
    <t>Brain Stew</t>
  </si>
  <si>
    <t>Jaded</t>
  </si>
  <si>
    <t>Walking Contradiction</t>
  </si>
  <si>
    <t>Stuck With Me</t>
  </si>
  <si>
    <t>Hitchin' A Ride</t>
  </si>
  <si>
    <t>Good Riddance (Time Of Your Life)</t>
  </si>
  <si>
    <t>Redundant</t>
  </si>
  <si>
    <t>Nice Guys Finish Last</t>
  </si>
  <si>
    <t>Minority</t>
  </si>
  <si>
    <t>Waiting</t>
  </si>
  <si>
    <t>Macy's Day Parade</t>
  </si>
  <si>
    <t>Into The Light</t>
  </si>
  <si>
    <t>David Coverdale</t>
  </si>
  <si>
    <t>River Song</t>
  </si>
  <si>
    <t>She Give Me ...</t>
  </si>
  <si>
    <t>Don't You Cry</t>
  </si>
  <si>
    <t>Love Is Blind</t>
  </si>
  <si>
    <t>David Coverdale/Earl Slick</t>
  </si>
  <si>
    <t>Slave</t>
  </si>
  <si>
    <t>Cry For Love</t>
  </si>
  <si>
    <t>Bossi/David Coverdale/Earl Slick</t>
  </si>
  <si>
    <t>Living On Love</t>
  </si>
  <si>
    <t>Midnight Blue</t>
  </si>
  <si>
    <t>Too Many Tears</t>
  </si>
  <si>
    <t>Adrian Vanderberg/David Coverdale</t>
  </si>
  <si>
    <t>Don't Lie To Me</t>
  </si>
  <si>
    <t>Wherever You May Go</t>
  </si>
  <si>
    <t>Grito De Alerta</t>
  </si>
  <si>
    <t>Meus Momentos</t>
  </si>
  <si>
    <t>Gonzaguinha</t>
  </si>
  <si>
    <t>Gonzaga Jr.</t>
  </si>
  <si>
    <t>Não Dá Mais Pra Segurar (Explode Coração)</t>
  </si>
  <si>
    <t>Começaria Tudo Outra Vez</t>
  </si>
  <si>
    <t>O Que É O Que É ?</t>
  </si>
  <si>
    <t>Sangrando</t>
  </si>
  <si>
    <t>Gonzaga Jr/Gonzaguinha</t>
  </si>
  <si>
    <t>Diga Lá, Coração</t>
  </si>
  <si>
    <t>Lindo Lago Do Amor</t>
  </si>
  <si>
    <t>Eu Apenas Queria Que Voçê Soubesse</t>
  </si>
  <si>
    <t>Com A Perna No Mundo</t>
  </si>
  <si>
    <t>E Vamos À Luta</t>
  </si>
  <si>
    <t>Um Homem Também Chora (Guerreiro Menino)</t>
  </si>
  <si>
    <t>Comportamento Geral</t>
  </si>
  <si>
    <t>Gonzaga Jr</t>
  </si>
  <si>
    <t>Ponto De Interrogação</t>
  </si>
  <si>
    <t>Espere Por Mim, Morena</t>
  </si>
  <si>
    <t>Meia-Lua Inteira</t>
  </si>
  <si>
    <t>Voce e Linda</t>
  </si>
  <si>
    <t>Um Indio</t>
  </si>
  <si>
    <t>Podres Poderes</t>
  </si>
  <si>
    <t>Voce Nao Entende Nada - Cotidiano</t>
  </si>
  <si>
    <t>O Estrangeiro</t>
  </si>
  <si>
    <t>Menino Do Rio</t>
  </si>
  <si>
    <t>Qualquer Coisa</t>
  </si>
  <si>
    <t>Sampa</t>
  </si>
  <si>
    <t>Queixa</t>
  </si>
  <si>
    <t>O Leaozinho</t>
  </si>
  <si>
    <t>Fora Da Ordem</t>
  </si>
  <si>
    <t>Alegria, Alegria</t>
  </si>
  <si>
    <t>Balada Do Louco</t>
  </si>
  <si>
    <t>Minha História</t>
  </si>
  <si>
    <t>Os Mutantes</t>
  </si>
  <si>
    <t>Arnaldo Baptista - Rita Lee</t>
  </si>
  <si>
    <t>Arnaldo Baptista - Rita Lee -  Sérgio Dias</t>
  </si>
  <si>
    <t>Top Top</t>
  </si>
  <si>
    <t>Os Mutantes - Arnolpho Lima Filho</t>
  </si>
  <si>
    <t>Baby</t>
  </si>
  <si>
    <t>A E O Z</t>
  </si>
  <si>
    <t>Mutantes</t>
  </si>
  <si>
    <t>Panis Et Circenses</t>
  </si>
  <si>
    <t>Caetano Veloso - Gilberto Gil</t>
  </si>
  <si>
    <t>Chão De Estrelas</t>
  </si>
  <si>
    <t>Orestes Barbosa-Sílvio Caldas</t>
  </si>
  <si>
    <t>Vida De Cachorro</t>
  </si>
  <si>
    <t>Rita Lee - Arnaldo Baptista - Sérgio Baptista</t>
  </si>
  <si>
    <t>Bat Macumba</t>
  </si>
  <si>
    <t>Gilberto Gil - Caetano Veloso</t>
  </si>
  <si>
    <t>Desculpe Babe</t>
  </si>
  <si>
    <t>Rita Lee</t>
  </si>
  <si>
    <t>Arnaldo Baptista/Rita Lee/Sérgio Dias</t>
  </si>
  <si>
    <t>Posso Perder Minha Mulher, Minha Mãe, Desde Que Eu Tenha O Rock And Roll</t>
  </si>
  <si>
    <t>Arnaldo Baptista - Rita Lee - Arnolpho Lima Filho</t>
  </si>
  <si>
    <t>Banho De Lua</t>
  </si>
  <si>
    <t>B. de Filippi - F. Migliaci - Versão: Fred Jorge</t>
  </si>
  <si>
    <t>Meu Refrigerador Não Funciona</t>
  </si>
  <si>
    <t>Arnaldo Baptista - Rita Lee - Sérgio Dias</t>
  </si>
  <si>
    <t>Burn</t>
  </si>
  <si>
    <t>MK III The Final Concerts [Disc 1]</t>
  </si>
  <si>
    <t>Deep Purple</t>
  </si>
  <si>
    <t>Coverdale/Lord/Paice</t>
  </si>
  <si>
    <t>Stormbringer</t>
  </si>
  <si>
    <t>Coverdale</t>
  </si>
  <si>
    <t>Gypsy</t>
  </si>
  <si>
    <t>Coverdale/Hughes/Lord/Paice</t>
  </si>
  <si>
    <t>Lady Double Dealer</t>
  </si>
  <si>
    <t>Mistreated</t>
  </si>
  <si>
    <t>Smoke On The Water</t>
  </si>
  <si>
    <t>Gillan/Glover/Lord/Paice</t>
  </si>
  <si>
    <t>You Fool No One</t>
  </si>
  <si>
    <t>Custard Pie</t>
  </si>
  <si>
    <t>Physical Graffiti [Disc 1]</t>
  </si>
  <si>
    <t>The Rover</t>
  </si>
  <si>
    <t>In My Time Of Dying</t>
  </si>
  <si>
    <t>John Bonham/John Paul Jones</t>
  </si>
  <si>
    <t>Houses Of The Holy</t>
  </si>
  <si>
    <t>Trampled Under Foot</t>
  </si>
  <si>
    <t>John Paul Jones</t>
  </si>
  <si>
    <t>Kashmir</t>
  </si>
  <si>
    <t>John Bonham</t>
  </si>
  <si>
    <t>Imperatriz</t>
  </si>
  <si>
    <t>Sambas De Enredo 2001</t>
  </si>
  <si>
    <t>Guga/Marquinho Lessa/Tuninho Professor</t>
  </si>
  <si>
    <t>Beija-Flor</t>
  </si>
  <si>
    <t>Caruso/Cleber/Deo/Osmar</t>
  </si>
  <si>
    <t>Viradouro</t>
  </si>
  <si>
    <t>Dadinho/Gilbreto Gomes/Gustavo/P.C. Portugal/R. Mocoto</t>
  </si>
  <si>
    <t>Mocidade</t>
  </si>
  <si>
    <t>Domenil/J. Brito/Joaozinho/Rap, Marcelo Do</t>
  </si>
  <si>
    <t>Unidos Da Tijuca</t>
  </si>
  <si>
    <t>Douglas/Neves, Vicente Das/Silva, Gilmar L./Toninho Gentil/Wantuir</t>
  </si>
  <si>
    <t>Salgueiro</t>
  </si>
  <si>
    <t>Augusto/Craig Negoescu/Rocco Filho/Saara, Ze Carlos Da</t>
  </si>
  <si>
    <t>Mangueira</t>
  </si>
  <si>
    <t>Bizuca/Clóvis Pê/Gilson Bernini/Marelo D'Aguia</t>
  </si>
  <si>
    <t>União Da Ilha</t>
  </si>
  <si>
    <t>Dito/Djalma Falcao/Ilha, Almir Da/Márcio André</t>
  </si>
  <si>
    <t>Grande Rio</t>
  </si>
  <si>
    <t>Carlos Santos/Ciro/Claudio Russo/Zé Luiz</t>
  </si>
  <si>
    <t>Portela</t>
  </si>
  <si>
    <t>Flavio Bororo/Paulo Apparicio/Wagner Alves/Zeca Sereno</t>
  </si>
  <si>
    <t>Caprichosos</t>
  </si>
  <si>
    <t>Gule/Jorge 101/Lequinho/Luiz Piao</t>
  </si>
  <si>
    <t>Tradição</t>
  </si>
  <si>
    <t>Adalto Magalha/Lourenco</t>
  </si>
  <si>
    <t>Império Serrano</t>
  </si>
  <si>
    <t>Arlindo Cruz/Carlos Sena/Elmo Caetano/Mauricao</t>
  </si>
  <si>
    <t>Tuiuti</t>
  </si>
  <si>
    <t>Claudio Martins/David Lima/Kleber Rodrigues/Livre, Cesare Som</t>
  </si>
  <si>
    <t>(Da Le) Yaleo</t>
  </si>
  <si>
    <t>Supernatural</t>
  </si>
  <si>
    <t>Santana</t>
  </si>
  <si>
    <t>Love Of My Life</t>
  </si>
  <si>
    <t>Carlos Santana &amp; Dave Matthews</t>
  </si>
  <si>
    <t>Put Your Lights On</t>
  </si>
  <si>
    <t>E. Shrody</t>
  </si>
  <si>
    <t>Africa Bamba</t>
  </si>
  <si>
    <t>I. Toure, S. Tidiane Toure, Carlos Santana &amp; K. Perazzo</t>
  </si>
  <si>
    <t>Smooth</t>
  </si>
  <si>
    <t>M. Itaal Shur &amp; Rob Thomas</t>
  </si>
  <si>
    <t>Do You Like The Way</t>
  </si>
  <si>
    <t>L. Hill</t>
  </si>
  <si>
    <t>Maria Maria</t>
  </si>
  <si>
    <t>W. Jean, J. Duplessis, Carlos Santana, K. Perazzo &amp; R. Rekow</t>
  </si>
  <si>
    <t>Migra</t>
  </si>
  <si>
    <t>R. Taha, Carlos Santana &amp; T. Lindsay</t>
  </si>
  <si>
    <t>Corazon Espinado</t>
  </si>
  <si>
    <t>F. Olivera</t>
  </si>
  <si>
    <t>Wishing It Was</t>
  </si>
  <si>
    <t>Eale-Eye Cherry, M. Simpson, J. King &amp; M. Nishita</t>
  </si>
  <si>
    <t>El Farol</t>
  </si>
  <si>
    <t>Carlos Santana &amp; KC Porter</t>
  </si>
  <si>
    <t>Primavera</t>
  </si>
  <si>
    <t>KC Porter &amp; JB Eckl</t>
  </si>
  <si>
    <t>The Calling</t>
  </si>
  <si>
    <t>Carlos Santana &amp; C. Thompson</t>
  </si>
  <si>
    <t>Solução</t>
  </si>
  <si>
    <t>The Best of Ed Motta</t>
  </si>
  <si>
    <t>Ed Motta</t>
  </si>
  <si>
    <t>Manuel</t>
  </si>
  <si>
    <t>Entre E Ouça</t>
  </si>
  <si>
    <t>Um Contrato Com Deus</t>
  </si>
  <si>
    <t>Vamos Dançar</t>
  </si>
  <si>
    <t>Um Love</t>
  </si>
  <si>
    <t>Seis Da Tarde</t>
  </si>
  <si>
    <t>Baixo Rio</t>
  </si>
  <si>
    <t>Sombras Do Meu Destino</t>
  </si>
  <si>
    <t>Do You Have Other Loves?</t>
  </si>
  <si>
    <t>Agora Que O Dia Acordou</t>
  </si>
  <si>
    <t>Já!!!</t>
  </si>
  <si>
    <t>A Rua</t>
  </si>
  <si>
    <t>Now's The Time</t>
  </si>
  <si>
    <t>The Essential Miles Davis [Disc 1]</t>
  </si>
  <si>
    <t>Miles Davis</t>
  </si>
  <si>
    <t>Jeru</t>
  </si>
  <si>
    <t>Compulsion</t>
  </si>
  <si>
    <t>Tempus Fugit</t>
  </si>
  <si>
    <t>Walkin'</t>
  </si>
  <si>
    <t>'Round Midnight</t>
  </si>
  <si>
    <t>Bye Bye Blackbird</t>
  </si>
  <si>
    <t>New Rhumba</t>
  </si>
  <si>
    <t>Generique</t>
  </si>
  <si>
    <t>Summertime</t>
  </si>
  <si>
    <t>So What</t>
  </si>
  <si>
    <t>The Pan Piper</t>
  </si>
  <si>
    <t>Someday My Prince Will Come</t>
  </si>
  <si>
    <t>My Funny Valentine (Live)</t>
  </si>
  <si>
    <t>The Essential Miles Davis [Disc 2]</t>
  </si>
  <si>
    <t>E.S.P.</t>
  </si>
  <si>
    <t>Nefertiti</t>
  </si>
  <si>
    <t>Petits Machins (Little Stuff)</t>
  </si>
  <si>
    <t>Miles Runs The Voodoo Down</t>
  </si>
  <si>
    <t>Little Church (Live)</t>
  </si>
  <si>
    <t>Black Satin</t>
  </si>
  <si>
    <t>Jean Pierre (Live)</t>
  </si>
  <si>
    <t>Time After Time</t>
  </si>
  <si>
    <t>Portia</t>
  </si>
  <si>
    <t>Space Truckin'</t>
  </si>
  <si>
    <t>The Final Concerts (Disc 2)</t>
  </si>
  <si>
    <t>Blackmore/Gillan/Glover/Lord/Paice</t>
  </si>
  <si>
    <t>Going Down / Highway Star</t>
  </si>
  <si>
    <t>Gillan/Glover/Lord/Nix - Blackmore/Paice</t>
  </si>
  <si>
    <t>Mistreated (Alternate Version)</t>
  </si>
  <si>
    <t>Blackmore/Coverdale</t>
  </si>
  <si>
    <t>You Fool No One (Alternate Version)</t>
  </si>
  <si>
    <t>Blackmore/Coverdale/Lord/Paice</t>
  </si>
  <si>
    <t>Jeepers Creepers</t>
  </si>
  <si>
    <t>Up An' Atom</t>
  </si>
  <si>
    <t>Gene Krupa</t>
  </si>
  <si>
    <t>Blue Rythm Fantasy</t>
  </si>
  <si>
    <t>Drum Boogie</t>
  </si>
  <si>
    <t>Let Me Off Uptown</t>
  </si>
  <si>
    <t>Leave Us Leap</t>
  </si>
  <si>
    <t>Opus No.1</t>
  </si>
  <si>
    <t>Boogie Blues</t>
  </si>
  <si>
    <t>How High The Moon</t>
  </si>
  <si>
    <t>Disc Jockey Jump</t>
  </si>
  <si>
    <t>Bop Boogie</t>
  </si>
  <si>
    <t>Lemon Drop</t>
  </si>
  <si>
    <t>Coronation Drop</t>
  </si>
  <si>
    <t>Overtime</t>
  </si>
  <si>
    <t>Imagination</t>
  </si>
  <si>
    <t>Don't Take Your Love From Me</t>
  </si>
  <si>
    <t>Midget</t>
  </si>
  <si>
    <t>I'm Coming Virginia</t>
  </si>
  <si>
    <t>Payin' Them Dues Blues</t>
  </si>
  <si>
    <t>Jungle Drums</t>
  </si>
  <si>
    <t>Showcase</t>
  </si>
  <si>
    <t>Swedish Schnapps</t>
  </si>
  <si>
    <t>Samba Da Bênção</t>
  </si>
  <si>
    <t>Vinícius De Moraes - Sem Limite</t>
  </si>
  <si>
    <t>Toquinho &amp; Vinícius</t>
  </si>
  <si>
    <t>Bossa Nova</t>
  </si>
  <si>
    <t>Pot-Pourri N.º 4</t>
  </si>
  <si>
    <t>Onde Anda Você</t>
  </si>
  <si>
    <t>Samba Da Volta</t>
  </si>
  <si>
    <t>Canto De Ossanha</t>
  </si>
  <si>
    <t>Pot-Pourri N.º 5</t>
  </si>
  <si>
    <t>Formosa</t>
  </si>
  <si>
    <t>Como É Duro Trabalhar</t>
  </si>
  <si>
    <t>Minha Namorada</t>
  </si>
  <si>
    <t>Por Que Será</t>
  </si>
  <si>
    <t>Berimbau</t>
  </si>
  <si>
    <t>Deixa</t>
  </si>
  <si>
    <t>Pot-Pourri N.º 2</t>
  </si>
  <si>
    <t>Samba Em Prelúdio</t>
  </si>
  <si>
    <t>Carta Ao Tom 74</t>
  </si>
  <si>
    <t>Linha de Passe (João Bosco)</t>
  </si>
  <si>
    <t>Vozes do MPB</t>
  </si>
  <si>
    <t>Pela Luz dos Olhos Teus (Miúcha e Tom Jobim)</t>
  </si>
  <si>
    <t>Chão de Giz (Elba Ramalho)</t>
  </si>
  <si>
    <t>Marina (Dorival Caymmi)</t>
  </si>
  <si>
    <t>Aquarela (Toquinho)</t>
  </si>
  <si>
    <t>Coração do Agreste (Fafá de Belém)</t>
  </si>
  <si>
    <t>Dona (Roupa Nova)</t>
  </si>
  <si>
    <t>Começaria Tudo Outra Vez (Maria Creuza)</t>
  </si>
  <si>
    <t>Caçador de Mim (Sá &amp; Guarabyra)</t>
  </si>
  <si>
    <t>Romaria (Renato Teixeira)</t>
  </si>
  <si>
    <t>As Rosas Não Falam (Beth Carvalho)</t>
  </si>
  <si>
    <t>Wave (Os Cariocas)</t>
  </si>
  <si>
    <t>Garota de Ipanema (Dick Farney)</t>
  </si>
  <si>
    <t>Preciso Apender a Viver Só (Maysa)</t>
  </si>
  <si>
    <t>Susie Q</t>
  </si>
  <si>
    <t>Chronicle, Vol. 1</t>
  </si>
  <si>
    <t>Creedence Clearwater Revival</t>
  </si>
  <si>
    <t>Hawkins-Lewis-Broadwater</t>
  </si>
  <si>
    <t>I Put A Spell On You</t>
  </si>
  <si>
    <t>Jay Hawkins</t>
  </si>
  <si>
    <t>Proud Mary</t>
  </si>
  <si>
    <t>J. C. Fogerty</t>
  </si>
  <si>
    <t>Bad Moon Rising</t>
  </si>
  <si>
    <t>Lodi</t>
  </si>
  <si>
    <t>Green River</t>
  </si>
  <si>
    <t>Commotion</t>
  </si>
  <si>
    <t>Down On The Corner</t>
  </si>
  <si>
    <t>Fortunate Son</t>
  </si>
  <si>
    <t>Travelin' Band</t>
  </si>
  <si>
    <t>Who'll Stop The Rain</t>
  </si>
  <si>
    <t>Up Around The Bend</t>
  </si>
  <si>
    <t>Run Through The Jungle</t>
  </si>
  <si>
    <t>Lookin' Out My Back Door</t>
  </si>
  <si>
    <t>Long As I Can See The Light</t>
  </si>
  <si>
    <t>I Heard It Through The Grapevine</t>
  </si>
  <si>
    <t>Whitfield-Strong</t>
  </si>
  <si>
    <t>Have You Ever Seen The Rain?</t>
  </si>
  <si>
    <t>Hey Tonight</t>
  </si>
  <si>
    <t>Sweet Hitch-Hiker</t>
  </si>
  <si>
    <t>Someday Never Comes</t>
  </si>
  <si>
    <t>Walking On The Water</t>
  </si>
  <si>
    <t>Chronicle, Vol. 2</t>
  </si>
  <si>
    <t>J.C. Fogerty</t>
  </si>
  <si>
    <t>Suzie-Q, Pt. 2</t>
  </si>
  <si>
    <t>Born On The Bayou</t>
  </si>
  <si>
    <t>Tombstone Shadow</t>
  </si>
  <si>
    <t>Wrote A Song For Everyone</t>
  </si>
  <si>
    <t>Night Time Is The Right Time</t>
  </si>
  <si>
    <t>Cotton Fields</t>
  </si>
  <si>
    <t>It Came Out Of The Sky</t>
  </si>
  <si>
    <t>Don't Look Now</t>
  </si>
  <si>
    <t>The Midnight Special</t>
  </si>
  <si>
    <t>Before You Accuse Me</t>
  </si>
  <si>
    <t>My Baby Left Me</t>
  </si>
  <si>
    <t>Pagan Baby</t>
  </si>
  <si>
    <t>(Wish I Could) Hideaway</t>
  </si>
  <si>
    <t>It's Just A Thought</t>
  </si>
  <si>
    <t>Molina</t>
  </si>
  <si>
    <t>Born To Move</t>
  </si>
  <si>
    <t>Lookin' For A Reason</t>
  </si>
  <si>
    <t>Hello Mary Lou</t>
  </si>
  <si>
    <t>Gatas Extraordinárias</t>
  </si>
  <si>
    <t>Cássia Eller - Coleção Sem Limite [Disc 2]</t>
  </si>
  <si>
    <t>Cássia Eller</t>
  </si>
  <si>
    <t>Brasil</t>
  </si>
  <si>
    <t>Eu Sou Neguinha (Ao Vivo)</t>
  </si>
  <si>
    <t>Geração Coca-Cola (Ao Vivo)</t>
  </si>
  <si>
    <t>Lanterna Dos Afogados</t>
  </si>
  <si>
    <t>Coroné Antonio Bento</t>
  </si>
  <si>
    <t>Você Passa, Eu Acho Graça (Ao Vivo)</t>
  </si>
  <si>
    <t>Meu Mundo Fica Completo (Com Você)</t>
  </si>
  <si>
    <t>1° De Julho</t>
  </si>
  <si>
    <t>Música Urbana 2</t>
  </si>
  <si>
    <t>Vida Bandida (Ao Vivo)</t>
  </si>
  <si>
    <t>Palavras Ao Vento</t>
  </si>
  <si>
    <t>Não Sei O Que Eu Quero Da Vida</t>
  </si>
  <si>
    <t>Woman Is The Nigger Of The World (Ao Vivo)</t>
  </si>
  <si>
    <t>Juventude Transviada (Ao Vivo)</t>
  </si>
  <si>
    <t>Malandragem</t>
  </si>
  <si>
    <t>Cássia Eller - Sem Limite [Disc 1]</t>
  </si>
  <si>
    <t>O Segundo Sol</t>
  </si>
  <si>
    <t>Smells Like Teen Spirit (Ao Vivo)</t>
  </si>
  <si>
    <t>E.C.T.</t>
  </si>
  <si>
    <t>Todo Amor Que Houver Nesta Vida</t>
  </si>
  <si>
    <t>Metrô. Linha 743</t>
  </si>
  <si>
    <t>Nós (Ao Vivo)</t>
  </si>
  <si>
    <t>Na Cadência Do Samba</t>
  </si>
  <si>
    <t>Admirável Gado Novo</t>
  </si>
  <si>
    <t>Eleanor Rigby</t>
  </si>
  <si>
    <t>Socorro</t>
  </si>
  <si>
    <t>Blues Da Piedade</t>
  </si>
  <si>
    <t>Rubens</t>
  </si>
  <si>
    <t>Não Deixe O Samba Morrer - Cassia Eller e Alcione</t>
  </si>
  <si>
    <t>Mis Penas Lloraba Yo (Ao Vivo) Soy Gitano (Tangos)</t>
  </si>
  <si>
    <t>Comin' Home</t>
  </si>
  <si>
    <t>Come Taste The Band</t>
  </si>
  <si>
    <t>Bolin/Coverdale/Paice</t>
  </si>
  <si>
    <t>Lady Luck</t>
  </si>
  <si>
    <t>Cook/Coverdale</t>
  </si>
  <si>
    <t>Gettin' Tighter</t>
  </si>
  <si>
    <t>Bolin/Hughes</t>
  </si>
  <si>
    <t>Dealer</t>
  </si>
  <si>
    <t>Bolin/Coverdale</t>
  </si>
  <si>
    <t>I Need Love</t>
  </si>
  <si>
    <t>Drifter</t>
  </si>
  <si>
    <t>Love Child</t>
  </si>
  <si>
    <t>This Time Around / Owed to 'G' [Instrumental]</t>
  </si>
  <si>
    <t>Bolin/Hughes/Lord</t>
  </si>
  <si>
    <t>You Keep On Moving</t>
  </si>
  <si>
    <t>Coverdale/Hughes</t>
  </si>
  <si>
    <t>Speed King</t>
  </si>
  <si>
    <t>Deep Purple In Rock</t>
  </si>
  <si>
    <t>Blackmore, Gillan, Glover, Lord, Paice</t>
  </si>
  <si>
    <t>Bloodsucker</t>
  </si>
  <si>
    <t>Child In Time</t>
  </si>
  <si>
    <t>Flight Of The Rat</t>
  </si>
  <si>
    <t>Into The Fire</t>
  </si>
  <si>
    <t>Living Wreck</t>
  </si>
  <si>
    <t>Hard Lovin' Man</t>
  </si>
  <si>
    <t>Fireball</t>
  </si>
  <si>
    <t>Ritchie Blackmore, Ian Gillan, Roger Glover, Jon Lord, Ian Paice</t>
  </si>
  <si>
    <t>No No No</t>
  </si>
  <si>
    <t>Strange Kind Of Woman</t>
  </si>
  <si>
    <t>Anyone's Daughter</t>
  </si>
  <si>
    <t>The Mule</t>
  </si>
  <si>
    <t>Fools</t>
  </si>
  <si>
    <t>No One Came</t>
  </si>
  <si>
    <t>Knocking At Your Back Door</t>
  </si>
  <si>
    <t>Knocking at Your Back Door: The Best Of Deep Purple in the 80's</t>
  </si>
  <si>
    <t>Richie Blackmore, Ian Gillian, Roger Glover</t>
  </si>
  <si>
    <t>Bad Attitude</t>
  </si>
  <si>
    <t>Richie Blackmore, Ian Gillian, Roger Glover, Jon Lord</t>
  </si>
  <si>
    <t>Child In Time (Son Of Aleric - Instrumental)</t>
  </si>
  <si>
    <t>Richie Blackmore, Ian Gillian, Roger Glover, Jon Lord, Ian Paice</t>
  </si>
  <si>
    <t>Nobody's Home</t>
  </si>
  <si>
    <t>Black Night</t>
  </si>
  <si>
    <t>Perfect Strangers</t>
  </si>
  <si>
    <t>The Unwritten Law</t>
  </si>
  <si>
    <t>Richie Blackmore, Ian Gillian, Roger Glover, Ian Paice</t>
  </si>
  <si>
    <t>Call Of The Wild</t>
  </si>
  <si>
    <t>Hush</t>
  </si>
  <si>
    <t>South</t>
  </si>
  <si>
    <t>Space Trucking</t>
  </si>
  <si>
    <t>Highway Star</t>
  </si>
  <si>
    <t>Machine Head</t>
  </si>
  <si>
    <t>Ian Gillan/Ian Paice/Jon Lord/Ritchie Blckmore/Roger Glover</t>
  </si>
  <si>
    <t>Maybe I'm A Leo</t>
  </si>
  <si>
    <t>Pictures Of Home</t>
  </si>
  <si>
    <t>Never Before</t>
  </si>
  <si>
    <t>Lazy</t>
  </si>
  <si>
    <t>Vavoom : Ted The Mechanic</t>
  </si>
  <si>
    <t>Purpendicular</t>
  </si>
  <si>
    <t>Ian Gillan, Roger Glover, Jon Lord, Steve Morse, Ian Paice</t>
  </si>
  <si>
    <t>Loosen My Strings</t>
  </si>
  <si>
    <t>Soon Forgotten</t>
  </si>
  <si>
    <t>Sometimes I Feel Like Screaming</t>
  </si>
  <si>
    <t>Cascades : I'm Not Your Lover</t>
  </si>
  <si>
    <t>The Aviator</t>
  </si>
  <si>
    <t>Rosa's Cantina</t>
  </si>
  <si>
    <t>A Castle Full Of Rascals</t>
  </si>
  <si>
    <t>A Touch Away</t>
  </si>
  <si>
    <t>Hey Cisco</t>
  </si>
  <si>
    <t>Somebody Stole My Guitar</t>
  </si>
  <si>
    <t>The Purpendicular Waltz</t>
  </si>
  <si>
    <t>King Of Dreams</t>
  </si>
  <si>
    <t>Slaves And Masters</t>
  </si>
  <si>
    <t>Blackmore, Glover, Turner</t>
  </si>
  <si>
    <t>The Cut Runs Deep</t>
  </si>
  <si>
    <t>Blackmore, Glover, Turner, Lord, Paice</t>
  </si>
  <si>
    <t>Fire In The Basement</t>
  </si>
  <si>
    <t>Truth Hurts</t>
  </si>
  <si>
    <t>Breakfast In Bed</t>
  </si>
  <si>
    <t>Love Conquers All</t>
  </si>
  <si>
    <t>Fortuneteller</t>
  </si>
  <si>
    <t>Too Much Is Not Enough</t>
  </si>
  <si>
    <t>Turner, Held, Greenwood</t>
  </si>
  <si>
    <t>Wicked Ways</t>
  </si>
  <si>
    <t>D.Coverdale/R.Blackmore/Ritchie Blackmore</t>
  </si>
  <si>
    <t>Love Don't Mean a Thing</t>
  </si>
  <si>
    <t>D.Coverdale/G.Hughes/Glenn Hughes/I.Paice/Ian Paice/J.Lord/John Lord/R.Blackmore/Ritchie Blackmore</t>
  </si>
  <si>
    <t>Holy Man</t>
  </si>
  <si>
    <t>D.Coverdale/G.Hughes/Glenn Hughes/J.Lord/John Lord</t>
  </si>
  <si>
    <t>Hold On</t>
  </si>
  <si>
    <t>D.Coverdal/G.Hughes/Glenn Hughes/I.Paice/Ian Paice/J.Lord/John Lord</t>
  </si>
  <si>
    <t>You Can't Do it Right (With the One You Love)</t>
  </si>
  <si>
    <t>D.Coverdale/G.Hughes/Glenn Hughes/R.Blackmore/Ritchie Blackmore</t>
  </si>
  <si>
    <t>High Ball Shooter</t>
  </si>
  <si>
    <t>The Gypsy</t>
  </si>
  <si>
    <t>Soldier Of Fortune</t>
  </si>
  <si>
    <t>The Battle Rages On</t>
  </si>
  <si>
    <t>ian paice/jon lord</t>
  </si>
  <si>
    <t>Lick It Up</t>
  </si>
  <si>
    <t>roger glover</t>
  </si>
  <si>
    <t>Anya</t>
  </si>
  <si>
    <t>jon lord/roger glover</t>
  </si>
  <si>
    <t>Talk About Love</t>
  </si>
  <si>
    <t>Time To Kill</t>
  </si>
  <si>
    <t>Ramshackle Man</t>
  </si>
  <si>
    <t>A Twist In The Tail</t>
  </si>
  <si>
    <t>Nasty Piece Of Work</t>
  </si>
  <si>
    <t>Solitaire</t>
  </si>
  <si>
    <t>One Man's Meat</t>
  </si>
  <si>
    <t>Pour Some Sugar On Me</t>
  </si>
  <si>
    <t>Vault: Def Leppard's Greatest Hits</t>
  </si>
  <si>
    <t>Def Leppard</t>
  </si>
  <si>
    <t>Photograph</t>
  </si>
  <si>
    <t>Love Bites</t>
  </si>
  <si>
    <t>Let's Get Rocked</t>
  </si>
  <si>
    <t>Two Steps Behind [Acoustic Version]</t>
  </si>
  <si>
    <t>Animal</t>
  </si>
  <si>
    <t>Heaven Is</t>
  </si>
  <si>
    <t>Rocket</t>
  </si>
  <si>
    <t>When Love &amp; Hate Collide</t>
  </si>
  <si>
    <t>Action</t>
  </si>
  <si>
    <t>Make Love Like A Man</t>
  </si>
  <si>
    <t>Armageddon It</t>
  </si>
  <si>
    <t>Have You Ever Needed Someone So Bad</t>
  </si>
  <si>
    <t>Rock Of Ages</t>
  </si>
  <si>
    <t>Hysteria</t>
  </si>
  <si>
    <t>Bringin' On The Heartbreak</t>
  </si>
  <si>
    <t>Roll Call</t>
  </si>
  <si>
    <t>Outbreak</t>
  </si>
  <si>
    <t>Dennis Chambers</t>
  </si>
  <si>
    <t>Jim Beard</t>
  </si>
  <si>
    <t>Otay</t>
  </si>
  <si>
    <t>John Scofield, Robert Aries, Milton Chambers and Gary Grainger</t>
  </si>
  <si>
    <t>Groovus Interruptus</t>
  </si>
  <si>
    <t>Paris On Mine</t>
  </si>
  <si>
    <t>Jon Herington</t>
  </si>
  <si>
    <t>In Time</t>
  </si>
  <si>
    <t>Sylvester Stewart</t>
  </si>
  <si>
    <t>Plan B</t>
  </si>
  <si>
    <t>Dean Brown, Dennis Chambers &amp; Jim Beard</t>
  </si>
  <si>
    <t>Jim Beard &amp; Jon Herington</t>
  </si>
  <si>
    <t>Baltimore, DC</t>
  </si>
  <si>
    <t>John Scofield</t>
  </si>
  <si>
    <t>Talkin Loud and Saying Nothin</t>
  </si>
  <si>
    <t>James Brown &amp; Bobby Byrd</t>
  </si>
  <si>
    <t>Pétala</t>
  </si>
  <si>
    <t>Djavan Ao Vivo - Vol. 02</t>
  </si>
  <si>
    <t>Djavan</t>
  </si>
  <si>
    <t>Meu Bem-Querer</t>
  </si>
  <si>
    <t>Cigano</t>
  </si>
  <si>
    <t>Boa Noite</t>
  </si>
  <si>
    <t>Fato Consumado</t>
  </si>
  <si>
    <t>Faltando Um Pedaço</t>
  </si>
  <si>
    <t>Álibi</t>
  </si>
  <si>
    <t>Esquinas</t>
  </si>
  <si>
    <t>Se...</t>
  </si>
  <si>
    <t>Eu Te Devoro</t>
  </si>
  <si>
    <t>Lilás</t>
  </si>
  <si>
    <t>Acelerou</t>
  </si>
  <si>
    <t>Um Amor Puro</t>
  </si>
  <si>
    <t>Samurai</t>
  </si>
  <si>
    <t>Djavan Ao Vivo - Vol. 1</t>
  </si>
  <si>
    <t>Nem Um Dia</t>
  </si>
  <si>
    <t>Oceano</t>
  </si>
  <si>
    <t>Açai</t>
  </si>
  <si>
    <t>Serrado</t>
  </si>
  <si>
    <t>Flor De Lis</t>
  </si>
  <si>
    <t>Amar É Tudo</t>
  </si>
  <si>
    <t>Azul</t>
  </si>
  <si>
    <t>Seduzir</t>
  </si>
  <si>
    <t>A Carta</t>
  </si>
  <si>
    <t>Djavan - Gabriel, O Pensador</t>
  </si>
  <si>
    <t>Sina</t>
  </si>
  <si>
    <t>O Bêbado e a Equilibrista</t>
  </si>
  <si>
    <t>Elis Regina-Minha História</t>
  </si>
  <si>
    <t>Elis Regina</t>
  </si>
  <si>
    <t>O Mestre-Sala dos Mares</t>
  </si>
  <si>
    <t>Atrás da Porta</t>
  </si>
  <si>
    <t>Dois Pra Lá, Dois Pra Cá</t>
  </si>
  <si>
    <t>Casa no Campo</t>
  </si>
  <si>
    <t>Romaria</t>
  </si>
  <si>
    <t>Alô, Alô, Marciano</t>
  </si>
  <si>
    <t>Me Deixas Louca</t>
  </si>
  <si>
    <t>Fascinação</t>
  </si>
  <si>
    <t>Saudosa Maloca</t>
  </si>
  <si>
    <t>As Aparências Enganam</t>
  </si>
  <si>
    <t>Madalena</t>
  </si>
  <si>
    <t>Maria Rosa</t>
  </si>
  <si>
    <t>Aprendendo A Jogar</t>
  </si>
  <si>
    <t>Layla</t>
  </si>
  <si>
    <t>The Cream Of Clapton</t>
  </si>
  <si>
    <t>Eric Clapton</t>
  </si>
  <si>
    <t>Clapton/Gordon</t>
  </si>
  <si>
    <t>Badge</t>
  </si>
  <si>
    <t>Clapton/Harrison</t>
  </si>
  <si>
    <t>I Feel Free</t>
  </si>
  <si>
    <t>Bruce/Clapton</t>
  </si>
  <si>
    <t>Sunshine Of Your Love</t>
  </si>
  <si>
    <t>Crossroads</t>
  </si>
  <si>
    <t>Clapton/Robert Johnson Arr: Eric Clapton</t>
  </si>
  <si>
    <t>Strange Brew</t>
  </si>
  <si>
    <t>Clapton/Collins/Pappalardi</t>
  </si>
  <si>
    <t>White Room</t>
  </si>
  <si>
    <t>Bell Bottom Blues</t>
  </si>
  <si>
    <t>Clapton</t>
  </si>
  <si>
    <t>Cocaine</t>
  </si>
  <si>
    <t>Cale/Clapton</t>
  </si>
  <si>
    <t>I Shot The Sheriff</t>
  </si>
  <si>
    <t>Marley</t>
  </si>
  <si>
    <t>After Midnight</t>
  </si>
  <si>
    <t>Clapton/J. J. Cale</t>
  </si>
  <si>
    <t>Swing Low Sweet Chariot</t>
  </si>
  <si>
    <t>Clapton/Trad. Arr. Clapton</t>
  </si>
  <si>
    <t>Lay Down Sally</t>
  </si>
  <si>
    <t>Clapton/Levy</t>
  </si>
  <si>
    <t>Knockin On Heavens Door</t>
  </si>
  <si>
    <t>Clapton/Dylan</t>
  </si>
  <si>
    <t>Wonderful Tonight</t>
  </si>
  <si>
    <t>Let It Grow</t>
  </si>
  <si>
    <t>Promises</t>
  </si>
  <si>
    <t>Clapton/F.eldman/Linn</t>
  </si>
  <si>
    <t>I Can't Stand It</t>
  </si>
  <si>
    <t>Signe</t>
  </si>
  <si>
    <t>Unplugged</t>
  </si>
  <si>
    <t>Eugene McDaniel</t>
  </si>
  <si>
    <t>Hey Hey</t>
  </si>
  <si>
    <t>Big Bill Broonzy</t>
  </si>
  <si>
    <t>Tears In Heaven</t>
  </si>
  <si>
    <t>Eric Clapton, Will Jennings</t>
  </si>
  <si>
    <t>Lonely Stranger</t>
  </si>
  <si>
    <t>Nobody Knows You When You're Down &amp; Out</t>
  </si>
  <si>
    <t>Jimmy Cox</t>
  </si>
  <si>
    <t>Eric Clapton, Jim Gordon</t>
  </si>
  <si>
    <t>Running On Faith</t>
  </si>
  <si>
    <t>Jerry Lynn Williams</t>
  </si>
  <si>
    <t>Walkin' Blues</t>
  </si>
  <si>
    <t>Robert Johnson</t>
  </si>
  <si>
    <t>Alberta</t>
  </si>
  <si>
    <t>San Francisco Bay Blues</t>
  </si>
  <si>
    <t>Jesse Fuller</t>
  </si>
  <si>
    <t>Malted Milk</t>
  </si>
  <si>
    <t>Old Love</t>
  </si>
  <si>
    <t>Eric Clapton, Robert Cray</t>
  </si>
  <si>
    <t>Rollin' And Tumblin'</t>
  </si>
  <si>
    <t>McKinley Morgenfield (Muddy Waters)</t>
  </si>
  <si>
    <t>Collision</t>
  </si>
  <si>
    <t>Album Of The Year</t>
  </si>
  <si>
    <t>Faith No More</t>
  </si>
  <si>
    <t>Jon Hudson/Mike Patton</t>
  </si>
  <si>
    <t>Stripsearch</t>
  </si>
  <si>
    <t>Jon Hudson/Mike Bordin/Mike Patton</t>
  </si>
  <si>
    <t>Last Cup Of Sorrow</t>
  </si>
  <si>
    <t>Bill Gould/Mike Patton</t>
  </si>
  <si>
    <t>Naked In Front Of The Computer</t>
  </si>
  <si>
    <t>Mike Patton</t>
  </si>
  <si>
    <t>Helpless</t>
  </si>
  <si>
    <t>Bill Gould/Mike Bordin/Mike Patton</t>
  </si>
  <si>
    <t>Mouth To Mouth</t>
  </si>
  <si>
    <t>Bill Gould/Jon Hudson/Mike Bordin/Mike Patton</t>
  </si>
  <si>
    <t>Ashes To Ashes</t>
  </si>
  <si>
    <t>Bill Gould/Jon Hudson/Mike Bordin/Mike Patton/Roddy Bottum</t>
  </si>
  <si>
    <t>She Loves Me Not</t>
  </si>
  <si>
    <t>Got That Feeling</t>
  </si>
  <si>
    <t>Paths Of Glory</t>
  </si>
  <si>
    <t>Home Sick Home</t>
  </si>
  <si>
    <t>Pristina</t>
  </si>
  <si>
    <t>Land Of Sunshine</t>
  </si>
  <si>
    <t>Angel Dust</t>
  </si>
  <si>
    <t>Caffeine</t>
  </si>
  <si>
    <t>Midlife Crisis</t>
  </si>
  <si>
    <t>RV</t>
  </si>
  <si>
    <t>Smaller And Smaller</t>
  </si>
  <si>
    <t>Everything's Ruined</t>
  </si>
  <si>
    <t>Malpractice</t>
  </si>
  <si>
    <t>Kindergarten</t>
  </si>
  <si>
    <t>Be Aggressive</t>
  </si>
  <si>
    <t>A Small Victory</t>
  </si>
  <si>
    <t>Crack Hitler</t>
  </si>
  <si>
    <t>Jizzlobber</t>
  </si>
  <si>
    <t>Midnight Cowboy</t>
  </si>
  <si>
    <t>Easy</t>
  </si>
  <si>
    <t>Get Out</t>
  </si>
  <si>
    <t>King For A Day Fool For A Lifetime</t>
  </si>
  <si>
    <t>Mike Bordin, Billy Gould, Mike Patton</t>
  </si>
  <si>
    <t>Ricochet</t>
  </si>
  <si>
    <t>Evidence</t>
  </si>
  <si>
    <t>Mike Bordin, Billy Gould, Mike Patton, Trey Spruance</t>
  </si>
  <si>
    <t>The Gentle Art Of Making Enemies</t>
  </si>
  <si>
    <t>Star A.D.</t>
  </si>
  <si>
    <t>Cuckoo For Caca</t>
  </si>
  <si>
    <t>Caralho Voador</t>
  </si>
  <si>
    <t>Ugly In The Morning</t>
  </si>
  <si>
    <t>Digging The Grave</t>
  </si>
  <si>
    <t>Take This Bottle</t>
  </si>
  <si>
    <t>King For A Day</t>
  </si>
  <si>
    <t>What A Day</t>
  </si>
  <si>
    <t>The Last To Know</t>
  </si>
  <si>
    <t>Just A Man</t>
  </si>
  <si>
    <t>Absolute Zero</t>
  </si>
  <si>
    <t>From Out Of Nowhere</t>
  </si>
  <si>
    <t>The Real Thing</t>
  </si>
  <si>
    <t>Epic</t>
  </si>
  <si>
    <t>Falling To Pieces</t>
  </si>
  <si>
    <t>Surprise! You're Dead!</t>
  </si>
  <si>
    <t>Zombie Eaters</t>
  </si>
  <si>
    <t>Underwater Love</t>
  </si>
  <si>
    <t>The Morning After</t>
  </si>
  <si>
    <t>Woodpecker From Mars</t>
  </si>
  <si>
    <t>War Pigs</t>
  </si>
  <si>
    <t>Edge Of The World</t>
  </si>
  <si>
    <t>Deixa Entrar</t>
  </si>
  <si>
    <t>Falamansa</t>
  </si>
  <si>
    <t>Falamansa Song</t>
  </si>
  <si>
    <t>Xote Dos Milagres</t>
  </si>
  <si>
    <t>Rindo À Toa</t>
  </si>
  <si>
    <t>Confidência</t>
  </si>
  <si>
    <t>Forró De Tóquio</t>
  </si>
  <si>
    <t>Zeca Violeiro</t>
  </si>
  <si>
    <t>Avisa</t>
  </si>
  <si>
    <t>Principiando/Decolagem</t>
  </si>
  <si>
    <t>Asas</t>
  </si>
  <si>
    <t>Medo De Escuro</t>
  </si>
  <si>
    <t>Oração</t>
  </si>
  <si>
    <t>Minha Gata</t>
  </si>
  <si>
    <t>Desaforo</t>
  </si>
  <si>
    <t>In Your Honor</t>
  </si>
  <si>
    <t>In Your Honor [Disc 1]</t>
  </si>
  <si>
    <t>Foo Fighters</t>
  </si>
  <si>
    <t>Dave Grohl, Taylor Hawkins, Nate Mendel, Chris Shiflett</t>
  </si>
  <si>
    <t>No Way Back</t>
  </si>
  <si>
    <t>Best Of You</t>
  </si>
  <si>
    <t>DOA</t>
  </si>
  <si>
    <t>Hell</t>
  </si>
  <si>
    <t>The Last Song</t>
  </si>
  <si>
    <t>Free Me</t>
  </si>
  <si>
    <t>Resolve</t>
  </si>
  <si>
    <t>The Deepest Blues Are Black</t>
  </si>
  <si>
    <t>End Over End</t>
  </si>
  <si>
    <t>Still</t>
  </si>
  <si>
    <t>In Your Honor [Disc 2]</t>
  </si>
  <si>
    <t>Dave Grohl, Taylor Hawkins, Nate Mendel, Chris Shiflett/FOO FIGHTERS</t>
  </si>
  <si>
    <t>What If I Do?</t>
  </si>
  <si>
    <t>Miracle</t>
  </si>
  <si>
    <t>Another Round</t>
  </si>
  <si>
    <t>Friend Of A Friend</t>
  </si>
  <si>
    <t>Over And Out</t>
  </si>
  <si>
    <t>On The Mend</t>
  </si>
  <si>
    <t>Virginia Moon</t>
  </si>
  <si>
    <t>Cold Day In The Sun</t>
  </si>
  <si>
    <t>Razor</t>
  </si>
  <si>
    <t>All My Life</t>
  </si>
  <si>
    <t>One By One</t>
  </si>
  <si>
    <t>Low</t>
  </si>
  <si>
    <t>Have It All</t>
  </si>
  <si>
    <t>Times Like These</t>
  </si>
  <si>
    <t>Disenchanted Lullaby</t>
  </si>
  <si>
    <t>Tired Of You</t>
  </si>
  <si>
    <t>Halo</t>
  </si>
  <si>
    <t>Lonely As You</t>
  </si>
  <si>
    <t>Overdrive</t>
  </si>
  <si>
    <t>Burn Away</t>
  </si>
  <si>
    <t>Come Back</t>
  </si>
  <si>
    <t>Doll</t>
  </si>
  <si>
    <t>The Colour And The Shape</t>
  </si>
  <si>
    <t>Dave, Taylor, Nate, Chris</t>
  </si>
  <si>
    <t>Monkey Wrench</t>
  </si>
  <si>
    <t>Hey, Johnny Park!</t>
  </si>
  <si>
    <t>My Poor Brain</t>
  </si>
  <si>
    <t>Wind Up</t>
  </si>
  <si>
    <t>Up In Arms</t>
  </si>
  <si>
    <t>My Hero</t>
  </si>
  <si>
    <t>See You</t>
  </si>
  <si>
    <t>Enough Space</t>
  </si>
  <si>
    <t>Dave Grohl</t>
  </si>
  <si>
    <t>February Stars</t>
  </si>
  <si>
    <t>Everlong</t>
  </si>
  <si>
    <t>Walking After You</t>
  </si>
  <si>
    <t>New Way Home</t>
  </si>
  <si>
    <t>My Way</t>
  </si>
  <si>
    <t>My Way: The Best Of Frank Sinatra [Disc 1]</t>
  </si>
  <si>
    <t>Frank Sinatra</t>
  </si>
  <si>
    <t>Easy Listening</t>
  </si>
  <si>
    <t>claude françois/gilles thibault/jacques revaux/paul anka</t>
  </si>
  <si>
    <t>Strangers In The Night</t>
  </si>
  <si>
    <t>berthold kaempfert/charles singleton/eddie snyder</t>
  </si>
  <si>
    <t>New York, New York</t>
  </si>
  <si>
    <t>fred ebb/john kander</t>
  </si>
  <si>
    <t>I Get A Kick Out Of You</t>
  </si>
  <si>
    <t>cole porter</t>
  </si>
  <si>
    <t>Something Stupid</t>
  </si>
  <si>
    <t>carson c. parks</t>
  </si>
  <si>
    <t>Moon River</t>
  </si>
  <si>
    <t>henry mancini/johnny mercer</t>
  </si>
  <si>
    <t>What Now My Love</t>
  </si>
  <si>
    <t>carl sigman/gilbert becaud/pierre leroyer</t>
  </si>
  <si>
    <t>Summer Love</t>
  </si>
  <si>
    <t>hans bradtke/heinz meier/johnny mercer</t>
  </si>
  <si>
    <t>For Once In My Life</t>
  </si>
  <si>
    <t>orlando murden/ronald miller</t>
  </si>
  <si>
    <t>Love And Marriage</t>
  </si>
  <si>
    <t>jimmy van heusen/sammy cahn</t>
  </si>
  <si>
    <t>They Can't Take That Away From Me</t>
  </si>
  <si>
    <t>george gershwin/ira gershwin</t>
  </si>
  <si>
    <t>My Kind Of Town</t>
  </si>
  <si>
    <t>Fly Me To The Moon</t>
  </si>
  <si>
    <t>bart howard</t>
  </si>
  <si>
    <t>I've Got You Under My Skin</t>
  </si>
  <si>
    <t>The Best Is Yet To Come</t>
  </si>
  <si>
    <t>carolyn leigh/cy coleman</t>
  </si>
  <si>
    <t>It Was A Very Good Year</t>
  </si>
  <si>
    <t>ervin drake</t>
  </si>
  <si>
    <t>Come Fly With Me</t>
  </si>
  <si>
    <t>That's Life</t>
  </si>
  <si>
    <t>dean kay thompson/kelly gordon</t>
  </si>
  <si>
    <t>The Girl From Ipanema</t>
  </si>
  <si>
    <t>antonio carlos jobim/norman gimbel/vinicius de moraes</t>
  </si>
  <si>
    <t>The Lady Is A Tramp</t>
  </si>
  <si>
    <t>lorenz hart/richard rodgers</t>
  </si>
  <si>
    <t>Bad, Bad Leroy Brown</t>
  </si>
  <si>
    <t>jim croce</t>
  </si>
  <si>
    <t>Mack The Knife</t>
  </si>
  <si>
    <t>bert brecht/kurt weill/marc blitzstein</t>
  </si>
  <si>
    <t>Loves Been Good To Me</t>
  </si>
  <si>
    <t>rod mckuen</t>
  </si>
  <si>
    <t>L.A. Is My Lady</t>
  </si>
  <si>
    <t>alan bergman/marilyn bergman/peggy lipton jones/quincy jones</t>
  </si>
  <si>
    <t>Entrando Na Sua (Intro)</t>
  </si>
  <si>
    <t>Roda De Funk</t>
  </si>
  <si>
    <t>Funk Como Le Gusta</t>
  </si>
  <si>
    <t>Nervosa</t>
  </si>
  <si>
    <t>Funk De Bamba (Com Fernanda Abreu)</t>
  </si>
  <si>
    <t>Call Me At Cleo´s</t>
  </si>
  <si>
    <t>Olhos Coloridos (Com Sandra De Sá)</t>
  </si>
  <si>
    <t>Zambação</t>
  </si>
  <si>
    <t>Funk Hum</t>
  </si>
  <si>
    <t>Forty Days (Com DJ Hum)</t>
  </si>
  <si>
    <t>Balada Da Paula</t>
  </si>
  <si>
    <t>Emerson Villani</t>
  </si>
  <si>
    <t>Dujji</t>
  </si>
  <si>
    <t>Meu Guarda-Chuva</t>
  </si>
  <si>
    <t>Motéis</t>
  </si>
  <si>
    <t>Whistle Stop</t>
  </si>
  <si>
    <t>16 Toneladas</t>
  </si>
  <si>
    <t>Divirta-Se (Saindo Da Sua)</t>
  </si>
  <si>
    <t>Forty Days Instrumental</t>
  </si>
  <si>
    <t>Óia Eu Aqui De Novo</t>
  </si>
  <si>
    <t>As Canções de Eu Tu Eles</t>
  </si>
  <si>
    <t>Baião Da Penha</t>
  </si>
  <si>
    <t>Esperando Na Janela</t>
  </si>
  <si>
    <t>Manuca/Raimundinho DoAcordion/Targino Godim</t>
  </si>
  <si>
    <t>Juazeiro</t>
  </si>
  <si>
    <t>Humberto Teixeira/Luiz Gonzaga</t>
  </si>
  <si>
    <t>Último Pau-De-Arara</t>
  </si>
  <si>
    <t>Corumbá/José Gumarães/Venancio</t>
  </si>
  <si>
    <t>Asa Branca</t>
  </si>
  <si>
    <t>Qui Nem Jiló</t>
  </si>
  <si>
    <t>Assum Preto</t>
  </si>
  <si>
    <t>Pau-De-Arara</t>
  </si>
  <si>
    <t>Guio De Morais E Seus "Parentes"/Luiz Gonzaga</t>
  </si>
  <si>
    <t>A Volta Da Asa Branca</t>
  </si>
  <si>
    <t>Luiz Gonzaga/Zé Dantas</t>
  </si>
  <si>
    <t>O Amor Daqui De Casa</t>
  </si>
  <si>
    <t>As Pegadas Do Amor</t>
  </si>
  <si>
    <t>Lamento Sertanejo</t>
  </si>
  <si>
    <t>Dominguinhos/Gilberto Gil</t>
  </si>
  <si>
    <t>Casinha Feliz</t>
  </si>
  <si>
    <t>Introdução (Live)</t>
  </si>
  <si>
    <t>Quanta Gente Veio Ver (Live)</t>
  </si>
  <si>
    <t>Palco (Live)</t>
  </si>
  <si>
    <t>Is This Love (Live)</t>
  </si>
  <si>
    <t>Stir It Up (Live)</t>
  </si>
  <si>
    <t>Refavela (Live)</t>
  </si>
  <si>
    <t>Vendedor De Caranguejo (Live)</t>
  </si>
  <si>
    <t>Quanta (Live)</t>
  </si>
  <si>
    <t>Estrela (Live)</t>
  </si>
  <si>
    <t>Pela Internet (Live)</t>
  </si>
  <si>
    <t>Cérebro Eletrônico (Live)</t>
  </si>
  <si>
    <t>Opachorô (Live)</t>
  </si>
  <si>
    <t>Copacabana (Live)</t>
  </si>
  <si>
    <t>A Novidade (Live)</t>
  </si>
  <si>
    <t>Ghandi (Live)</t>
  </si>
  <si>
    <t>De Ouro E Marfim (Live)</t>
  </si>
  <si>
    <t>Doce De Carnaval (Candy All)</t>
  </si>
  <si>
    <t>Quanta Gente Veio ver--Bônus De Carnaval</t>
  </si>
  <si>
    <t>Lamento De Carnaval</t>
  </si>
  <si>
    <t>Pretinha</t>
  </si>
  <si>
    <t>A Novidade</t>
  </si>
  <si>
    <t>Tenho Sede</t>
  </si>
  <si>
    <t>Refazenda</t>
  </si>
  <si>
    <t>Realce</t>
  </si>
  <si>
    <t>Esotérico</t>
  </si>
  <si>
    <t>Beira Mar</t>
  </si>
  <si>
    <t>Parabolicamará</t>
  </si>
  <si>
    <t>Tempo Rei</t>
  </si>
  <si>
    <t>Expresso 2222</t>
  </si>
  <si>
    <t>Aquele Abraço</t>
  </si>
  <si>
    <t>Palco</t>
  </si>
  <si>
    <t>Toda Menina Baiana</t>
  </si>
  <si>
    <t>Sítio Do Pica-Pau Amarelo</t>
  </si>
  <si>
    <t>Straight Out Of Line</t>
  </si>
  <si>
    <t>Faceless</t>
  </si>
  <si>
    <t>Godsmack</t>
  </si>
  <si>
    <t>Sully Erna</t>
  </si>
  <si>
    <t>Sully Erna; Tony Rombola</t>
  </si>
  <si>
    <t>Make Me Believe</t>
  </si>
  <si>
    <t>I Stand Alone</t>
  </si>
  <si>
    <t>Re-Align</t>
  </si>
  <si>
    <t>I Fucking Hate You</t>
  </si>
  <si>
    <t>Releasing The Demons</t>
  </si>
  <si>
    <t>Dead And Broken</t>
  </si>
  <si>
    <t>I Am</t>
  </si>
  <si>
    <t>The Awakening</t>
  </si>
  <si>
    <t>Serenity</t>
  </si>
  <si>
    <t>American Idiot</t>
  </si>
  <si>
    <t>Billie Joe Armstrong, Mike Dirnt, Tré Cool</t>
  </si>
  <si>
    <t>Jesus Of Suburbia / City Of The Damned / I Don't Care / Dearly Beloved / Tales Of Another Broken Home</t>
  </si>
  <si>
    <t>Billie Joe Armstrong/Green Day</t>
  </si>
  <si>
    <t>Holiday</t>
  </si>
  <si>
    <t>Boulevard Of Broken Dreams</t>
  </si>
  <si>
    <t>Mike Dint, Billie Joe, Tré Cool</t>
  </si>
  <si>
    <t>Are We The Waiting</t>
  </si>
  <si>
    <t>St. Jimmy</t>
  </si>
  <si>
    <t>Give Me Novacaine</t>
  </si>
  <si>
    <t>She's A Rebel</t>
  </si>
  <si>
    <t>Extraordinary Girl</t>
  </si>
  <si>
    <t>Letterbomb</t>
  </si>
  <si>
    <t>Wake Me Up When September Ends</t>
  </si>
  <si>
    <t>Homecoming / The Death Of St. Jimmy / East 12th St. / Nobody Likes You / Rock And Roll Girlfriend / We're Coming Home Again</t>
  </si>
  <si>
    <t>Mike Dirnt/Tré Cool</t>
  </si>
  <si>
    <t>Whatsername</t>
  </si>
  <si>
    <t>Welcome to the Jungle</t>
  </si>
  <si>
    <t>Appetite for Destruction</t>
  </si>
  <si>
    <t>Guns N' Roses</t>
  </si>
  <si>
    <t>It's So Easy</t>
  </si>
  <si>
    <t>Nightrain</t>
  </si>
  <si>
    <t>Out Ta Get Me</t>
  </si>
  <si>
    <t>Mr. Brownstone</t>
  </si>
  <si>
    <t>Paradise City</t>
  </si>
  <si>
    <t>My Michelle</t>
  </si>
  <si>
    <t>Think About You</t>
  </si>
  <si>
    <t>Sweet Child O' Mine</t>
  </si>
  <si>
    <t>You're Crazy</t>
  </si>
  <si>
    <t>Anything Goes</t>
  </si>
  <si>
    <t>Rocket Queen</t>
  </si>
  <si>
    <t>Right Next Door to Hell</t>
  </si>
  <si>
    <t>Use Your Illusion I</t>
  </si>
  <si>
    <t>Dust N' Bones</t>
  </si>
  <si>
    <t>Live and Let Die</t>
  </si>
  <si>
    <t>Don't Cry (Original)</t>
  </si>
  <si>
    <t>Perfect Crime</t>
  </si>
  <si>
    <t>You Ain't the First</t>
  </si>
  <si>
    <t>Bad Obsession</t>
  </si>
  <si>
    <t>Back off Bitch</t>
  </si>
  <si>
    <t>Double Talkin' Jive</t>
  </si>
  <si>
    <t>November Rain</t>
  </si>
  <si>
    <t>The Garden</t>
  </si>
  <si>
    <t>Garden of Eden</t>
  </si>
  <si>
    <t>Don't Damn Me</t>
  </si>
  <si>
    <t>Bad Apples</t>
  </si>
  <si>
    <t>Dead Horse</t>
  </si>
  <si>
    <t>Coma</t>
  </si>
  <si>
    <t>Civil War</t>
  </si>
  <si>
    <t>Use Your Illusion II</t>
  </si>
  <si>
    <t>Duff McKagan/Slash/W. Axl Rose</t>
  </si>
  <si>
    <t>14 Years</t>
  </si>
  <si>
    <t>Izzy Stradlin'/W. Axl Rose</t>
  </si>
  <si>
    <t>Yesterdays</t>
  </si>
  <si>
    <t>Billy/Del James/W. Axl Rose/West Arkeen</t>
  </si>
  <si>
    <t>Knockin' On Heaven's Door</t>
  </si>
  <si>
    <t>Bob Dylan</t>
  </si>
  <si>
    <t>Get In The Ring</t>
  </si>
  <si>
    <t>Shotgun Blues</t>
  </si>
  <si>
    <t>W. Axl Rose</t>
  </si>
  <si>
    <t>Breakdown</t>
  </si>
  <si>
    <t>Pretty Tied Up</t>
  </si>
  <si>
    <t>Izzy Stradlin'</t>
  </si>
  <si>
    <t>Locomotive</t>
  </si>
  <si>
    <t>Slash/W. Axl Rose</t>
  </si>
  <si>
    <t>So Fine</t>
  </si>
  <si>
    <t>Duff McKagan</t>
  </si>
  <si>
    <t>Estranged</t>
  </si>
  <si>
    <t>You Could Be Mine</t>
  </si>
  <si>
    <t>Don't Cry</t>
  </si>
  <si>
    <t>My World</t>
  </si>
  <si>
    <t>Colibri</t>
  </si>
  <si>
    <t>Blue Moods</t>
  </si>
  <si>
    <t>Incognito</t>
  </si>
  <si>
    <t>Richard Bull</t>
  </si>
  <si>
    <t>Love Is The Colour</t>
  </si>
  <si>
    <t>R. Carless</t>
  </si>
  <si>
    <t>Magnetic Ocean</t>
  </si>
  <si>
    <t>Patrick Claher/Richard Bull</t>
  </si>
  <si>
    <t>Deep Waters</t>
  </si>
  <si>
    <t>L'Arc En Ciel De Miles</t>
  </si>
  <si>
    <t>Kevin Robinson/Richard Bull</t>
  </si>
  <si>
    <t>Kevin Robinson</t>
  </si>
  <si>
    <t>Journey Into Sunlight</t>
  </si>
  <si>
    <t>Jean Paul Maunick</t>
  </si>
  <si>
    <t>Sunchild</t>
  </si>
  <si>
    <t>Graham Harvey</t>
  </si>
  <si>
    <t>Millenium</t>
  </si>
  <si>
    <t>Maxton Gig Beesley Jnr.</t>
  </si>
  <si>
    <t>Thinking 'Bout Tomorrow</t>
  </si>
  <si>
    <t>Fayyaz Virgi/Richard Bull</t>
  </si>
  <si>
    <t>Jacob's Ladder</t>
  </si>
  <si>
    <t>Julian Crampton</t>
  </si>
  <si>
    <t>She Wears Black</t>
  </si>
  <si>
    <t>G Harvey/R Hope-Taylor</t>
  </si>
  <si>
    <t>Dark Side Of The Cog</t>
  </si>
  <si>
    <t>Different World</t>
  </si>
  <si>
    <t>A Matter of Life and Death</t>
  </si>
  <si>
    <t>Iron Maiden</t>
  </si>
  <si>
    <t>These Colours Don't Run</t>
  </si>
  <si>
    <t>Brighter Than a Thousand Suns</t>
  </si>
  <si>
    <t>The Pilgrim</t>
  </si>
  <si>
    <t>The Longest Day</t>
  </si>
  <si>
    <t>Out of the Shadows</t>
  </si>
  <si>
    <t>The Reincarnation of Benjamin Breeg</t>
  </si>
  <si>
    <t>For the Greater Good of God</t>
  </si>
  <si>
    <t>Lord of Light</t>
  </si>
  <si>
    <t>The Legacy</t>
  </si>
  <si>
    <t>Hallowed Be Thy Name (Live) [Non Album Bonus Track]</t>
  </si>
  <si>
    <t>The Number Of The Beast</t>
  </si>
  <si>
    <t>A Real Dead One</t>
  </si>
  <si>
    <t>Steve Harris</t>
  </si>
  <si>
    <t>The Trooper</t>
  </si>
  <si>
    <t>Prowler</t>
  </si>
  <si>
    <t>Transylvania</t>
  </si>
  <si>
    <t>Remember Tomorrow</t>
  </si>
  <si>
    <t>Paul Di'Anno/Steve Harris</t>
  </si>
  <si>
    <t>Where Eagles Dare</t>
  </si>
  <si>
    <t>Sanctuary</t>
  </si>
  <si>
    <t>David Murray/Paul Di'Anno/Steve Harris</t>
  </si>
  <si>
    <t>Running Free</t>
  </si>
  <si>
    <t>Run To The Hilss</t>
  </si>
  <si>
    <t>2 Minutes To Midnight</t>
  </si>
  <si>
    <t>Adrian Smith/Bruce Dickinson</t>
  </si>
  <si>
    <t>Hallowed Be Thy Name</t>
  </si>
  <si>
    <t>Be Quick Or Be Dead</t>
  </si>
  <si>
    <t>A Real Live One</t>
  </si>
  <si>
    <t>Bruce Dickinson/Janick Gers</t>
  </si>
  <si>
    <t>From Here To Eternity</t>
  </si>
  <si>
    <t>Can I Play With Madness</t>
  </si>
  <si>
    <t>Adrian Smith/Bruce Dickinson/Steve Harris</t>
  </si>
  <si>
    <t>Wasting Love</t>
  </si>
  <si>
    <t>Tailgunner</t>
  </si>
  <si>
    <t>Bruce Dickinson/Steve Harris</t>
  </si>
  <si>
    <t>The Evil That Men Do</t>
  </si>
  <si>
    <t>Afraid To Shoot Strangers</t>
  </si>
  <si>
    <t>Bring Your Daughter... To The Slaughter</t>
  </si>
  <si>
    <t>Heaven Can Wait</t>
  </si>
  <si>
    <t>The Clairvoyant</t>
  </si>
  <si>
    <t>Fear Of The Dark</t>
  </si>
  <si>
    <t>The Wicker Man</t>
  </si>
  <si>
    <t>Brave New World</t>
  </si>
  <si>
    <t>Ghost Of The Navigator</t>
  </si>
  <si>
    <t>Bruce Dickinson/Janick Gers/Steve Harris</t>
  </si>
  <si>
    <t>Bruce Dickinson/David Murray/Steve Harris</t>
  </si>
  <si>
    <t>Blood Brothers</t>
  </si>
  <si>
    <t>The Mercenary</t>
  </si>
  <si>
    <t>Janick Gers/Steve Harris</t>
  </si>
  <si>
    <t>Dream Of Mirrors</t>
  </si>
  <si>
    <t>The Fallen Angel</t>
  </si>
  <si>
    <t>Adrian Smith/Steve Harris</t>
  </si>
  <si>
    <t>The Nomad</t>
  </si>
  <si>
    <t>David Murray/Steve Harris</t>
  </si>
  <si>
    <t>Out Of The Silent Planet</t>
  </si>
  <si>
    <t>The Thin Line Between Love &amp; Hate</t>
  </si>
  <si>
    <t>Wildest Dreams</t>
  </si>
  <si>
    <t>Dance Of Death</t>
  </si>
  <si>
    <t>Heavy Metal</t>
  </si>
  <si>
    <t>Rainmaker</t>
  </si>
  <si>
    <t>No More Lies</t>
  </si>
  <si>
    <t>Montsegur</t>
  </si>
  <si>
    <t>Gates Of Tomorrow</t>
  </si>
  <si>
    <t>New Frontier</t>
  </si>
  <si>
    <t>Adrian Smith/Bruce Dickinson/Nicko McBrain</t>
  </si>
  <si>
    <t>Paschendale</t>
  </si>
  <si>
    <t>Face In The Sand</t>
  </si>
  <si>
    <t>Age Of Innocence</t>
  </si>
  <si>
    <t>Journeyman</t>
  </si>
  <si>
    <t>Fear Is The Key</t>
  </si>
  <si>
    <t>Childhood's End</t>
  </si>
  <si>
    <t>The Fugitive</t>
  </si>
  <si>
    <t>Chains Of Misery</t>
  </si>
  <si>
    <t>Bruce Dickinson/David Murray</t>
  </si>
  <si>
    <t>The Apparition</t>
  </si>
  <si>
    <t>Judas Be My Guide</t>
  </si>
  <si>
    <t>Weekend Warrior</t>
  </si>
  <si>
    <t>01 - Prowler</t>
  </si>
  <si>
    <t>02 - Sanctuary</t>
  </si>
  <si>
    <t>03 - Remember Tomorrow</t>
  </si>
  <si>
    <t>Harris/Paul Di´Anno</t>
  </si>
  <si>
    <t>04 - Running Free</t>
  </si>
  <si>
    <t>05 - Phantom of the Opera</t>
  </si>
  <si>
    <t>06 - Transylvania</t>
  </si>
  <si>
    <t>07 - Strange World</t>
  </si>
  <si>
    <t>08 - Charlotte the Harlot</t>
  </si>
  <si>
    <t>Murray  Dave</t>
  </si>
  <si>
    <t>09 - Iron Maiden</t>
  </si>
  <si>
    <t>The Ides Of March</t>
  </si>
  <si>
    <t>Killers</t>
  </si>
  <si>
    <t>Wrathchild</t>
  </si>
  <si>
    <t>Murders In The Rue Morgue</t>
  </si>
  <si>
    <t>Another Life</t>
  </si>
  <si>
    <t>Genghis Khan</t>
  </si>
  <si>
    <t>Innocent Exile</t>
  </si>
  <si>
    <t>Di´Anno/Harris</t>
  </si>
  <si>
    <t>Prodigal Son</t>
  </si>
  <si>
    <t>Purgatory</t>
  </si>
  <si>
    <t>Intro- Churchill S Speech</t>
  </si>
  <si>
    <t>Live After Death</t>
  </si>
  <si>
    <t>Aces High</t>
  </si>
  <si>
    <t>Smith/Dickinson</t>
  </si>
  <si>
    <t>Harris</t>
  </si>
  <si>
    <t>Revelations</t>
  </si>
  <si>
    <t>Dickinson</t>
  </si>
  <si>
    <t>Flight Of Icarus</t>
  </si>
  <si>
    <t>Rime Of The Ancient Mariner</t>
  </si>
  <si>
    <t>Powerslave</t>
  </si>
  <si>
    <t>Run To The Hills</t>
  </si>
  <si>
    <t>Harris/Di Anno</t>
  </si>
  <si>
    <t>Acacia Avenue</t>
  </si>
  <si>
    <t>Children Of The Damned</t>
  </si>
  <si>
    <t>Die With Your Boots On</t>
  </si>
  <si>
    <t>Phantom Of The Opera</t>
  </si>
  <si>
    <t>Live At Donington 1992 (Disc 1)</t>
  </si>
  <si>
    <t>Bring Your Daughter... To The Slaughter...</t>
  </si>
  <si>
    <t>Live At Donington 1992 (Disc 2)</t>
  </si>
  <si>
    <t>No Prayer For The Dying</t>
  </si>
  <si>
    <t>Holy Smoke</t>
  </si>
  <si>
    <t>Public Enema Number One</t>
  </si>
  <si>
    <t>Fates Warning</t>
  </si>
  <si>
    <t>The Assassin</t>
  </si>
  <si>
    <t>Run Silent Run Deep</t>
  </si>
  <si>
    <t>Hooks In You</t>
  </si>
  <si>
    <t>Bring Your Daughter... ...To The Slaughter</t>
  </si>
  <si>
    <t>Mother Russia</t>
  </si>
  <si>
    <t>Piece Of Mind</t>
  </si>
  <si>
    <t>Flight Of The Icarus</t>
  </si>
  <si>
    <t>Still Life</t>
  </si>
  <si>
    <t>Quest For Fire</t>
  </si>
  <si>
    <t>Sun And Steel</t>
  </si>
  <si>
    <t>To Tame A Land</t>
  </si>
  <si>
    <t>Losfer Words</t>
  </si>
  <si>
    <t>Flash of The Blade</t>
  </si>
  <si>
    <t>Duelists</t>
  </si>
  <si>
    <t>Back in the Village</t>
  </si>
  <si>
    <t>Dickinson/Smith</t>
  </si>
  <si>
    <t>Rime of the Ancient Mariner</t>
  </si>
  <si>
    <t>Intro</t>
  </si>
  <si>
    <t>Rock In Rio [CD1]</t>
  </si>
  <si>
    <t>Sign Of The Cross</t>
  </si>
  <si>
    <t>Rock In Rio [CD2]</t>
  </si>
  <si>
    <t>The Clansman</t>
  </si>
  <si>
    <t>Moonchild</t>
  </si>
  <si>
    <t>Seventh Son of a Seventh Son</t>
  </si>
  <si>
    <t>Adrian Smith; Bruce Dickinson</t>
  </si>
  <si>
    <t>Infinite Dreams</t>
  </si>
  <si>
    <t>Adrian Smith; Bruce Dickinson; Steve Harris</t>
  </si>
  <si>
    <t>The Prophecy</t>
  </si>
  <si>
    <t>Dave Murray; Steve Harris</t>
  </si>
  <si>
    <t>Only the Good Die Young</t>
  </si>
  <si>
    <t>Bruce Dickinson; Harris</t>
  </si>
  <si>
    <t>Caught Somewhere in Time</t>
  </si>
  <si>
    <t>Somewhere in Time</t>
  </si>
  <si>
    <t>Wasted Years</t>
  </si>
  <si>
    <t>Sea of Madness</t>
  </si>
  <si>
    <t>Stranger in a Strange Land</t>
  </si>
  <si>
    <t>Alexander the Great</t>
  </si>
  <si>
    <t>De Ja Vu</t>
  </si>
  <si>
    <t>The Loneliness of the Long Dis</t>
  </si>
  <si>
    <t>22 Acacia Avenue</t>
  </si>
  <si>
    <t>The Number of The Beast</t>
  </si>
  <si>
    <t>Children of the Damned</t>
  </si>
  <si>
    <t>Gangland</t>
  </si>
  <si>
    <t>Adrian Smith/Clive Burr/Steve Harris</t>
  </si>
  <si>
    <t>Invaders</t>
  </si>
  <si>
    <t>Run to the Hills</t>
  </si>
  <si>
    <t>The Prisoner</t>
  </si>
  <si>
    <t>The X Factor</t>
  </si>
  <si>
    <t>Lord Of The Flies</t>
  </si>
  <si>
    <t>Man On The Edge</t>
  </si>
  <si>
    <t>Blaze Bayley/Janick Gers</t>
  </si>
  <si>
    <t>Fortunes Of War</t>
  </si>
  <si>
    <t>Look For The Truth</t>
  </si>
  <si>
    <t>Blaze Bayley/Janick Gers/Steve Harris</t>
  </si>
  <si>
    <t>The Aftermath</t>
  </si>
  <si>
    <t>Judgement Of Heaven</t>
  </si>
  <si>
    <t>Blood On The World's Hands</t>
  </si>
  <si>
    <t>The Edge Of Darkness</t>
  </si>
  <si>
    <t>2 A.M.</t>
  </si>
  <si>
    <t>The Unbeliever</t>
  </si>
  <si>
    <t>Futureal</t>
  </si>
  <si>
    <t>Virtual XI</t>
  </si>
  <si>
    <t>Blaze Bayley/Steve Harris</t>
  </si>
  <si>
    <t>The Angel And The Gambler</t>
  </si>
  <si>
    <t>Lightning Strikes Twice</t>
  </si>
  <si>
    <t>When Two Worlds Collide</t>
  </si>
  <si>
    <t>Blaze Bayley/David Murray/Steve Harris</t>
  </si>
  <si>
    <t>The Educated Fool</t>
  </si>
  <si>
    <t>Don't Look To The Eyes Of A Stranger</t>
  </si>
  <si>
    <t>Como Estais Amigos</t>
  </si>
  <si>
    <t>Please Please Please</t>
  </si>
  <si>
    <t>Sex Machine</t>
  </si>
  <si>
    <t>James Brown</t>
  </si>
  <si>
    <t>R&amp;B/Soul</t>
  </si>
  <si>
    <t>James Brown/Johnny Terry</t>
  </si>
  <si>
    <t>Think</t>
  </si>
  <si>
    <t>Lowman Pauling</t>
  </si>
  <si>
    <t>Night Train</t>
  </si>
  <si>
    <t>Jimmy Forrest/Lewis C. Simpkins/Oscar Washington</t>
  </si>
  <si>
    <t>Out Of Sight</t>
  </si>
  <si>
    <t>Ted Wright</t>
  </si>
  <si>
    <t>Papa's Got A Brand New Bag Pt.1</t>
  </si>
  <si>
    <t>I Got You (I Feel Good)</t>
  </si>
  <si>
    <t>It's A Man's Man's Man's World</t>
  </si>
  <si>
    <t>Betty Newsome/James Brown</t>
  </si>
  <si>
    <t>Cold Sweat</t>
  </si>
  <si>
    <t>Alfred Ellis/James Brown</t>
  </si>
  <si>
    <t>Say It Loud, I'm Black And I'm Proud Pt.1</t>
  </si>
  <si>
    <t>Get Up (I Feel Like Being A) Sex Machine</t>
  </si>
  <si>
    <t>Bobby Byrd/James Brown/Ron Lenhoff</t>
  </si>
  <si>
    <t>Hey America</t>
  </si>
  <si>
    <t>Addie William Jones/Nat Jones</t>
  </si>
  <si>
    <t>Make It Funky Pt.1</t>
  </si>
  <si>
    <t>Charles Bobbitt/James Brown</t>
  </si>
  <si>
    <t>I'm A Greedy Man Pt.1</t>
  </si>
  <si>
    <t>Get On The Good Foot</t>
  </si>
  <si>
    <t>Fred Wesley/James Brown/Joseph Mims</t>
  </si>
  <si>
    <t>Get Up Offa That Thing</t>
  </si>
  <si>
    <t>Deanna Brown/Deidra Jenkins/Yamma Brown</t>
  </si>
  <si>
    <t>It's Too Funky In Here</t>
  </si>
  <si>
    <t>Brad Shapiro/George Jackson/Robert Miller/Walter Shaw</t>
  </si>
  <si>
    <t>Living In America</t>
  </si>
  <si>
    <t>Charlie Midnight/Dan Hartman</t>
  </si>
  <si>
    <t>I'm Real</t>
  </si>
  <si>
    <t>Full Force/James Brown</t>
  </si>
  <si>
    <t>Hot Pants Pt.1</t>
  </si>
  <si>
    <t>Fred Wesley/James Brown</t>
  </si>
  <si>
    <t>Soul Power (Live)</t>
  </si>
  <si>
    <t>When You Gonna Learn (Digeridoo)</t>
  </si>
  <si>
    <t>Emergency On Planet Earth</t>
  </si>
  <si>
    <t>Jamiroquai</t>
  </si>
  <si>
    <t>Jay Kay/Kay, Jay</t>
  </si>
  <si>
    <t>Too Young To Die</t>
  </si>
  <si>
    <t>Smith, Toby</t>
  </si>
  <si>
    <t>Hooked Up</t>
  </si>
  <si>
    <t>If I Like It, I Do It</t>
  </si>
  <si>
    <t>Gelder, Nick van</t>
  </si>
  <si>
    <t>Music Of The Wind</t>
  </si>
  <si>
    <t>Whatever It Is, I Just Can't Stop</t>
  </si>
  <si>
    <t>Blow Your Mind</t>
  </si>
  <si>
    <t>Revolution 1993</t>
  </si>
  <si>
    <t>Didgin' Out</t>
  </si>
  <si>
    <t>Buchanan, Wallis</t>
  </si>
  <si>
    <t>Canned Heat</t>
  </si>
  <si>
    <t>Synkronized</t>
  </si>
  <si>
    <t>Jay Kay</t>
  </si>
  <si>
    <t>Planet Home</t>
  </si>
  <si>
    <t>Jay Kay/Toby Smith</t>
  </si>
  <si>
    <t>Black Capricorn Day</t>
  </si>
  <si>
    <t>Soul Education</t>
  </si>
  <si>
    <t>Failling</t>
  </si>
  <si>
    <t>Destitute Illusions</t>
  </si>
  <si>
    <t>Derrick McKenzie/Jay Kay/Toby Smith</t>
  </si>
  <si>
    <t>Supersonic</t>
  </si>
  <si>
    <t>Butterfly</t>
  </si>
  <si>
    <t>Were Do We Go From Here</t>
  </si>
  <si>
    <t>Deeper Underground</t>
  </si>
  <si>
    <t>Toby Smith</t>
  </si>
  <si>
    <t>Just Another Story</t>
  </si>
  <si>
    <t>The Return Of The Space Cowboy</t>
  </si>
  <si>
    <t>Electronica/Dance</t>
  </si>
  <si>
    <t>Stillness In Time</t>
  </si>
  <si>
    <t>Half The Man</t>
  </si>
  <si>
    <t>Light Years</t>
  </si>
  <si>
    <t>Manifest Destiny</t>
  </si>
  <si>
    <t>The Kids</t>
  </si>
  <si>
    <t>Mr. Moon</t>
  </si>
  <si>
    <t>Stuard Zender/Toby Smith</t>
  </si>
  <si>
    <t>Scam</t>
  </si>
  <si>
    <t>Stuart Zender</t>
  </si>
  <si>
    <t>Journey To Arnhemland</t>
  </si>
  <si>
    <t>Toby Smith/Wallis Buchanan</t>
  </si>
  <si>
    <t>Morning Glory</t>
  </si>
  <si>
    <t>J. Kay/Jay Kay</t>
  </si>
  <si>
    <t>Space Cowboy</t>
  </si>
  <si>
    <t>Last Chance</t>
  </si>
  <si>
    <t>Get Born</t>
  </si>
  <si>
    <t>JET</t>
  </si>
  <si>
    <t>C. Cester/C. Muncey</t>
  </si>
  <si>
    <t>Are You Gonna Be My Girl</t>
  </si>
  <si>
    <t>C. Muncey/N. Cester</t>
  </si>
  <si>
    <t>Rollover D.J.</t>
  </si>
  <si>
    <t>C. Cester/N. Cester</t>
  </si>
  <si>
    <t>Look What You've Done</t>
  </si>
  <si>
    <t>N. Cester</t>
  </si>
  <si>
    <t>Get What You Need</t>
  </si>
  <si>
    <t>C. Cester/C. Muncey/N. Cester</t>
  </si>
  <si>
    <t>Move On</t>
  </si>
  <si>
    <t>Radio Song</t>
  </si>
  <si>
    <t>Get Me Outta Here</t>
  </si>
  <si>
    <t>Cold Hard Bitch</t>
  </si>
  <si>
    <t>Come Around Again</t>
  </si>
  <si>
    <t>Take It Or Leave It</t>
  </si>
  <si>
    <t>Lazy Gun</t>
  </si>
  <si>
    <t>Timothy</t>
  </si>
  <si>
    <t>C. Cester</t>
  </si>
  <si>
    <t>Foxy Lady</t>
  </si>
  <si>
    <t>Are You Experienced?</t>
  </si>
  <si>
    <t>Jimi Hendrix</t>
  </si>
  <si>
    <t>Manic Depression</t>
  </si>
  <si>
    <t>Red House</t>
  </si>
  <si>
    <t>Can You See Me</t>
  </si>
  <si>
    <t>Love Or Confusion</t>
  </si>
  <si>
    <t>I Don't Live Today</t>
  </si>
  <si>
    <t>May This Be Love</t>
  </si>
  <si>
    <t>Fire</t>
  </si>
  <si>
    <t>Third Stone From The Sun</t>
  </si>
  <si>
    <t>Remember</t>
  </si>
  <si>
    <t>Hey Joe</t>
  </si>
  <si>
    <t>Billy Roberts</t>
  </si>
  <si>
    <t>Stone Free</t>
  </si>
  <si>
    <t>Purple Haze</t>
  </si>
  <si>
    <t>51st Anniversary</t>
  </si>
  <si>
    <t>The Wind Cries Mary</t>
  </si>
  <si>
    <t>Highway Chile</t>
  </si>
  <si>
    <t>Surfing with the Alien</t>
  </si>
  <si>
    <t>Surfing with the Alien (Remastered)</t>
  </si>
  <si>
    <t>Joe Satriani</t>
  </si>
  <si>
    <t>Ice 9</t>
  </si>
  <si>
    <t>Crushing Day</t>
  </si>
  <si>
    <t>Always With Me, Always With You</t>
  </si>
  <si>
    <t>Satch Boogie</t>
  </si>
  <si>
    <t>Hill of the Skull</t>
  </si>
  <si>
    <t>J. Satriani</t>
  </si>
  <si>
    <t>Circles</t>
  </si>
  <si>
    <t>Lords of Karma</t>
  </si>
  <si>
    <t>Echo</t>
  </si>
  <si>
    <t>Engenho De Dentro</t>
  </si>
  <si>
    <t>Jorge Ben Jor 25 Anos</t>
  </si>
  <si>
    <t>Alcohol</t>
  </si>
  <si>
    <t>Mama Africa</t>
  </si>
  <si>
    <t>Salve Simpatia</t>
  </si>
  <si>
    <t>W/Brasil (Chama O Síndico)</t>
  </si>
  <si>
    <t>País Tropical</t>
  </si>
  <si>
    <t>Os Alquimistas Estão Chegando</t>
  </si>
  <si>
    <t>Charles Anjo 45</t>
  </si>
  <si>
    <t>Selassiê</t>
  </si>
  <si>
    <t>Menina Sarará</t>
  </si>
  <si>
    <t>Que Maravilha</t>
  </si>
  <si>
    <t>Santa Clara Clareou</t>
  </si>
  <si>
    <t>Filho Maravilha</t>
  </si>
  <si>
    <t>Taj Mahal</t>
  </si>
  <si>
    <t>Rapidamente</t>
  </si>
  <si>
    <t>Jota Quest-1995</t>
  </si>
  <si>
    <t>Jota Quest</t>
  </si>
  <si>
    <t>As Dores do Mundo</t>
  </si>
  <si>
    <t>Hyldon</t>
  </si>
  <si>
    <t>Vou Pra Ai</t>
  </si>
  <si>
    <t>My Brother</t>
  </si>
  <si>
    <t>Há Quanto Tempo</t>
  </si>
  <si>
    <t>Vício</t>
  </si>
  <si>
    <t>Encontrar Alguém</t>
  </si>
  <si>
    <t>Marco Tulio Lara/Rogerio Flausino</t>
  </si>
  <si>
    <t>Dance Enquanto é Tempo</t>
  </si>
  <si>
    <t>A Tarde</t>
  </si>
  <si>
    <t>Always Be All Right</t>
  </si>
  <si>
    <t>Sem Sentido</t>
  </si>
  <si>
    <t>Onibusfobia</t>
  </si>
  <si>
    <t>Pura Elegancia</t>
  </si>
  <si>
    <t>Cafezinho</t>
  </si>
  <si>
    <t>João Suplicy</t>
  </si>
  <si>
    <t>World</t>
  </si>
  <si>
    <t>Choramingando</t>
  </si>
  <si>
    <t>Por Merecer</t>
  </si>
  <si>
    <t>No Futuro</t>
  </si>
  <si>
    <t>Voce Inteira</t>
  </si>
  <si>
    <t>Cuando A Noite Vai Chegando</t>
  </si>
  <si>
    <t>Naquele Dia</t>
  </si>
  <si>
    <t>Equinocio</t>
  </si>
  <si>
    <t>Papelão</t>
  </si>
  <si>
    <t>Cuando Eu For Pro Ceu</t>
  </si>
  <si>
    <t>Do Nosso Amor</t>
  </si>
  <si>
    <t>Borogodo</t>
  </si>
  <si>
    <t>Enquanto O Dia Não Vem</t>
  </si>
  <si>
    <t>The Green Manalishi</t>
  </si>
  <si>
    <t>Living After Midnight</t>
  </si>
  <si>
    <t>Judas Priest</t>
  </si>
  <si>
    <t>Breaking The Law (Live)</t>
  </si>
  <si>
    <t>Hot Rockin'</t>
  </si>
  <si>
    <t>Heading Out To The Highway (Live)</t>
  </si>
  <si>
    <t>The Hellion</t>
  </si>
  <si>
    <t>Electric Eye</t>
  </si>
  <si>
    <t>You've Got Another Thing Comin'</t>
  </si>
  <si>
    <t>Turbo Lover</t>
  </si>
  <si>
    <t>Freewheel Burning</t>
  </si>
  <si>
    <t>Some Heads Are Gonna Roll</t>
  </si>
  <si>
    <t>Metal Meltdown</t>
  </si>
  <si>
    <t>Ram It Down</t>
  </si>
  <si>
    <t>Diamonds And Rust (Live)</t>
  </si>
  <si>
    <t>Victim Of Change (Live)</t>
  </si>
  <si>
    <t>Tyrant (Live)</t>
  </si>
  <si>
    <t>Unplugged [Live]</t>
  </si>
  <si>
    <t>Paul Stanley, Ace Frehley</t>
  </si>
  <si>
    <t>Gene Simmons, Stephen Coronel</t>
  </si>
  <si>
    <t>Paul Stanley, Bob Ezrin, Kim Fowley</t>
  </si>
  <si>
    <t>Domino</t>
  </si>
  <si>
    <t>A World Without Heroes</t>
  </si>
  <si>
    <t>Paul Stanley, Gene Simmons, Bob Ezrin, Lewis Reed</t>
  </si>
  <si>
    <t>Rock Bottom</t>
  </si>
  <si>
    <t>See You Tonight</t>
  </si>
  <si>
    <t>I Still Love You</t>
  </si>
  <si>
    <t>Every Time I Look At You</t>
  </si>
  <si>
    <t>Paul Stanley, Vincent Cusano</t>
  </si>
  <si>
    <t>2,000 Man</t>
  </si>
  <si>
    <t>Mick Jagger, Keith Richard</t>
  </si>
  <si>
    <t>Peter Criss, Stan Penridge, Bob Ezrin</t>
  </si>
  <si>
    <t>Nothin' To Lose</t>
  </si>
  <si>
    <t>Immigrant Song</t>
  </si>
  <si>
    <t>BBC Sessions [Disc 2] [Live]</t>
  </si>
  <si>
    <t>Robert Plant</t>
  </si>
  <si>
    <t>Heartbreaker</t>
  </si>
  <si>
    <t>John Bonham/John Paul Jones/Robert Plant</t>
  </si>
  <si>
    <t>Since I've Been Loving You</t>
  </si>
  <si>
    <t>John Paul Jones/Robert Plant</t>
  </si>
  <si>
    <t>Black Dog</t>
  </si>
  <si>
    <t>Dazed And Confused</t>
  </si>
  <si>
    <t>Jimmy Page/Led Zeppelin</t>
  </si>
  <si>
    <t>Stairway To Heaven</t>
  </si>
  <si>
    <t>Going To California</t>
  </si>
  <si>
    <t>That's The Way</t>
  </si>
  <si>
    <t>Whole Lotta Love (Medley)</t>
  </si>
  <si>
    <t>Arthur Crudup/Bernard Besman/Bukka White/Doc Pomus/John Bonham/John Lee Hooker/John Paul Jones/Mort Shuman/Robert Plant/Willie Dixon</t>
  </si>
  <si>
    <t>Thank You</t>
  </si>
  <si>
    <t>We're Gonna Groove</t>
  </si>
  <si>
    <t>Coda</t>
  </si>
  <si>
    <t>Ben E.King/James Bethea</t>
  </si>
  <si>
    <t>Poor Tom</t>
  </si>
  <si>
    <t>Walter's Walk</t>
  </si>
  <si>
    <t>Jimmy Page, Robert Plant</t>
  </si>
  <si>
    <t>Ozone Baby</t>
  </si>
  <si>
    <t>Darlene</t>
  </si>
  <si>
    <t>Jimmy Page, Robert Plant, John Bonham, John Paul Jones</t>
  </si>
  <si>
    <t>Bonzo's Montreux</t>
  </si>
  <si>
    <t>Wearing And Tearing</t>
  </si>
  <si>
    <t>The Song Remains The Same</t>
  </si>
  <si>
    <t>Jimmy Page/Jimmy Page &amp; Robert Plant/Robert Plant</t>
  </si>
  <si>
    <t>The Rain Song</t>
  </si>
  <si>
    <t>Over The Hills And Far Away</t>
  </si>
  <si>
    <t>The Crunge</t>
  </si>
  <si>
    <t>Dancing Days</t>
  </si>
  <si>
    <t>D'Yer Mak'er</t>
  </si>
  <si>
    <t>No Quarter</t>
  </si>
  <si>
    <t>The Ocean</t>
  </si>
  <si>
    <t>In The Evening</t>
  </si>
  <si>
    <t>In Through The Out Door</t>
  </si>
  <si>
    <t>Jimmy Page, Robert Plant &amp; John Paul Jones</t>
  </si>
  <si>
    <t>South Bound Saurez</t>
  </si>
  <si>
    <t>John Paul Jones &amp; Robert Plant</t>
  </si>
  <si>
    <t>Fool In The Rain</t>
  </si>
  <si>
    <t>Hot Dog</t>
  </si>
  <si>
    <t>Jimmy Page &amp; Robert Plant</t>
  </si>
  <si>
    <t>Carouselambra</t>
  </si>
  <si>
    <t>John Paul Jones, Jimmy Page &amp; Robert Plant</t>
  </si>
  <si>
    <t>All My Love</t>
  </si>
  <si>
    <t>Robert Plant &amp; John Paul Jones</t>
  </si>
  <si>
    <t>I'm Gonna Crawl</t>
  </si>
  <si>
    <t>IV</t>
  </si>
  <si>
    <t>Jimmy Page, Robert Plant, John Paul Jones</t>
  </si>
  <si>
    <t>Rock &amp; Roll</t>
  </si>
  <si>
    <t>Jimmy Page, Robert Plant, John Paul Jones, John Bonham</t>
  </si>
  <si>
    <t>The Battle Of Evermore</t>
  </si>
  <si>
    <t>Misty Mountain Hop</t>
  </si>
  <si>
    <t>Four Sticks</t>
  </si>
  <si>
    <t>When The Levee Breaks</t>
  </si>
  <si>
    <t>Jimmy Page, Robert Plant, John Paul Jones, John Bonham, Memphis Minnie</t>
  </si>
  <si>
    <t>Good Times Bad Times</t>
  </si>
  <si>
    <t>Led Zeppelin I</t>
  </si>
  <si>
    <t>Babe I'm Gonna Leave You</t>
  </si>
  <si>
    <t>J. B. Lenoir/Willie Dixon</t>
  </si>
  <si>
    <t>Your Time Is Gonna Come</t>
  </si>
  <si>
    <t>Jimmy Page/John Paul Jones</t>
  </si>
  <si>
    <t>Black Mountain Side</t>
  </si>
  <si>
    <t>Led Zeppelin II</t>
  </si>
  <si>
    <t>What Is And What Should Never Be</t>
  </si>
  <si>
    <t>The Lemon Song</t>
  </si>
  <si>
    <t>Living Loving Maid (She's Just A Woman)</t>
  </si>
  <si>
    <t>Ramble On</t>
  </si>
  <si>
    <t>Moby Dick</t>
  </si>
  <si>
    <t>John Bonham, John Paul Jones, Jimmy Page</t>
  </si>
  <si>
    <t>Bring It On Home</t>
  </si>
  <si>
    <t>Led Zeppelin III</t>
  </si>
  <si>
    <t>Friends</t>
  </si>
  <si>
    <t>Celebration Day</t>
  </si>
  <si>
    <t>Out On The Tiles</t>
  </si>
  <si>
    <t>Jimmy Page, Robert Plant, John Bonham</t>
  </si>
  <si>
    <t>Gallows Pole</t>
  </si>
  <si>
    <t>Tangerine</t>
  </si>
  <si>
    <t>Bron-Y-Aur Stomp</t>
  </si>
  <si>
    <t>Hats Off To (Roy) Harper</t>
  </si>
  <si>
    <t>In The Light</t>
  </si>
  <si>
    <t>Physical Graffiti [Disc 2]</t>
  </si>
  <si>
    <t>Bron-Yr-Aur</t>
  </si>
  <si>
    <t>Down By The Seaside</t>
  </si>
  <si>
    <t>Ten Years Gone</t>
  </si>
  <si>
    <t>Night Flight</t>
  </si>
  <si>
    <t>The Wanton Song</t>
  </si>
  <si>
    <t>Boogie With Stu</t>
  </si>
  <si>
    <t>Ian Stewart/John Bonham/John Paul Jones/Mrs. Valens/Robert Plant</t>
  </si>
  <si>
    <t>Black Country Woman</t>
  </si>
  <si>
    <t>Sick Again</t>
  </si>
  <si>
    <t>Achilles Last Stand</t>
  </si>
  <si>
    <t>Presence</t>
  </si>
  <si>
    <t>For Your Life</t>
  </si>
  <si>
    <t>Royal Orleans</t>
  </si>
  <si>
    <t>Nobody's Fault But Mine</t>
  </si>
  <si>
    <t>Candy Store Rock</t>
  </si>
  <si>
    <t>Hots On For Nowhere</t>
  </si>
  <si>
    <t>Tea For One</t>
  </si>
  <si>
    <t>The Song Remains The Same (Disc 1)</t>
  </si>
  <si>
    <t>Rain Song</t>
  </si>
  <si>
    <t>The Song Remains The Same (Disc 2)</t>
  </si>
  <si>
    <t>John Bonham/John Paul Jones/Robert Plant/Willie Dixon</t>
  </si>
  <si>
    <t>Natália</t>
  </si>
  <si>
    <t>A TempestadeTempestade Ou O Livro Dos Dias</t>
  </si>
  <si>
    <t>Legião Urbana</t>
  </si>
  <si>
    <t>Renato Russo</t>
  </si>
  <si>
    <t>L'Avventura</t>
  </si>
  <si>
    <t>Música De Trabalho</t>
  </si>
  <si>
    <t>Longe Do Meu Lado</t>
  </si>
  <si>
    <t>Renato Russo - Marcelo Bonfá</t>
  </si>
  <si>
    <t>A Via Láctea</t>
  </si>
  <si>
    <t>Música Ambiente</t>
  </si>
  <si>
    <t>Aloha</t>
  </si>
  <si>
    <t>Soul Parsifal</t>
  </si>
  <si>
    <t>Renato Russo - Marisa Monte</t>
  </si>
  <si>
    <t>Dezesseis</t>
  </si>
  <si>
    <t>Mil Pedaços</t>
  </si>
  <si>
    <t>Leila</t>
  </si>
  <si>
    <t>1º De Julho</t>
  </si>
  <si>
    <t>Esperando Por Mim</t>
  </si>
  <si>
    <t>Quando Você Voltar</t>
  </si>
  <si>
    <t>O Livro Dos Dias</t>
  </si>
  <si>
    <t>Será</t>
  </si>
  <si>
    <t>Mais Do Mesmo</t>
  </si>
  <si>
    <t>Dado Villa-Lobos/Marcelo Bonfá</t>
  </si>
  <si>
    <t>Ainda É Cedo</t>
  </si>
  <si>
    <t>Dado Villa-Lobos/Ico Ouro-Preto/Marcelo Bonfá</t>
  </si>
  <si>
    <t>Geração Coca-Cola</t>
  </si>
  <si>
    <t>Eduardo E Mônica</t>
  </si>
  <si>
    <t>Tempo Perdido</t>
  </si>
  <si>
    <t>Indios</t>
  </si>
  <si>
    <t>Que País É Este</t>
  </si>
  <si>
    <t>Faroeste Caboclo</t>
  </si>
  <si>
    <t>Há Tempos</t>
  </si>
  <si>
    <t>Pais E Filhos</t>
  </si>
  <si>
    <t>Meninos E Meninas</t>
  </si>
  <si>
    <t>Vento No Litoral</t>
  </si>
  <si>
    <t>Perfeição</t>
  </si>
  <si>
    <t>Giz</t>
  </si>
  <si>
    <t>Antes Das Seis</t>
  </si>
  <si>
    <t>Dado Villa-Lobos</t>
  </si>
  <si>
    <t>Are You Gonna Go My Way</t>
  </si>
  <si>
    <t>Greatest Hits</t>
  </si>
  <si>
    <t>Lenny Kravitz</t>
  </si>
  <si>
    <t>Craig Ross/Lenny Kravitz</t>
  </si>
  <si>
    <t>Fly Away</t>
  </si>
  <si>
    <t>Rock And Roll Is Dead</t>
  </si>
  <si>
    <t>Again</t>
  </si>
  <si>
    <t>It Ain't Over 'Til It's Over</t>
  </si>
  <si>
    <t>Can't Get You Off My Mind</t>
  </si>
  <si>
    <t>Mr. Cab Driver</t>
  </si>
  <si>
    <t>American Woman</t>
  </si>
  <si>
    <t>B. Cummings/G. Peterson/M.J. Kale/R. Bachman</t>
  </si>
  <si>
    <t>Stand By My Woman</t>
  </si>
  <si>
    <t>Henry Kirssch/Lenny Kravitz/S. Pasch A. Krizan</t>
  </si>
  <si>
    <t>Always On The Run</t>
  </si>
  <si>
    <t>Lenny Kravitz/Slash</t>
  </si>
  <si>
    <t>Heaven Help</t>
  </si>
  <si>
    <t>Gerry DeVeaux/Terry Britten</t>
  </si>
  <si>
    <t>I Belong To You</t>
  </si>
  <si>
    <t>Henry Hirsch/Lenny Kravitz</t>
  </si>
  <si>
    <t>Let Love Rule</t>
  </si>
  <si>
    <t>Black Velveteen</t>
  </si>
  <si>
    <t>Assim Caminha A Humanidade</t>
  </si>
  <si>
    <t>Lulu Santos - RCA 100 Anos De Música - Álbum 01</t>
  </si>
  <si>
    <t>Honolulu</t>
  </si>
  <si>
    <t>Lulu Santos - RCA 100 Anos De Música - Álbum 02</t>
  </si>
  <si>
    <t>Dancin´Days</t>
  </si>
  <si>
    <t>Um Pro Outro</t>
  </si>
  <si>
    <t>Aviso Aos Navegantes</t>
  </si>
  <si>
    <t>Casa</t>
  </si>
  <si>
    <t>Condição</t>
  </si>
  <si>
    <t>Hyperconectividade</t>
  </si>
  <si>
    <t>O Descobridor Dos Sete Mares</t>
  </si>
  <si>
    <t>Satisfação</t>
  </si>
  <si>
    <t>Brumário</t>
  </si>
  <si>
    <t>Um Certo Alguém</t>
  </si>
  <si>
    <t>Fullgás</t>
  </si>
  <si>
    <t>Sábado À Noite</t>
  </si>
  <si>
    <t>A Cura</t>
  </si>
  <si>
    <t>Aquilo</t>
  </si>
  <si>
    <t>Atrás Do Trio Elétrico</t>
  </si>
  <si>
    <t>Senta A Pua</t>
  </si>
  <si>
    <t>Ro-Que-Se-Da-Ne</t>
  </si>
  <si>
    <t>Tudo Bem</t>
  </si>
  <si>
    <t>Toda Forma De Amor</t>
  </si>
  <si>
    <t>Tudo Igual</t>
  </si>
  <si>
    <t>Fogo De Palha</t>
  </si>
  <si>
    <t>Sereia</t>
  </si>
  <si>
    <t>Assaltaram A Gramática</t>
  </si>
  <si>
    <t>Se Você Pensa</t>
  </si>
  <si>
    <t>Lá Vem O Sol (Here Comes The Sun)</t>
  </si>
  <si>
    <t>O Último Romântico (Ao Vivo)</t>
  </si>
  <si>
    <t>Pseudo Silk Kimono</t>
  </si>
  <si>
    <t>Misplaced Childhood</t>
  </si>
  <si>
    <t>Marillion</t>
  </si>
  <si>
    <t>Kelly, Mosley, Rothery, Trewaves</t>
  </si>
  <si>
    <t>Kayleigh</t>
  </si>
  <si>
    <t>Lavender</t>
  </si>
  <si>
    <t>Bitter Suite: Brief Encounter / Lost Weekend / Blue Angel</t>
  </si>
  <si>
    <t>Heart Of Lothian: Wide Boy / Curtain Call</t>
  </si>
  <si>
    <t>Waterhole (Expresso Bongo)</t>
  </si>
  <si>
    <t>Lords Of The Backstage</t>
  </si>
  <si>
    <t>Blind Curve: Vocal Under A Bloodlight / Passing Strangers / Mylo / Perimeter Walk / Threshold</t>
  </si>
  <si>
    <t>Childhoods End?</t>
  </si>
  <si>
    <t>White Feather</t>
  </si>
  <si>
    <t>Arrepio</t>
  </si>
  <si>
    <t>Barulhinho Bom</t>
  </si>
  <si>
    <t>Marisa Monte</t>
  </si>
  <si>
    <t>Carlinhos Brown</t>
  </si>
  <si>
    <t>Magamalabares</t>
  </si>
  <si>
    <t>Chuva No Brejo</t>
  </si>
  <si>
    <t>Morais</t>
  </si>
  <si>
    <t>Cérebro Eletrônico</t>
  </si>
  <si>
    <t>Tempos Modernos</t>
  </si>
  <si>
    <t>Maraçá</t>
  </si>
  <si>
    <t>Blanco</t>
  </si>
  <si>
    <t>Marisa Monte/poema de Octavio Paz/versão: Haroldo de Campos</t>
  </si>
  <si>
    <t>Caetano Veloso e Gilberto Gil</t>
  </si>
  <si>
    <t>De Noite Na Cama</t>
  </si>
  <si>
    <t>Beija Eu</t>
  </si>
  <si>
    <t>Give Me Love</t>
  </si>
  <si>
    <t>Ainda Lembro</t>
  </si>
  <si>
    <t>A Menina Dança</t>
  </si>
  <si>
    <t>Dança Da Solidão</t>
  </si>
  <si>
    <t>Ao Meu Redor</t>
  </si>
  <si>
    <t>Bem Leve</t>
  </si>
  <si>
    <t>Segue O Seco</t>
  </si>
  <si>
    <t>O Xote Das Meninas</t>
  </si>
  <si>
    <t>Wherever I Lay My Hat</t>
  </si>
  <si>
    <t>Seek And Shall Find: More Of The Best (1963-1981)</t>
  </si>
  <si>
    <t>Marvin Gaye</t>
  </si>
  <si>
    <t>Get My Hands On Some Lovin'</t>
  </si>
  <si>
    <t>No Good Without You</t>
  </si>
  <si>
    <t>William "Mickey" Stevenson</t>
  </si>
  <si>
    <t>You've Been A Long Time Coming</t>
  </si>
  <si>
    <t>Brian Holland/Eddie Holland/Lamont Dozier</t>
  </si>
  <si>
    <t>When I Had Your Love</t>
  </si>
  <si>
    <t>Robert Rogers/Warren "Pete" Moore/William "Mickey" Stevenson</t>
  </si>
  <si>
    <t>You're What's Happening (In The World Today)</t>
  </si>
  <si>
    <t>Allen Story/George Gordy/Robert Gordy</t>
  </si>
  <si>
    <t>Loving You Is Sweeter Than Ever</t>
  </si>
  <si>
    <t>Ivy Hunter/Stevie Wonder</t>
  </si>
  <si>
    <t>It's A Bitter Pill To Swallow</t>
  </si>
  <si>
    <t>Smokey Robinson/Warren "Pete" Moore</t>
  </si>
  <si>
    <t>Seek And You Shall Find</t>
  </si>
  <si>
    <t>Ivy Hunter/William "Mickey" Stevenson</t>
  </si>
  <si>
    <t>Gonna Keep On Tryin' Till I Win Your Love</t>
  </si>
  <si>
    <t>Barrett Strong/Norman Whitfield</t>
  </si>
  <si>
    <t>Gonna Give Her All The Love I've Got</t>
  </si>
  <si>
    <t>I Wish It Would Rain</t>
  </si>
  <si>
    <t>Barrett Strong/Norman Whitfield/Roger Penzabene</t>
  </si>
  <si>
    <t>Abraham, Martin And John</t>
  </si>
  <si>
    <t>Dick Holler</t>
  </si>
  <si>
    <t>Save The Children</t>
  </si>
  <si>
    <t>Al Cleveland/Marvin Gaye/Renaldo Benson</t>
  </si>
  <si>
    <t>You Sure Love To Ball</t>
  </si>
  <si>
    <t>Ego Tripping Out</t>
  </si>
  <si>
    <t>Praise</t>
  </si>
  <si>
    <t>Heavy Love Affair</t>
  </si>
  <si>
    <t>Down Under</t>
  </si>
  <si>
    <t>The Best Of Men At Work</t>
  </si>
  <si>
    <t>Men At Work</t>
  </si>
  <si>
    <t>Overkill</t>
  </si>
  <si>
    <t>Be Good Johnny</t>
  </si>
  <si>
    <t>Everything I Need</t>
  </si>
  <si>
    <t>Down by the Sea</t>
  </si>
  <si>
    <t>Who Can It Be Now?</t>
  </si>
  <si>
    <t>It's a Mistake</t>
  </si>
  <si>
    <t>Dr. Heckyll &amp; Mr. Jive</t>
  </si>
  <si>
    <t>Shakes and Ladders</t>
  </si>
  <si>
    <t>No Sign of Yesterday</t>
  </si>
  <si>
    <t>Black Album</t>
  </si>
  <si>
    <t>James Hetfield, Lars Ulrich and Kirk Hammett</t>
  </si>
  <si>
    <t>Ulrich</t>
  </si>
  <si>
    <t>Holier Than Thou</t>
  </si>
  <si>
    <t>Don't Tread On Me</t>
  </si>
  <si>
    <t>Through The Never</t>
  </si>
  <si>
    <t>Nothing Else Matters</t>
  </si>
  <si>
    <t>Of Wolf And Man</t>
  </si>
  <si>
    <t>The God That Failed</t>
  </si>
  <si>
    <t>My Friend Of Misery</t>
  </si>
  <si>
    <t>James Hetfield, Lars Ulrich and Jason Newsted</t>
  </si>
  <si>
    <t>The Struggle Within</t>
  </si>
  <si>
    <t>Garage Inc. (Disc 2)</t>
  </si>
  <si>
    <t>The Small Hours</t>
  </si>
  <si>
    <t>Holocaust</t>
  </si>
  <si>
    <t>The Wait</t>
  </si>
  <si>
    <t>Killing Joke</t>
  </si>
  <si>
    <t>Crash Course In Brain Surgery</t>
  </si>
  <si>
    <t>Bourge/Phillips/Shelley</t>
  </si>
  <si>
    <t>Last Caress/Green Hell</t>
  </si>
  <si>
    <t>Am I Evil?</t>
  </si>
  <si>
    <t>Blitzkrieg</t>
  </si>
  <si>
    <t>Jones/Sirotto/Smith</t>
  </si>
  <si>
    <t>Breadfan</t>
  </si>
  <si>
    <t>The Prince</t>
  </si>
  <si>
    <t>Stone Cold Crazy</t>
  </si>
  <si>
    <t>Deacon/May/Mercury/Taylor</t>
  </si>
  <si>
    <t>Culmer/Exalt</t>
  </si>
  <si>
    <t>Killing Time</t>
  </si>
  <si>
    <t>Sweet Savage</t>
  </si>
  <si>
    <t>Clarke/Kilmister/Tayler</t>
  </si>
  <si>
    <t>Damage Case</t>
  </si>
  <si>
    <t>Clarke/Farren/Kilmister/Tayler</t>
  </si>
  <si>
    <t>Stone Dead Forever</t>
  </si>
  <si>
    <t>Too Late Too Late</t>
  </si>
  <si>
    <t>Hit The Lights</t>
  </si>
  <si>
    <t>Kill 'Em All</t>
  </si>
  <si>
    <t>James Hetfield, Lars Ulrich</t>
  </si>
  <si>
    <t>The Four Horsemen</t>
  </si>
  <si>
    <t>James Hetfield, Lars Ulrich, Dave Mustaine</t>
  </si>
  <si>
    <t>Motorbreath</t>
  </si>
  <si>
    <t>James Hetfield</t>
  </si>
  <si>
    <t>Jump In The Fire</t>
  </si>
  <si>
    <t>(Anesthesia) Pulling Teeth</t>
  </si>
  <si>
    <t>Cliff Burton</t>
  </si>
  <si>
    <t>Whiplash</t>
  </si>
  <si>
    <t>Phantom Lord</t>
  </si>
  <si>
    <t>No Remorse</t>
  </si>
  <si>
    <t>Seek &amp; Destroy</t>
  </si>
  <si>
    <t>Metal Militia</t>
  </si>
  <si>
    <t>Ain't My Bitch</t>
  </si>
  <si>
    <t>Load</t>
  </si>
  <si>
    <t>2 X 4</t>
  </si>
  <si>
    <t>James Hetfield, Lars Ulrich, Kirk Hammett</t>
  </si>
  <si>
    <t>The House Jack Built</t>
  </si>
  <si>
    <t>Until It Sleeps</t>
  </si>
  <si>
    <t>King Nothing</t>
  </si>
  <si>
    <t>Hero Of The Day</t>
  </si>
  <si>
    <t>Bleeding Me</t>
  </si>
  <si>
    <t>Cure</t>
  </si>
  <si>
    <t>Poor Twisted Me</t>
  </si>
  <si>
    <t>Wasted My Hate</t>
  </si>
  <si>
    <t>Mama Said</t>
  </si>
  <si>
    <t>Thorn Within</t>
  </si>
  <si>
    <t>Ronnie</t>
  </si>
  <si>
    <t>The Outlaw Torn</t>
  </si>
  <si>
    <t>Battery</t>
  </si>
  <si>
    <t>J.Hetfield/L.Ulrich</t>
  </si>
  <si>
    <t>K.Hammett</t>
  </si>
  <si>
    <t>The Thing That Should Not Be</t>
  </si>
  <si>
    <t>Disposable Heroes</t>
  </si>
  <si>
    <t>Leper Messiah</t>
  </si>
  <si>
    <t>C.Burton</t>
  </si>
  <si>
    <t>Orion</t>
  </si>
  <si>
    <t>Damage Inc.</t>
  </si>
  <si>
    <t>Fuel</t>
  </si>
  <si>
    <t>ReLoad</t>
  </si>
  <si>
    <t>Hetfield, Ulrich, Hammett</t>
  </si>
  <si>
    <t>The Memory Remains</t>
  </si>
  <si>
    <t>Hetfield, Ulrich</t>
  </si>
  <si>
    <t>Devil's Dance</t>
  </si>
  <si>
    <t>The Unforgiven II</t>
  </si>
  <si>
    <t>Better Than You</t>
  </si>
  <si>
    <t>Slither</t>
  </si>
  <si>
    <t>Carpe Diem Baby</t>
  </si>
  <si>
    <t>Bad Seed</t>
  </si>
  <si>
    <t>Where The Wild Things Are</t>
  </si>
  <si>
    <t>Hetfield, Ulrich, Newsted</t>
  </si>
  <si>
    <t>Prince Charming</t>
  </si>
  <si>
    <t>Low Man's Lyric</t>
  </si>
  <si>
    <t>Attitude</t>
  </si>
  <si>
    <t>Fixxxer</t>
  </si>
  <si>
    <t>Fight Fire With Fire</t>
  </si>
  <si>
    <t>Ride The Lightning</t>
  </si>
  <si>
    <t>For Whom The Bell Tolls</t>
  </si>
  <si>
    <t>Fade To Black</t>
  </si>
  <si>
    <t>Trapped Under Ice</t>
  </si>
  <si>
    <t>Escape</t>
  </si>
  <si>
    <t>The Call Of Ktulu</t>
  </si>
  <si>
    <t>Frantic</t>
  </si>
  <si>
    <t>St. Anger</t>
  </si>
  <si>
    <t>Bob Rock/James Hetfield/Kirk Hammett/Lars Ulrich</t>
  </si>
  <si>
    <t>Some Kind Of Monster</t>
  </si>
  <si>
    <t>Dirty Window</t>
  </si>
  <si>
    <t>Invisible Kid</t>
  </si>
  <si>
    <t>Shoot Me Again</t>
  </si>
  <si>
    <t>Sweet Amber</t>
  </si>
  <si>
    <t>The Unnamed Feeling</t>
  </si>
  <si>
    <t>Purify</t>
  </si>
  <si>
    <t>All Within My Hands</t>
  </si>
  <si>
    <t>Blackened</t>
  </si>
  <si>
    <t>...And Justice For All</t>
  </si>
  <si>
    <t>James Hetfield, Lars Ulrich &amp; Jason Newsted</t>
  </si>
  <si>
    <t>James Hetfield, Lars Ulrich &amp; Kirk Hammett</t>
  </si>
  <si>
    <t>Eye Of The Beholder</t>
  </si>
  <si>
    <t>One</t>
  </si>
  <si>
    <t>James Hetfield &amp; Lars Ulrich</t>
  </si>
  <si>
    <t>The Shortest Straw</t>
  </si>
  <si>
    <t>James Hetfield and Lars Ulrich</t>
  </si>
  <si>
    <t>The Frayed Ends Of Sanity</t>
  </si>
  <si>
    <t>To Live Is To Die</t>
  </si>
  <si>
    <t>James Hetfield, Lars Ulrich and Cliff Burton</t>
  </si>
  <si>
    <t>Dyers Eve</t>
  </si>
  <si>
    <t>Springsville</t>
  </si>
  <si>
    <t>Miles Ahead</t>
  </si>
  <si>
    <t>J. Carisi</t>
  </si>
  <si>
    <t>The Maids Of Cadiz</t>
  </si>
  <si>
    <t>L. Delibes</t>
  </si>
  <si>
    <t>The Duke</t>
  </si>
  <si>
    <t>Dave Brubeck</t>
  </si>
  <si>
    <t>My Ship</t>
  </si>
  <si>
    <t>Ira Gershwin, Kurt Weill</t>
  </si>
  <si>
    <t>Miles Davis, Gil Evans</t>
  </si>
  <si>
    <t>Blues For Pablo</t>
  </si>
  <si>
    <t>Gil Evans</t>
  </si>
  <si>
    <t>A. Jamal</t>
  </si>
  <si>
    <t>The Meaning Of The Blues</t>
  </si>
  <si>
    <t>R. Troup, L. Worth</t>
  </si>
  <si>
    <t>Lament</t>
  </si>
  <si>
    <t>J.J. Johnson</t>
  </si>
  <si>
    <t>I Don't Wanna Be Kissed (By Anyone But You)</t>
  </si>
  <si>
    <t>H. Spina, J. Elliott</t>
  </si>
  <si>
    <t>Springsville (Alternate Take)</t>
  </si>
  <si>
    <t>Blues For Pablo (Alternate Take)</t>
  </si>
  <si>
    <t>The Meaning Of The Blues/Lament (Alternate Take)</t>
  </si>
  <si>
    <t>J.J. Johnson/R. Troup, L. Worth</t>
  </si>
  <si>
    <t>I Don't Wanna Be Kissed (By Anyone But You) (Alternate Take)</t>
  </si>
  <si>
    <t>Coração De Estudante</t>
  </si>
  <si>
    <t>Milton Nascimento Ao Vivo</t>
  </si>
  <si>
    <t>Milton Nascimento</t>
  </si>
  <si>
    <t>Wagner Tiso, Milton Nascimento</t>
  </si>
  <si>
    <t>A Noite Do Meu Bem</t>
  </si>
  <si>
    <t>Dolores Duran</t>
  </si>
  <si>
    <t>Paisagem Na Janela</t>
  </si>
  <si>
    <t>Lô Borges, Fernando Brant</t>
  </si>
  <si>
    <t>Cuitelinho</t>
  </si>
  <si>
    <t>Folclore</t>
  </si>
  <si>
    <t>Caxangá</t>
  </si>
  <si>
    <t>Milton Nascimento, Fernando Brant</t>
  </si>
  <si>
    <t>Nos Bailes Da Vida</t>
  </si>
  <si>
    <t>Menestrel Das Alagoas</t>
  </si>
  <si>
    <t>Canção Do Novo Mundo</t>
  </si>
  <si>
    <t>Beto Guedes, Ronaldo Bastos</t>
  </si>
  <si>
    <t>Um Gosto De Sol</t>
  </si>
  <si>
    <t>Milton Nascimento, Ronaldo Bastos</t>
  </si>
  <si>
    <t>Solar</t>
  </si>
  <si>
    <t>Para Lennon E McCartney</t>
  </si>
  <si>
    <t>Lô Borges, Márcio Borges, Fernando Brant</t>
  </si>
  <si>
    <t>Maria, Maria</t>
  </si>
  <si>
    <t>Minas</t>
  </si>
  <si>
    <t>Milton Nascimento, Caetano Veloso</t>
  </si>
  <si>
    <t>Fé Cega, Faca Amolada</t>
  </si>
  <si>
    <t>Beijo Partido</t>
  </si>
  <si>
    <t>Toninho Horta</t>
  </si>
  <si>
    <t>Saudade Dos Aviões Da Panair (Conversando No Bar)</t>
  </si>
  <si>
    <t>Gran Circo</t>
  </si>
  <si>
    <t>Milton Nascimento, Márcio Borges</t>
  </si>
  <si>
    <t>Ponta de Areia</t>
  </si>
  <si>
    <t>Trastevere</t>
  </si>
  <si>
    <t>Idolatrada</t>
  </si>
  <si>
    <t>Leila (Venha Ser Feliz)</t>
  </si>
  <si>
    <t>Paula E Bebeto</t>
  </si>
  <si>
    <t>Simples</t>
  </si>
  <si>
    <t>Nelson Angelo</t>
  </si>
  <si>
    <t>Norwegian Wood</t>
  </si>
  <si>
    <t>John Lennon, Paul McCartney</t>
  </si>
  <si>
    <t>Caso Você Queira Saber</t>
  </si>
  <si>
    <t>Beto Guedes, Márcio Borges</t>
  </si>
  <si>
    <t>Ace Of Spades</t>
  </si>
  <si>
    <t>Motörhead</t>
  </si>
  <si>
    <t>Clarke/Kilmister/Taylor</t>
  </si>
  <si>
    <t>Love Me Like A Reptile</t>
  </si>
  <si>
    <t>Shoot You In The Back</t>
  </si>
  <si>
    <t>Live To Win</t>
  </si>
  <si>
    <t>Fast And Loose</t>
  </si>
  <si>
    <t>(We Are) The Road Crew</t>
  </si>
  <si>
    <t>Fire Fire</t>
  </si>
  <si>
    <t>Jailbait</t>
  </si>
  <si>
    <t>Dance</t>
  </si>
  <si>
    <t>Bite The Bullet</t>
  </si>
  <si>
    <t>The Chase Is Better Than The Catch</t>
  </si>
  <si>
    <t>The Hammer</t>
  </si>
  <si>
    <t>Dirty Love</t>
  </si>
  <si>
    <t>Please Don't Touch</t>
  </si>
  <si>
    <t>Heath/Robinson</t>
  </si>
  <si>
    <t>Emergency</t>
  </si>
  <si>
    <t>Dufort/Johnson/McAuliffe/Williams</t>
  </si>
  <si>
    <t>Kir Royal</t>
  </si>
  <si>
    <t>Demorou...</t>
  </si>
  <si>
    <t>Mônica Marianno</t>
  </si>
  <si>
    <t>O Que Vai Em Meu Coração</t>
  </si>
  <si>
    <t>Aos Leões</t>
  </si>
  <si>
    <t>Dois Índios</t>
  </si>
  <si>
    <t>Noite Negra</t>
  </si>
  <si>
    <t>Beijo do Olhar</t>
  </si>
  <si>
    <t>É Fogo</t>
  </si>
  <si>
    <t>Só Se For Pelo Cabelo</t>
  </si>
  <si>
    <t>No Clima</t>
  </si>
  <si>
    <t>A Moça e a Chuva</t>
  </si>
  <si>
    <t>Demorou!</t>
  </si>
  <si>
    <t>Bitter Pill</t>
  </si>
  <si>
    <t>Motley Crue Greatest Hits</t>
  </si>
  <si>
    <t>Mötley Crüe</t>
  </si>
  <si>
    <t>Mick Mars/Nikki Sixx/Tommy Lee/Vince Neil</t>
  </si>
  <si>
    <t>Enslaved</t>
  </si>
  <si>
    <t>Mick Mars/Nikki Sixx/Tommy Lee</t>
  </si>
  <si>
    <t>Girls, Girls, Girls</t>
  </si>
  <si>
    <t>Kickstart My Heart</t>
  </si>
  <si>
    <t>Nikki Sixx</t>
  </si>
  <si>
    <t>Wild Side</t>
  </si>
  <si>
    <t>Nikki Sixx/Tommy Lee/Vince Neil</t>
  </si>
  <si>
    <t>Glitter</t>
  </si>
  <si>
    <t>Bryan Adams/Nikki Sixx/Scott Humphrey</t>
  </si>
  <si>
    <t>Dr. Feelgood</t>
  </si>
  <si>
    <t>Mick Mars/Nikki Sixx</t>
  </si>
  <si>
    <t>Same Ol' Situation</t>
  </si>
  <si>
    <t>Home Sweet Home</t>
  </si>
  <si>
    <t>Afraid</t>
  </si>
  <si>
    <t>Don't Go Away Mad (Just Go Away)</t>
  </si>
  <si>
    <t>Without You</t>
  </si>
  <si>
    <t>Smokin' in The Boys Room</t>
  </si>
  <si>
    <t>Cub Coda/Michael Lutz</t>
  </si>
  <si>
    <t>Primal Scream</t>
  </si>
  <si>
    <t>Too Fast For Love</t>
  </si>
  <si>
    <t>Looks That Kill</t>
  </si>
  <si>
    <t>Shout At The Devil</t>
  </si>
  <si>
    <t>From The Muddy Banks Of The Wishkah [Live]</t>
  </si>
  <si>
    <t>Nirvana</t>
  </si>
  <si>
    <t>Kurt Cobain</t>
  </si>
  <si>
    <t>School</t>
  </si>
  <si>
    <t>Drain You</t>
  </si>
  <si>
    <t>Aneurysm</t>
  </si>
  <si>
    <t>Smells Like Teen Spirit</t>
  </si>
  <si>
    <t>Been A Son</t>
  </si>
  <si>
    <t>Lithium</t>
  </si>
  <si>
    <t>Sliver</t>
  </si>
  <si>
    <t>Spank Thru</t>
  </si>
  <si>
    <t>Scentless Apprentice</t>
  </si>
  <si>
    <t>Heart-Shaped Box</t>
  </si>
  <si>
    <t>Milk It</t>
  </si>
  <si>
    <t>Negative Creep</t>
  </si>
  <si>
    <t>Polly</t>
  </si>
  <si>
    <t>Breed</t>
  </si>
  <si>
    <t>Tourette's</t>
  </si>
  <si>
    <t>Blew</t>
  </si>
  <si>
    <t>Nevermind</t>
  </si>
  <si>
    <t>In Bloom</t>
  </si>
  <si>
    <t>Come As You Are</t>
  </si>
  <si>
    <t>Territorial Pissings</t>
  </si>
  <si>
    <t>Lounge Act</t>
  </si>
  <si>
    <t>Stay Away</t>
  </si>
  <si>
    <t>On A Plain</t>
  </si>
  <si>
    <t>Something In The Way</t>
  </si>
  <si>
    <t>Time</t>
  </si>
  <si>
    <t>Compositores</t>
  </si>
  <si>
    <t>O Terço</t>
  </si>
  <si>
    <t>P.S.Apareça</t>
  </si>
  <si>
    <t>Sangue Latino</t>
  </si>
  <si>
    <t>Folhas Secas</t>
  </si>
  <si>
    <t>Poeira</t>
  </si>
  <si>
    <t>Mágica</t>
  </si>
  <si>
    <t>Quem Mata A Mulher Mata O Melhor</t>
  </si>
  <si>
    <t>Mundaréu</t>
  </si>
  <si>
    <t>O Braço Da Minha Guitarra</t>
  </si>
  <si>
    <t>Deus</t>
  </si>
  <si>
    <t>Mãe Terra</t>
  </si>
  <si>
    <t>Às Vezes</t>
  </si>
  <si>
    <t>Menino De Rua</t>
  </si>
  <si>
    <t>Prazer E Fé</t>
  </si>
  <si>
    <t>Elza</t>
  </si>
  <si>
    <t>Requebra</t>
  </si>
  <si>
    <t>Olodum</t>
  </si>
  <si>
    <t>Nossa Gente (Avisa Là)</t>
  </si>
  <si>
    <t>Olodum - Alegria Geral</t>
  </si>
  <si>
    <t>Madagáscar Olodum</t>
  </si>
  <si>
    <t>Faraó Divindade Do Egito</t>
  </si>
  <si>
    <t>Todo Amor (Asas Da Liberdade)</t>
  </si>
  <si>
    <t>Denúncia</t>
  </si>
  <si>
    <t>Olodum, A Banda Do Pelô</t>
  </si>
  <si>
    <t>Cartao Postal</t>
  </si>
  <si>
    <t>Jeito Faceiro</t>
  </si>
  <si>
    <t>Revolta Olodum</t>
  </si>
  <si>
    <t>Reggae Odoyá</t>
  </si>
  <si>
    <t>Protesto Do Olodum (Ao Vivo)</t>
  </si>
  <si>
    <t>Olodum - Smile (Instrumental)</t>
  </si>
  <si>
    <t>Vulcão Dub - Fui Eu</t>
  </si>
  <si>
    <t>Acústico MTV</t>
  </si>
  <si>
    <t>Os Paralamas Do Sucesso</t>
  </si>
  <si>
    <t>Bi Ribeira/Herbert Vianna/João Barone</t>
  </si>
  <si>
    <t>O Trem Da Juventude</t>
  </si>
  <si>
    <t>Chico Science/Dengue/Lúcio Maia</t>
  </si>
  <si>
    <t>Um Amor, Um Lugar</t>
  </si>
  <si>
    <t>Bora-Bora</t>
  </si>
  <si>
    <t>Vai Valer</t>
  </si>
  <si>
    <t>I Feel Good (I Got You) - Sossego</t>
  </si>
  <si>
    <t>James Brown/Tim Maia</t>
  </si>
  <si>
    <t>Uns Dias</t>
  </si>
  <si>
    <t>Sincero Breu</t>
  </si>
  <si>
    <t>C. A./C.A./Celso Alvim/Herbert Vianna/Mário Moura/Pedro Luís/Sidon Silva</t>
  </si>
  <si>
    <t>Meu Erro</t>
  </si>
  <si>
    <t>Selvagem</t>
  </si>
  <si>
    <t>Bi Ribeiro/Herbert Vianna/João Barone</t>
  </si>
  <si>
    <t>Brasília 5:31</t>
  </si>
  <si>
    <t>Tendo A Lua</t>
  </si>
  <si>
    <t>Herbert Vianna/Tet Tillett</t>
  </si>
  <si>
    <t>Navegar Impreciso</t>
  </si>
  <si>
    <t>Feira Moderna</t>
  </si>
  <si>
    <t>Beto Guedes/Fernando Brant/L Borges</t>
  </si>
  <si>
    <t>Tequila - Lourinha Bombril (Parate Y Mira)</t>
  </si>
  <si>
    <t>Bahiano/Chuck Rio/Diego Blanco/Herbert Vianna</t>
  </si>
  <si>
    <t>Vamo Batê Lata</t>
  </si>
  <si>
    <t>Life During Wartime</t>
  </si>
  <si>
    <t>Chris Frantz/David Byrne/Jerry Harrison/Tina Weymouth</t>
  </si>
  <si>
    <t>Nebulosa Do Amor</t>
  </si>
  <si>
    <t>Caleidoscópio</t>
  </si>
  <si>
    <t>Trac Trac</t>
  </si>
  <si>
    <t>Arquivo II</t>
  </si>
  <si>
    <t>Fito Paez/Herbert Vianna</t>
  </si>
  <si>
    <t>Herbert Vianna/Tetê Tillet</t>
  </si>
  <si>
    <t>Mensagen De Amor (2000)</t>
  </si>
  <si>
    <t>Lourinha Bombril</t>
  </si>
  <si>
    <t>Bahiano/Diego Blanco/Herbert Vianna</t>
  </si>
  <si>
    <t>La Bella Luna</t>
  </si>
  <si>
    <t>Busca Vida</t>
  </si>
  <si>
    <t>Uma Brasileira</t>
  </si>
  <si>
    <t>Carlinhos Brown/Herbert Vianna</t>
  </si>
  <si>
    <t>Luis Inacio (300 Picaretas)</t>
  </si>
  <si>
    <t>Saber Amar</t>
  </si>
  <si>
    <t>Ela Disse Adeus</t>
  </si>
  <si>
    <t>O Amor Nao Sabe Esperar</t>
  </si>
  <si>
    <t>Aonde Quer Que Eu Va</t>
  </si>
  <si>
    <t>Herbert Vianna/Paulo Sérgio Valle</t>
  </si>
  <si>
    <t>Arquivo Os Paralamas Do Sucesso</t>
  </si>
  <si>
    <t>Óculos</t>
  </si>
  <si>
    <t>Cinema Mudo</t>
  </si>
  <si>
    <t>Alagados</t>
  </si>
  <si>
    <t>Melô Do Marinheiro</t>
  </si>
  <si>
    <t>Vital E Sua Moto</t>
  </si>
  <si>
    <t>O Beco</t>
  </si>
  <si>
    <t>Perplexo</t>
  </si>
  <si>
    <t>Me Liga</t>
  </si>
  <si>
    <t>Quase Um Segundo</t>
  </si>
  <si>
    <t>Romance Ideal</t>
  </si>
  <si>
    <t>Será Que Vai Chover?</t>
  </si>
  <si>
    <t>SKA</t>
  </si>
  <si>
    <t>Bark at the Moon</t>
  </si>
  <si>
    <t>Bark at the Moon (Remastered)</t>
  </si>
  <si>
    <t>Ozzy Osbourne</t>
  </si>
  <si>
    <t>O. Osbourne</t>
  </si>
  <si>
    <t>I Don't Know</t>
  </si>
  <si>
    <t>Blizzard of Ozz</t>
  </si>
  <si>
    <t>B. Daisley, O. Osbourne &amp; R. Rhoads</t>
  </si>
  <si>
    <t>Crazy Train</t>
  </si>
  <si>
    <t>Flying High Again</t>
  </si>
  <si>
    <t>Diary of a Madman (Remastered)</t>
  </si>
  <si>
    <t>L. Kerslake, O. Osbourne, R. Daisley &amp; R. Rhoads</t>
  </si>
  <si>
    <t>Mama, I'm Coming Home</t>
  </si>
  <si>
    <t>No More Tears (Remastered)</t>
  </si>
  <si>
    <t>L. Kilmister, O. Osbourne &amp; Z. Wylde</t>
  </si>
  <si>
    <t>J. Purdell, M. Inez, O. Osbourne, R. Castillo &amp; Z. Wylde</t>
  </si>
  <si>
    <t>Tribute</t>
  </si>
  <si>
    <t>O. Osbourne, R. Daisley, R. Rhoads</t>
  </si>
  <si>
    <t>Believer</t>
  </si>
  <si>
    <t>Mr. Crowley</t>
  </si>
  <si>
    <t>O. Osbourne, R. Daisley, R. Rhoads, L. Kerslake</t>
  </si>
  <si>
    <t>Relvelation (Mother Earth)</t>
  </si>
  <si>
    <t>Steal Away (The Night)</t>
  </si>
  <si>
    <t>Suicide Solution (With Guitar Solo)</t>
  </si>
  <si>
    <t>Iron Man</t>
  </si>
  <si>
    <t>A. F. Iommi, W. Ward, T. Butler, J. Osbourne</t>
  </si>
  <si>
    <t>Children Of The Grave</t>
  </si>
  <si>
    <t>Paranoid</t>
  </si>
  <si>
    <t>Goodbye To Romance</t>
  </si>
  <si>
    <t>No Bone Movies</t>
  </si>
  <si>
    <t>Dee</t>
  </si>
  <si>
    <t>R. Rhoads</t>
  </si>
  <si>
    <t>Shining In The Light</t>
  </si>
  <si>
    <t>Walking Into Clarksdale</t>
  </si>
  <si>
    <t>Page &amp; Plant</t>
  </si>
  <si>
    <t>Jimmy Page, Robert Plant, Charlie Jones, Michael Lee</t>
  </si>
  <si>
    <t>When The World Was Young</t>
  </si>
  <si>
    <t>Upon A Golden Horse</t>
  </si>
  <si>
    <t>Blue Train</t>
  </si>
  <si>
    <t>Please Read The Letter</t>
  </si>
  <si>
    <t>Most High</t>
  </si>
  <si>
    <t>Heart In Your Hand</t>
  </si>
  <si>
    <t>Burning Up</t>
  </si>
  <si>
    <t>When I Was A Child</t>
  </si>
  <si>
    <t>House Of Love</t>
  </si>
  <si>
    <t>Sons Of Freedom</t>
  </si>
  <si>
    <t>United Colours</t>
  </si>
  <si>
    <t>Original Soundtracks 1</t>
  </si>
  <si>
    <t>Passengers</t>
  </si>
  <si>
    <t>Brian Eno, Bono, Adam Clayton, The Edge &amp; Larry Mullen Jnr.</t>
  </si>
  <si>
    <t>Slug</t>
  </si>
  <si>
    <t>Your Blue Room</t>
  </si>
  <si>
    <t>Always Forever Now</t>
  </si>
  <si>
    <t>A Different Kind Of Blue</t>
  </si>
  <si>
    <t>Beach Sequence</t>
  </si>
  <si>
    <t>Miss Sarajevo</t>
  </si>
  <si>
    <t>Ito Okashi</t>
  </si>
  <si>
    <t>One Minute Warning</t>
  </si>
  <si>
    <t>Corpse (These Chains Are Way Too Long)</t>
  </si>
  <si>
    <t>Elvis Ate America</t>
  </si>
  <si>
    <t>Plot 180</t>
  </si>
  <si>
    <t>Theme From The Swan</t>
  </si>
  <si>
    <t>Theme From Let's Go Native</t>
  </si>
  <si>
    <t>The Beast Live</t>
  </si>
  <si>
    <t>Paul D'Ianno</t>
  </si>
  <si>
    <t>Women In Uniform</t>
  </si>
  <si>
    <t>Greg Macainsh</t>
  </si>
  <si>
    <t>Corduroy</t>
  </si>
  <si>
    <t>Live On Two Legs [Live]</t>
  </si>
  <si>
    <t>Pearl Jam</t>
  </si>
  <si>
    <t>Pearl Jam &amp; Eddie Vedder</t>
  </si>
  <si>
    <t>Given To Fly</t>
  </si>
  <si>
    <t>Eddie Vedder &amp; Mike McCready</t>
  </si>
  <si>
    <t>Hail, Hail</t>
  </si>
  <si>
    <t>Stone Gossard &amp; Eddie Vedder &amp; Jeff Ament &amp; Mike McCready</t>
  </si>
  <si>
    <t>Daughter</t>
  </si>
  <si>
    <t>Dave Abbruzzese &amp; Jeff Ament &amp; Stone Gossard &amp; Mike McCready &amp; Eddie Vedder</t>
  </si>
  <si>
    <t>Elderly Woman Behind The Counter In A Small Town</t>
  </si>
  <si>
    <t>Untitled</t>
  </si>
  <si>
    <t>MFC</t>
  </si>
  <si>
    <t>Eddie Vedder</t>
  </si>
  <si>
    <t>Go</t>
  </si>
  <si>
    <t>Red Mosquito</t>
  </si>
  <si>
    <t>Jeff Ament &amp; Stone Gossard &amp; Jack Irons &amp; Mike McCready &amp; Eddie Vedder</t>
  </si>
  <si>
    <t>Even Flow</t>
  </si>
  <si>
    <t>Stone Gossard &amp; Eddie Vedder</t>
  </si>
  <si>
    <t>Off He Goes</t>
  </si>
  <si>
    <t>Nothingman</t>
  </si>
  <si>
    <t>Jeff Ament &amp; Eddie Vedder</t>
  </si>
  <si>
    <t>Do The Evolution</t>
  </si>
  <si>
    <t>Eddie Vedder &amp; Stone Gossard</t>
  </si>
  <si>
    <t>Better Man</t>
  </si>
  <si>
    <t>Black</t>
  </si>
  <si>
    <t>F*Ckin' Up</t>
  </si>
  <si>
    <t>Neil Young</t>
  </si>
  <si>
    <t>Life Wasted</t>
  </si>
  <si>
    <t>Stone Gossard</t>
  </si>
  <si>
    <t>World Wide Suicide</t>
  </si>
  <si>
    <t>Comatose</t>
  </si>
  <si>
    <t>Mike McCready &amp; Stone Gossard</t>
  </si>
  <si>
    <t>Severed Hand</t>
  </si>
  <si>
    <t>Marker In The Sand</t>
  </si>
  <si>
    <t>Mike McCready</t>
  </si>
  <si>
    <t>Parachutes</t>
  </si>
  <si>
    <t>Unemployable</t>
  </si>
  <si>
    <t>Matt Cameron &amp; Mike McCready</t>
  </si>
  <si>
    <t>Big Wave</t>
  </si>
  <si>
    <t>Jeff Ament</t>
  </si>
  <si>
    <t>Gone</t>
  </si>
  <si>
    <t>Wasted Reprise</t>
  </si>
  <si>
    <t>Army Reserve</t>
  </si>
  <si>
    <t>Inside Job</t>
  </si>
  <si>
    <t>Can't Keep</t>
  </si>
  <si>
    <t>Riot Act</t>
  </si>
  <si>
    <t>Save You</t>
  </si>
  <si>
    <t>Eddie Vedder/Jeff Ament/Matt Cameron/Mike McCready/Stone Gossard</t>
  </si>
  <si>
    <t>Love Boat Captain</t>
  </si>
  <si>
    <t>Cropduster</t>
  </si>
  <si>
    <t>Matt Cameron</t>
  </si>
  <si>
    <t>Ghost</t>
  </si>
  <si>
    <t>I Am Mine</t>
  </si>
  <si>
    <t>Thumbing My Way</t>
  </si>
  <si>
    <t>You Are</t>
  </si>
  <si>
    <t>Get Right</t>
  </si>
  <si>
    <t>Green Disease</t>
  </si>
  <si>
    <t>Help Help</t>
  </si>
  <si>
    <t>Bushleager</t>
  </si>
  <si>
    <t>1/2 Full</t>
  </si>
  <si>
    <t>Arc</t>
  </si>
  <si>
    <t>All or None</t>
  </si>
  <si>
    <t>Once</t>
  </si>
  <si>
    <t>Ten</t>
  </si>
  <si>
    <t>Evenflow</t>
  </si>
  <si>
    <t>Alive</t>
  </si>
  <si>
    <t>Why Go</t>
  </si>
  <si>
    <t>Dave Krusen/Stone Gossard</t>
  </si>
  <si>
    <t>Jeremy</t>
  </si>
  <si>
    <t>Oceans</t>
  </si>
  <si>
    <t>Jeff Ament/Stone Gossard</t>
  </si>
  <si>
    <t>Porch</t>
  </si>
  <si>
    <t>Garden</t>
  </si>
  <si>
    <t>Deep</t>
  </si>
  <si>
    <t>Release</t>
  </si>
  <si>
    <t>Jeff Ament/Mike McCready/Stone Gossard</t>
  </si>
  <si>
    <t>Vs.</t>
  </si>
  <si>
    <t>Dave Abbruzzese/Eddie Vedder/Jeff Ament/Mike McCready/Stone Gossard</t>
  </si>
  <si>
    <t>Glorified G</t>
  </si>
  <si>
    <t>Dissident</t>
  </si>
  <si>
    <t>W.M.A.</t>
  </si>
  <si>
    <t>Blood</t>
  </si>
  <si>
    <t>Rearviewmirror</t>
  </si>
  <si>
    <t>Rats</t>
  </si>
  <si>
    <t>Leash</t>
  </si>
  <si>
    <t>Indifference</t>
  </si>
  <si>
    <t>Don't Look Back</t>
  </si>
  <si>
    <t>Jah Seh No</t>
  </si>
  <si>
    <t>I'm The Toughest</t>
  </si>
  <si>
    <t>Nothing But Love</t>
  </si>
  <si>
    <t>Buk-In-Hamm Palace</t>
  </si>
  <si>
    <t>Bush Doctor</t>
  </si>
  <si>
    <t>Wanted Dread And Alive</t>
  </si>
  <si>
    <t>Mystic Man</t>
  </si>
  <si>
    <t>Coming In Hot</t>
  </si>
  <si>
    <t>Pick Myself Up</t>
  </si>
  <si>
    <t>Crystal Ball</t>
  </si>
  <si>
    <t>Equal Rights Downpresser Man</t>
  </si>
  <si>
    <t>Speak To Me/Breathe</t>
  </si>
  <si>
    <t>Dark Side Of The Moon</t>
  </si>
  <si>
    <t>Pink Floyd</t>
  </si>
  <si>
    <t>Mason/Waters, Gilmour, Wright</t>
  </si>
  <si>
    <t>On The Run</t>
  </si>
  <si>
    <t>Gilmour, Waters</t>
  </si>
  <si>
    <t>Mason, Waters, Wright, Gilmour</t>
  </si>
  <si>
    <t>The Great Gig In The Sky</t>
  </si>
  <si>
    <t>Wright, Waters</t>
  </si>
  <si>
    <t>Waters</t>
  </si>
  <si>
    <t>Us And Them</t>
  </si>
  <si>
    <t>Waters, Wright</t>
  </si>
  <si>
    <t>Any Colour You Like</t>
  </si>
  <si>
    <t>Gilmour, Mason, Wright, Waters</t>
  </si>
  <si>
    <t>Brain Damage</t>
  </si>
  <si>
    <t>Eclipse</t>
  </si>
  <si>
    <t>ZeroVinteUm</t>
  </si>
  <si>
    <t>Os Cães Ladram Mas A Caravana Não Pára</t>
  </si>
  <si>
    <t>Planet Hemp</t>
  </si>
  <si>
    <t>Hip Hop/Rap</t>
  </si>
  <si>
    <t>Queimando Tudo</t>
  </si>
  <si>
    <t>Hip Hop Rio</t>
  </si>
  <si>
    <t>Bossa</t>
  </si>
  <si>
    <t>100% HardCore</t>
  </si>
  <si>
    <t>Biruta</t>
  </si>
  <si>
    <t>Mão Na Cabeça</t>
  </si>
  <si>
    <t>O Bicho Tá Pregando</t>
  </si>
  <si>
    <t>Adoled (Ocean)</t>
  </si>
  <si>
    <t>Seus Amigos</t>
  </si>
  <si>
    <t>Paga Pau</t>
  </si>
  <si>
    <t>Rappers Reais</t>
  </si>
  <si>
    <t>Nega Do Cabelo Duro</t>
  </si>
  <si>
    <t>Hemp Family</t>
  </si>
  <si>
    <t>Quem Me Cobrou?</t>
  </si>
  <si>
    <t>Se Liga</t>
  </si>
  <si>
    <t>Bohemian Rhapsody</t>
  </si>
  <si>
    <t>Greatest Hits I</t>
  </si>
  <si>
    <t>Mercury, Freddie</t>
  </si>
  <si>
    <t>Another One Bites The Dust</t>
  </si>
  <si>
    <t>Deacon, John</t>
  </si>
  <si>
    <t>Killer Queen</t>
  </si>
  <si>
    <t>Fat Bottomed Girls</t>
  </si>
  <si>
    <t>May, Brian</t>
  </si>
  <si>
    <t>Bicycle Race</t>
  </si>
  <si>
    <t>You're My Best Friend</t>
  </si>
  <si>
    <t>Don't Stop Me Now</t>
  </si>
  <si>
    <t>Save Me</t>
  </si>
  <si>
    <t>Crazy Little Thing Called Love</t>
  </si>
  <si>
    <t>Somebody To Love</t>
  </si>
  <si>
    <t>Now I'm Here</t>
  </si>
  <si>
    <t>Good Old-Fashioned Lover Boy</t>
  </si>
  <si>
    <t>Play The Game</t>
  </si>
  <si>
    <t>Flash</t>
  </si>
  <si>
    <t>Seven Seas Of Rhye</t>
  </si>
  <si>
    <t>We Will Rock You</t>
  </si>
  <si>
    <t>Deacon, John/May, Brian</t>
  </si>
  <si>
    <t>We Are The Champions</t>
  </si>
  <si>
    <t>News Of The World</t>
  </si>
  <si>
    <t>May</t>
  </si>
  <si>
    <t>Mercury</t>
  </si>
  <si>
    <t>Sheer Heart Attack</t>
  </si>
  <si>
    <t>Taylor</t>
  </si>
  <si>
    <t>All Dead, All Dead</t>
  </si>
  <si>
    <t>Spread Your Wings</t>
  </si>
  <si>
    <t>Deacon</t>
  </si>
  <si>
    <t>Fight From The Inside</t>
  </si>
  <si>
    <t>Get Down, Make Love</t>
  </si>
  <si>
    <t>Sleep On The Sidewalk</t>
  </si>
  <si>
    <t>Who Needs You</t>
  </si>
  <si>
    <t>It's Late</t>
  </si>
  <si>
    <t>My Melancholy Blues</t>
  </si>
  <si>
    <t>Shiny Happy People</t>
  </si>
  <si>
    <t>Out Of Time</t>
  </si>
  <si>
    <t>R.E.M. Feat. Kate Pearson</t>
  </si>
  <si>
    <t>Bill Berry/Michael Stipe/Mike Mills/Peter Buck</t>
  </si>
  <si>
    <t>Me In Honey</t>
  </si>
  <si>
    <t>Pop Song 89</t>
  </si>
  <si>
    <t>Green</t>
  </si>
  <si>
    <t>R.E.M.</t>
  </si>
  <si>
    <t>Bill Berry-Peter Buck-Mike Mills-Michael Stipe</t>
  </si>
  <si>
    <t>Get Up</t>
  </si>
  <si>
    <t>You Are The Everything</t>
  </si>
  <si>
    <t>Stand</t>
  </si>
  <si>
    <t>World Leader Pretend</t>
  </si>
  <si>
    <t>The Wrong Child</t>
  </si>
  <si>
    <t>Orange Crush</t>
  </si>
  <si>
    <t>Turn You Inside-Out</t>
  </si>
  <si>
    <t>Hairshirt</t>
  </si>
  <si>
    <t>I Remember California</t>
  </si>
  <si>
    <t>How The West Was Won And Where It Got Us</t>
  </si>
  <si>
    <t>New Adventures In Hi-Fi</t>
  </si>
  <si>
    <t>The Wake-Up Bomb</t>
  </si>
  <si>
    <t>New Test Leper</t>
  </si>
  <si>
    <t>Undertow</t>
  </si>
  <si>
    <t>E-Bow The Letter</t>
  </si>
  <si>
    <t>Leave</t>
  </si>
  <si>
    <t>Departure</t>
  </si>
  <si>
    <t>Bittersweet Me</t>
  </si>
  <si>
    <t>Be Mine</t>
  </si>
  <si>
    <t>Binky The Doormat</t>
  </si>
  <si>
    <t>Zither</t>
  </si>
  <si>
    <t>So Fast, So Numb</t>
  </si>
  <si>
    <t>Low Desert</t>
  </si>
  <si>
    <t>Electrolite</t>
  </si>
  <si>
    <t>Losing My Religion</t>
  </si>
  <si>
    <t>Near Wild Heaven</t>
  </si>
  <si>
    <t>Endgame</t>
  </si>
  <si>
    <t>Belong</t>
  </si>
  <si>
    <t>Half A World Away</t>
  </si>
  <si>
    <t>Texarkana</t>
  </si>
  <si>
    <t>Country Feedback</t>
  </si>
  <si>
    <t>Carnival Of Sorts</t>
  </si>
  <si>
    <t>The Best Of R.E.M.: The IRS Years</t>
  </si>
  <si>
    <t>Radio Free Aurope</t>
  </si>
  <si>
    <t>Perfect Circle</t>
  </si>
  <si>
    <t>Talk About The Passion</t>
  </si>
  <si>
    <t>So Central Rain</t>
  </si>
  <si>
    <t>Don't Go Back To Rockville</t>
  </si>
  <si>
    <t>Pretty Persuasion</t>
  </si>
  <si>
    <t>Green Grow The Rushes</t>
  </si>
  <si>
    <t>Can't Get There From Here</t>
  </si>
  <si>
    <t>Driver 8</t>
  </si>
  <si>
    <t>Fall On Me</t>
  </si>
  <si>
    <t>I Believe</t>
  </si>
  <si>
    <t>Cuyahoga</t>
  </si>
  <si>
    <t>The One I Love</t>
  </si>
  <si>
    <t>The Finest Worksong</t>
  </si>
  <si>
    <t>It's The End Of The World As We Know It (And I Feel Fine)</t>
  </si>
  <si>
    <t>Infeliz Natal</t>
  </si>
  <si>
    <t>Cesta Básica</t>
  </si>
  <si>
    <t>Raimundos</t>
  </si>
  <si>
    <t>Rodolfo</t>
  </si>
  <si>
    <t>A Sua</t>
  </si>
  <si>
    <t>Papeau Nuky Doe</t>
  </si>
  <si>
    <t>Merry Christmas</t>
  </si>
  <si>
    <t>Bodies</t>
  </si>
  <si>
    <t>Puteiro Em João Pessoa</t>
  </si>
  <si>
    <t>Esporrei Na Manivela</t>
  </si>
  <si>
    <t>Bê-a-Bá</t>
  </si>
  <si>
    <t>Cajueiro</t>
  </si>
  <si>
    <t>Palhas Do Coqueiro</t>
  </si>
  <si>
    <t>Maluco Beleza</t>
  </si>
  <si>
    <t>Raul Seixas</t>
  </si>
  <si>
    <t>O Dia Em Que A Terra Parou</t>
  </si>
  <si>
    <t>No Fundo Do Quintal Da Escola</t>
  </si>
  <si>
    <t>O Segredo Do Universo</t>
  </si>
  <si>
    <t>As Profecias</t>
  </si>
  <si>
    <t>Mata Virgem</t>
  </si>
  <si>
    <t>Sapato 36</t>
  </si>
  <si>
    <t>Todo Mundo Explica</t>
  </si>
  <si>
    <t>Que Luz É Essa</t>
  </si>
  <si>
    <t>Diamante De Mendigo</t>
  </si>
  <si>
    <t>Negócio É</t>
  </si>
  <si>
    <t>Muita Estrela, Pouca Constelação</t>
  </si>
  <si>
    <t>Século XXI</t>
  </si>
  <si>
    <t>Rock Das Aranhas (Ao Vivo) (Live)</t>
  </si>
  <si>
    <t>The Power Of Equality</t>
  </si>
  <si>
    <t>Blood Sugar Sex Magik</t>
  </si>
  <si>
    <t>Red Hot Chili Peppers</t>
  </si>
  <si>
    <t>Anthony Kiedis/Chad Smith/Flea/John Frusciante</t>
  </si>
  <si>
    <t>If You Have To Ask</t>
  </si>
  <si>
    <t>Breaking The Girl</t>
  </si>
  <si>
    <t>Funky Monks</t>
  </si>
  <si>
    <t>Suck My Kiss</t>
  </si>
  <si>
    <t>I Could Have Lied</t>
  </si>
  <si>
    <t>Mellowship Slinky In B Major</t>
  </si>
  <si>
    <t>The Righteous &amp; The Wicked</t>
  </si>
  <si>
    <t>Give It Away</t>
  </si>
  <si>
    <t>Under The Bridge</t>
  </si>
  <si>
    <t>Naked In The Rain</t>
  </si>
  <si>
    <t>Apache Rose Peacock</t>
  </si>
  <si>
    <t>The Greeting Song</t>
  </si>
  <si>
    <t>My Lovely Man</t>
  </si>
  <si>
    <t>Sir Psycho Sexy</t>
  </si>
  <si>
    <t>They're Red Hot</t>
  </si>
  <si>
    <t>By The Way</t>
  </si>
  <si>
    <t>Anthony Kiedis, Flea, John Frusciante, and Chad Smith</t>
  </si>
  <si>
    <t>Universally Speaking</t>
  </si>
  <si>
    <t>This Is The Place</t>
  </si>
  <si>
    <t>Dosed</t>
  </si>
  <si>
    <t>Don't Forget Me</t>
  </si>
  <si>
    <t>The Zephyr Song</t>
  </si>
  <si>
    <t>Can't Stop</t>
  </si>
  <si>
    <t>I Could Die For You</t>
  </si>
  <si>
    <t>Throw Away Your Television</t>
  </si>
  <si>
    <t>Cabron</t>
  </si>
  <si>
    <t>Tear</t>
  </si>
  <si>
    <t>On Mercury</t>
  </si>
  <si>
    <t>Minor Thing</t>
  </si>
  <si>
    <t>Warm Tape</t>
  </si>
  <si>
    <t>Venice Queen</t>
  </si>
  <si>
    <t>Around The World</t>
  </si>
  <si>
    <t>Californication</t>
  </si>
  <si>
    <t>Parallel Universe</t>
  </si>
  <si>
    <t>Scar Tissue</t>
  </si>
  <si>
    <t>Otherside</t>
  </si>
  <si>
    <t>Get On Top</t>
  </si>
  <si>
    <t>Easily</t>
  </si>
  <si>
    <t>Porcelain</t>
  </si>
  <si>
    <t>Emit Remmus</t>
  </si>
  <si>
    <t>I Like Dirt</t>
  </si>
  <si>
    <t>This Velvet Glove</t>
  </si>
  <si>
    <t>Savior</t>
  </si>
  <si>
    <t>Purple Stain</t>
  </si>
  <si>
    <t>Right On Time</t>
  </si>
  <si>
    <t>Road Trippin'</t>
  </si>
  <si>
    <t>The Spirit Of Radio</t>
  </si>
  <si>
    <t>Retrospective I (1974-1980)</t>
  </si>
  <si>
    <t>Rush</t>
  </si>
  <si>
    <t>Geddy Lee And Alex Lifeson/Geddy Lee And Neil Peart/Rush</t>
  </si>
  <si>
    <t>The Trees</t>
  </si>
  <si>
    <t>Something For Nothing</t>
  </si>
  <si>
    <t>Freewill</t>
  </si>
  <si>
    <t>Xanadu</t>
  </si>
  <si>
    <t>Bastille Day</t>
  </si>
  <si>
    <t>By-Tor And The Snow Dog</t>
  </si>
  <si>
    <t>Anthem</t>
  </si>
  <si>
    <t>Closer To The Heart</t>
  </si>
  <si>
    <t>2112 Overture</t>
  </si>
  <si>
    <t>The Temples Of Syrinx</t>
  </si>
  <si>
    <t>La Villa Strangiato</t>
  </si>
  <si>
    <t>Fly By Night</t>
  </si>
  <si>
    <t>Finding My Way</t>
  </si>
  <si>
    <t>Jingo</t>
  </si>
  <si>
    <t>Santana - As Years Go By</t>
  </si>
  <si>
    <t>M.Babatunde Olantunji</t>
  </si>
  <si>
    <t>El Corazon Manda</t>
  </si>
  <si>
    <t>E.Weiss</t>
  </si>
  <si>
    <t>La Puesta Del Sol</t>
  </si>
  <si>
    <t>Persuasion</t>
  </si>
  <si>
    <t>Carlos Santana</t>
  </si>
  <si>
    <t>As The Years Go by</t>
  </si>
  <si>
    <t>Albert King</t>
  </si>
  <si>
    <t>Soul Sacrifice</t>
  </si>
  <si>
    <t>Fried Neckbones And Home Fries</t>
  </si>
  <si>
    <t>W.Correa</t>
  </si>
  <si>
    <t>Santana Jam</t>
  </si>
  <si>
    <t>Evil Ways</t>
  </si>
  <si>
    <t>Santana Live</t>
  </si>
  <si>
    <t>We've Got To Get Together/Jingo</t>
  </si>
  <si>
    <t>Rock Me</t>
  </si>
  <si>
    <t>Just Ain't Good Enough</t>
  </si>
  <si>
    <t>Funky Piano</t>
  </si>
  <si>
    <t>The Way You Do To Mer</t>
  </si>
  <si>
    <t>Holding Back The Years</t>
  </si>
  <si>
    <t>Mick Hucknall and Neil Moss</t>
  </si>
  <si>
    <t>Money's Too Tight To Mention</t>
  </si>
  <si>
    <t>John and William Valentine</t>
  </si>
  <si>
    <t>The Right Thing</t>
  </si>
  <si>
    <t>Mick Hucknall</t>
  </si>
  <si>
    <t>It's Only Love</t>
  </si>
  <si>
    <t>Jimmy and Vella Cameron</t>
  </si>
  <si>
    <t>A New Flame</t>
  </si>
  <si>
    <t>You've Got It</t>
  </si>
  <si>
    <t>Mick Hucknall and Lamont Dozier</t>
  </si>
  <si>
    <t>If You Don't Know Me By Now</t>
  </si>
  <si>
    <t>Kenny Gamble and Leon Huff</t>
  </si>
  <si>
    <t>Stars</t>
  </si>
  <si>
    <t>Something Got Me Started</t>
  </si>
  <si>
    <t>Mick Hucknall and Fritz McIntyre</t>
  </si>
  <si>
    <t>Thrill Me</t>
  </si>
  <si>
    <t>Your Mirror</t>
  </si>
  <si>
    <t>For Your Babies</t>
  </si>
  <si>
    <t>So Beautiful</t>
  </si>
  <si>
    <t>Carolyn Franklin and Sonny Saunders</t>
  </si>
  <si>
    <t>Fairground</t>
  </si>
  <si>
    <t>Água E Fogo</t>
  </si>
  <si>
    <t>Maquinarama</t>
  </si>
  <si>
    <t>Skank</t>
  </si>
  <si>
    <t>Chico Amaral/Edgard Scandurra/Samuel Rosa</t>
  </si>
  <si>
    <t>Três Lados</t>
  </si>
  <si>
    <t>Chico Amaral/Samuel Rosa</t>
  </si>
  <si>
    <t>Ela Desapareceu</t>
  </si>
  <si>
    <t>Balada Do Amor Inabalável</t>
  </si>
  <si>
    <t>Fausto Fawcett/Samuel Rosa</t>
  </si>
  <si>
    <t>Canção Noturna</t>
  </si>
  <si>
    <t>Chico Amaral/Lelo Zanettik</t>
  </si>
  <si>
    <t>Muçulmano</t>
  </si>
  <si>
    <t>Leão, Rodrigo F./Samuel Rosa</t>
  </si>
  <si>
    <t>Rebelião</t>
  </si>
  <si>
    <t>A Última Guerra</t>
  </si>
  <si>
    <t>Leão, Rodrigo F./Lô Borges/Samuel Rosa</t>
  </si>
  <si>
    <t>Fica</t>
  </si>
  <si>
    <t>Ali</t>
  </si>
  <si>
    <t>Nando Reis/Samuel Rosa</t>
  </si>
  <si>
    <t>Preto Damião</t>
  </si>
  <si>
    <t>É Uma Partida De Futebol</t>
  </si>
  <si>
    <t>O Samba Poconé</t>
  </si>
  <si>
    <t>Samuel Rosa</t>
  </si>
  <si>
    <t>Eu Disse A Ela</t>
  </si>
  <si>
    <t>Zé Trindade</t>
  </si>
  <si>
    <t>Garota Nacional</t>
  </si>
  <si>
    <t>Tão Seu</t>
  </si>
  <si>
    <t>Sem Terra</t>
  </si>
  <si>
    <t>Os Exilados</t>
  </si>
  <si>
    <t>Um Dia Qualquer</t>
  </si>
  <si>
    <t>Los Pretos</t>
  </si>
  <si>
    <t>Sul Da América</t>
  </si>
  <si>
    <t>Poconé</t>
  </si>
  <si>
    <t>Lucky 13</t>
  </si>
  <si>
    <t>Judas 0: B-Sides and Rarities</t>
  </si>
  <si>
    <t>Smashing Pumpkins</t>
  </si>
  <si>
    <t>Billy Corgan</t>
  </si>
  <si>
    <t>Aeroplane Flies High</t>
  </si>
  <si>
    <t>Because You Are</t>
  </si>
  <si>
    <t>Slow Dawn</t>
  </si>
  <si>
    <t>James Iha</t>
  </si>
  <si>
    <t>My Mistake</t>
  </si>
  <si>
    <t>Marquis In Spades</t>
  </si>
  <si>
    <t>Here's To The Atom Bomb</t>
  </si>
  <si>
    <t>Sparrow</t>
  </si>
  <si>
    <t>Saturnine</t>
  </si>
  <si>
    <t>Rock On</t>
  </si>
  <si>
    <t>David Cook</t>
  </si>
  <si>
    <t>Set The Ray To Jerry</t>
  </si>
  <si>
    <t>Winterlong</t>
  </si>
  <si>
    <t>Soot &amp; Stars</t>
  </si>
  <si>
    <t>Blissed &amp; Gone</t>
  </si>
  <si>
    <t>Siva</t>
  </si>
  <si>
    <t>Rotten Apples: Greatest Hits</t>
  </si>
  <si>
    <t>Rhinocerous</t>
  </si>
  <si>
    <t>Drown</t>
  </si>
  <si>
    <t>Cherub Rock</t>
  </si>
  <si>
    <t>Today</t>
  </si>
  <si>
    <t>Disarm</t>
  </si>
  <si>
    <t>Landslide</t>
  </si>
  <si>
    <t>Stevie Nicks</t>
  </si>
  <si>
    <t>Bullet With Butterfly Wings</t>
  </si>
  <si>
    <t>Zero</t>
  </si>
  <si>
    <t>Tonight, Tonight</t>
  </si>
  <si>
    <t>Eye</t>
  </si>
  <si>
    <t>Ava Adore</t>
  </si>
  <si>
    <t>The Everlasting Gaze</t>
  </si>
  <si>
    <t>Stand Inside Your Love</t>
  </si>
  <si>
    <t>Real Love</t>
  </si>
  <si>
    <t>[Untitled]</t>
  </si>
  <si>
    <t>Nothing To Say</t>
  </si>
  <si>
    <t>A-Sides</t>
  </si>
  <si>
    <t>Soundgarden</t>
  </si>
  <si>
    <t>Chris Cornell/Kim Thayil</t>
  </si>
  <si>
    <t>Flower</t>
  </si>
  <si>
    <t>Loud Love</t>
  </si>
  <si>
    <t>Chris Cornell</t>
  </si>
  <si>
    <t>Hands All Over</t>
  </si>
  <si>
    <t>Get On The Snake</t>
  </si>
  <si>
    <t>Jesus Christ Pose</t>
  </si>
  <si>
    <t>Ben Shepherd/Chris Cornell/Kim Thayil/Matt Cameron</t>
  </si>
  <si>
    <t>Outshined</t>
  </si>
  <si>
    <t>Rusty Cage</t>
  </si>
  <si>
    <t>Spoonman</t>
  </si>
  <si>
    <t>The Day I Tried To Live</t>
  </si>
  <si>
    <t>Black Hole Sun</t>
  </si>
  <si>
    <t>Fell On Black Days</t>
  </si>
  <si>
    <t>Pretty Noose</t>
  </si>
  <si>
    <t>Burden In My Hand</t>
  </si>
  <si>
    <t>Blow Up The Outside World</t>
  </si>
  <si>
    <t>Ty Cobb</t>
  </si>
  <si>
    <t>Ben Shepherd/Chris Cornell</t>
  </si>
  <si>
    <t>Bleed Together</t>
  </si>
  <si>
    <t>Morning Dance</t>
  </si>
  <si>
    <t>Jay Beckenstein</t>
  </si>
  <si>
    <t>Jubilee</t>
  </si>
  <si>
    <t>Jeremy Wall</t>
  </si>
  <si>
    <t>Rasul</t>
  </si>
  <si>
    <t>Song For Lorraine</t>
  </si>
  <si>
    <t>Starburst</t>
  </si>
  <si>
    <t>Heliopolis</t>
  </si>
  <si>
    <t>It Doesn't Matter</t>
  </si>
  <si>
    <t>Chet Catallo</t>
  </si>
  <si>
    <t>Little Linda</t>
  </si>
  <si>
    <t>End Of Romanticism</t>
  </si>
  <si>
    <t>Rick Strauss</t>
  </si>
  <si>
    <t>The House Is Rockin'</t>
  </si>
  <si>
    <t>In Step</t>
  </si>
  <si>
    <t>Stevie Ray Vaughan &amp; Double Trouble</t>
  </si>
  <si>
    <t>Doyle Bramhall/Stevie Ray Vaughan</t>
  </si>
  <si>
    <t>Crossfire</t>
  </si>
  <si>
    <t>B. Carter/C. Layton/R. Ellsworth/R. Wynans/T. Shannon</t>
  </si>
  <si>
    <t>Tightrope</t>
  </si>
  <si>
    <t>B. Guy</t>
  </si>
  <si>
    <t>Travis Walk</t>
  </si>
  <si>
    <t>Stevie Ray Vaughan</t>
  </si>
  <si>
    <t>Wall Of Denial</t>
  </si>
  <si>
    <t>Scratch-N-Sniff</t>
  </si>
  <si>
    <t>Love Me Darlin'</t>
  </si>
  <si>
    <t>C. Burnett</t>
  </si>
  <si>
    <t>Riviera Paradise</t>
  </si>
  <si>
    <t>Dead And Bloated</t>
  </si>
  <si>
    <t>Core</t>
  </si>
  <si>
    <t>Stone Temple Pilots</t>
  </si>
  <si>
    <t>R. DeLeo/Weiland</t>
  </si>
  <si>
    <t>Sex Type Thing</t>
  </si>
  <si>
    <t>D. DeLeo/Kretz/Weiland</t>
  </si>
  <si>
    <t>Wicked Garden</t>
  </si>
  <si>
    <t>D. DeLeo/R. DeLeo/Weiland</t>
  </si>
  <si>
    <t>No Memory</t>
  </si>
  <si>
    <t>Dean Deleo</t>
  </si>
  <si>
    <t>Sin</t>
  </si>
  <si>
    <t>Naked Sunday</t>
  </si>
  <si>
    <t>D. DeLeo/Kretz/R. DeLeo/Weiland</t>
  </si>
  <si>
    <t>Creep</t>
  </si>
  <si>
    <t>Piece Of Pie</t>
  </si>
  <si>
    <t>Plush</t>
  </si>
  <si>
    <t>Wet My Bed</t>
  </si>
  <si>
    <t>Crackerman</t>
  </si>
  <si>
    <t>Kretz/R. DeLeo/Weiland</t>
  </si>
  <si>
    <t>Where The River Goes</t>
  </si>
  <si>
    <t>Soldier Side - Intro</t>
  </si>
  <si>
    <t>Mezmerize</t>
  </si>
  <si>
    <t>System Of A Down</t>
  </si>
  <si>
    <t>Dolmayan, John/Malakian, Daron/Odadjian, Shavo</t>
  </si>
  <si>
    <t>B.Y.O.B.</t>
  </si>
  <si>
    <t>Tankian, Serj</t>
  </si>
  <si>
    <t>Revenga</t>
  </si>
  <si>
    <t>Cigaro</t>
  </si>
  <si>
    <t>Radio/Video</t>
  </si>
  <si>
    <t>This Cocaine Makes Me Feel Like I'm On This Song</t>
  </si>
  <si>
    <t>Violent Pornography</t>
  </si>
  <si>
    <t>Question!</t>
  </si>
  <si>
    <t>Sad Statue</t>
  </si>
  <si>
    <t>Old School Hollywood</t>
  </si>
  <si>
    <t>Lost in Hollywood</t>
  </si>
  <si>
    <t>The Sun Road</t>
  </si>
  <si>
    <t>[1997] Black Light Syndrome</t>
  </si>
  <si>
    <t>Terry Bozzio, Tony Levin &amp; Steve Stevens</t>
  </si>
  <si>
    <t>Terry Bozzio, Steve Stevens, Tony Levin</t>
  </si>
  <si>
    <t>Dark Corners</t>
  </si>
  <si>
    <t>Duende</t>
  </si>
  <si>
    <t>Black Light Syndrome</t>
  </si>
  <si>
    <t>Falling in Circles</t>
  </si>
  <si>
    <t>Book of Hours</t>
  </si>
  <si>
    <t>Chaos-Control</t>
  </si>
  <si>
    <t>Midnight From The Inside Out</t>
  </si>
  <si>
    <t>Live [Disc 1]</t>
  </si>
  <si>
    <t>The Black Crowes</t>
  </si>
  <si>
    <t>Chris Robinson/Rich Robinson</t>
  </si>
  <si>
    <t>Sting Me</t>
  </si>
  <si>
    <t>Thick &amp; Thin</t>
  </si>
  <si>
    <t>Greasy Grass River</t>
  </si>
  <si>
    <t>Sometimes Salvation</t>
  </si>
  <si>
    <t>Cursed Diamonds</t>
  </si>
  <si>
    <t>Miracle To Me</t>
  </si>
  <si>
    <t>Wiser Time</t>
  </si>
  <si>
    <t>Girl From A Pawnshop</t>
  </si>
  <si>
    <t>Cosmic Fiend</t>
  </si>
  <si>
    <t>Black Moon Creeping</t>
  </si>
  <si>
    <t>Live [Disc 2]</t>
  </si>
  <si>
    <t>High Head Blues</t>
  </si>
  <si>
    <t>Title Song</t>
  </si>
  <si>
    <t>She Talks To Angels</t>
  </si>
  <si>
    <t>Twice As Hard</t>
  </si>
  <si>
    <t>Lickin'</t>
  </si>
  <si>
    <t>Soul Singing</t>
  </si>
  <si>
    <t>Hard To Handle</t>
  </si>
  <si>
    <t>A.Isbell/A.Jones/O.Redding</t>
  </si>
  <si>
    <t>Remedy</t>
  </si>
  <si>
    <t>White Riot</t>
  </si>
  <si>
    <t>The Singles</t>
  </si>
  <si>
    <t>The Clash</t>
  </si>
  <si>
    <t>Joe Strummer/Mick Jones</t>
  </si>
  <si>
    <t>Remote Control</t>
  </si>
  <si>
    <t>Complete Control</t>
  </si>
  <si>
    <t>Clash City Rockers</t>
  </si>
  <si>
    <t>(White Man) In Hammersmith Palais</t>
  </si>
  <si>
    <t>Tommy Gun</t>
  </si>
  <si>
    <t>English Civil War</t>
  </si>
  <si>
    <t>Mick Jones/Traditional arr. Joe Strummer</t>
  </si>
  <si>
    <t>I Fought The Law</t>
  </si>
  <si>
    <t>Sonny Curtis</t>
  </si>
  <si>
    <t>London Calling</t>
  </si>
  <si>
    <t>Train In Vain</t>
  </si>
  <si>
    <t>Bankrobber</t>
  </si>
  <si>
    <t>The Call Up</t>
  </si>
  <si>
    <t>Hitsville UK</t>
  </si>
  <si>
    <t>The Magnificent Seven</t>
  </si>
  <si>
    <t>This Is Radio Clash</t>
  </si>
  <si>
    <t>Know Your Rights</t>
  </si>
  <si>
    <t>Rock The Casbah</t>
  </si>
  <si>
    <t>Should I Stay Or Should I Go</t>
  </si>
  <si>
    <t>War (The Process)</t>
  </si>
  <si>
    <t>Beyond Good And Evil</t>
  </si>
  <si>
    <t>The Cult</t>
  </si>
  <si>
    <t>Billy Duffy/Ian Astbury</t>
  </si>
  <si>
    <t>The Saint</t>
  </si>
  <si>
    <t>Rise</t>
  </si>
  <si>
    <t>Take The Power</t>
  </si>
  <si>
    <t>Breathe</t>
  </si>
  <si>
    <t>Billy Duffy/Ian Astbury/Marti Frederiksen/Mick Jones</t>
  </si>
  <si>
    <t>Nico</t>
  </si>
  <si>
    <t>American Gothic</t>
  </si>
  <si>
    <t>Ashes And Ghosts</t>
  </si>
  <si>
    <t>Billy Duffy/Bob Rock/Ian Astbury</t>
  </si>
  <si>
    <t>Shape The Sky</t>
  </si>
  <si>
    <t>Speed Of Light</t>
  </si>
  <si>
    <t>True Believers</t>
  </si>
  <si>
    <t>My Bridges Burn</t>
  </si>
  <si>
    <t>She Sells Sanctuary</t>
  </si>
  <si>
    <t>Pure Cult: The Best Of The Cult (For Rockers, Ravers, Lovers &amp; Sinners) [UK]</t>
  </si>
  <si>
    <t>Fire Woman</t>
  </si>
  <si>
    <t>Lil' Evil</t>
  </si>
  <si>
    <t>Spirit Walker</t>
  </si>
  <si>
    <t>The Witch</t>
  </si>
  <si>
    <t>Revolution</t>
  </si>
  <si>
    <t>Wild Hearted Son</t>
  </si>
  <si>
    <t>Love Removal Machine</t>
  </si>
  <si>
    <t>Rain</t>
  </si>
  <si>
    <t>Edie (Ciao Baby)</t>
  </si>
  <si>
    <t>Heart Of Soul</t>
  </si>
  <si>
    <t>Love</t>
  </si>
  <si>
    <t>Wild Flower</t>
  </si>
  <si>
    <t>Go West</t>
  </si>
  <si>
    <t>Resurrection Joe</t>
  </si>
  <si>
    <t>Sun King</t>
  </si>
  <si>
    <t>Sweet Soul Sister</t>
  </si>
  <si>
    <t>Earth Mofo</t>
  </si>
  <si>
    <t>Break on Through</t>
  </si>
  <si>
    <t>The Doors</t>
  </si>
  <si>
    <t>Robby Krieger, Ray Manzarek, John Densmore, Jim Morrison</t>
  </si>
  <si>
    <t>Soul Kitchen</t>
  </si>
  <si>
    <t>The Crystal Ship</t>
  </si>
  <si>
    <t>Twentienth Century Fox</t>
  </si>
  <si>
    <t>Alabama Song</t>
  </si>
  <si>
    <t>Weill-Brecht</t>
  </si>
  <si>
    <t>Light My Fire</t>
  </si>
  <si>
    <t>Back Door Man</t>
  </si>
  <si>
    <t>Willie Dixon, C. Burnett</t>
  </si>
  <si>
    <t>I Looked At You</t>
  </si>
  <si>
    <t>End Of The Night</t>
  </si>
  <si>
    <t>Take It As It Comes</t>
  </si>
  <si>
    <t>The End</t>
  </si>
  <si>
    <t>Roxanne</t>
  </si>
  <si>
    <t>The Police Greatest Hits</t>
  </si>
  <si>
    <t>The Police</t>
  </si>
  <si>
    <t>G M Sumner</t>
  </si>
  <si>
    <t>Can't Stand Losing You</t>
  </si>
  <si>
    <t>Message in a Bottle</t>
  </si>
  <si>
    <t>Walking on the Moon</t>
  </si>
  <si>
    <t>Don't Stand so Close to Me</t>
  </si>
  <si>
    <t>De Do Do Do, De Da Da Da</t>
  </si>
  <si>
    <t>Every Little Thing She Does is Magic</t>
  </si>
  <si>
    <t>Invisible Sun</t>
  </si>
  <si>
    <t>Spirit's in the Material World</t>
  </si>
  <si>
    <t>Every Breath You Take</t>
  </si>
  <si>
    <t>King Of Pain</t>
  </si>
  <si>
    <t>Wrapped Around Your Finger</t>
  </si>
  <si>
    <t>Don't Stand So Close to Me '86</t>
  </si>
  <si>
    <t>Message in a Bottle (new classic rock mix)</t>
  </si>
  <si>
    <t>Time Is On My Side</t>
  </si>
  <si>
    <t>Hot Rocks, 1964-1971 (Disc 1)</t>
  </si>
  <si>
    <t>The Rolling Stones</t>
  </si>
  <si>
    <t>Jerry Ragavoy</t>
  </si>
  <si>
    <t>Heart Of Stone</t>
  </si>
  <si>
    <t>Jagger/Richards</t>
  </si>
  <si>
    <t>Play With Fire</t>
  </si>
  <si>
    <t>Nanker Phelge</t>
  </si>
  <si>
    <t>Satisfaction</t>
  </si>
  <si>
    <t>As Tears Go By</t>
  </si>
  <si>
    <t>Jagger/Richards/Oldham</t>
  </si>
  <si>
    <t>Get Off Of My Cloud</t>
  </si>
  <si>
    <t>Mother's Little Helper</t>
  </si>
  <si>
    <t>19th Nervous Breakdown</t>
  </si>
  <si>
    <t>Paint It Black</t>
  </si>
  <si>
    <t>Under My Thumb</t>
  </si>
  <si>
    <t>Ruby Tuesday</t>
  </si>
  <si>
    <t>Let's Spend The Night Together</t>
  </si>
  <si>
    <t>No Security</t>
  </si>
  <si>
    <t>You Got Me Rocking</t>
  </si>
  <si>
    <t>Gimmie Shelters</t>
  </si>
  <si>
    <t>Flip The Switch</t>
  </si>
  <si>
    <t>Memory Motel</t>
  </si>
  <si>
    <t>Corinna</t>
  </si>
  <si>
    <t>Jesse Ed Davis III/Taj Mahal</t>
  </si>
  <si>
    <t>Saint Of Me</t>
  </si>
  <si>
    <t>Wainting On A Friend</t>
  </si>
  <si>
    <t>Sister Morphine</t>
  </si>
  <si>
    <t>Faithfull/Jagger/Richards</t>
  </si>
  <si>
    <t>Live With Me</t>
  </si>
  <si>
    <t>Respectable</t>
  </si>
  <si>
    <t>Thief In The Night</t>
  </si>
  <si>
    <t>De Beauport/Jagger/Richards</t>
  </si>
  <si>
    <t>The Last Time</t>
  </si>
  <si>
    <t>Out Of Control</t>
  </si>
  <si>
    <t>Love Is Strong</t>
  </si>
  <si>
    <t>Voodoo Lounge</t>
  </si>
  <si>
    <t>Sparks Will Fly</t>
  </si>
  <si>
    <t>The Worst</t>
  </si>
  <si>
    <t>New Faces</t>
  </si>
  <si>
    <t>Moon Is Up</t>
  </si>
  <si>
    <t>Out Of Tears</t>
  </si>
  <si>
    <t>I Go Wild</t>
  </si>
  <si>
    <t>Brand New Car</t>
  </si>
  <si>
    <t>Sweethearts Together</t>
  </si>
  <si>
    <t>Suck On The Jugular</t>
  </si>
  <si>
    <t>Blinded By Rainbows</t>
  </si>
  <si>
    <t>Baby Break It Down</t>
  </si>
  <si>
    <t>Thru And Thru</t>
  </si>
  <si>
    <t>Mean Disposition</t>
  </si>
  <si>
    <t>Walking Wounded</t>
  </si>
  <si>
    <t>Tangents</t>
  </si>
  <si>
    <t>The Tea Party</t>
  </si>
  <si>
    <t>Temptation</t>
  </si>
  <si>
    <t>The Messenger</t>
  </si>
  <si>
    <t>Daniel Lanois</t>
  </si>
  <si>
    <t>Psychopomp</t>
  </si>
  <si>
    <t>Sister Awake</t>
  </si>
  <si>
    <t>The Bazaar</t>
  </si>
  <si>
    <t>Save Me (Remix)</t>
  </si>
  <si>
    <t>Fire In The Head</t>
  </si>
  <si>
    <t>Heaven Coming Down</t>
  </si>
  <si>
    <t>The River (Remix)</t>
  </si>
  <si>
    <t>Babylon</t>
  </si>
  <si>
    <t>Waiting On A Sign</t>
  </si>
  <si>
    <t>Life Line</t>
  </si>
  <si>
    <t>Keith Richards/Mick Jagger</t>
  </si>
  <si>
    <t>Transmission</t>
  </si>
  <si>
    <t>Army Ants</t>
  </si>
  <si>
    <t>Gyroscope</t>
  </si>
  <si>
    <t>Alarum</t>
  </si>
  <si>
    <t>Pulse</t>
  </si>
  <si>
    <t>Emerald</t>
  </si>
  <si>
    <t>Aftermath</t>
  </si>
  <si>
    <t>I Can't Explain</t>
  </si>
  <si>
    <t>My Generation - The Very Best Of The Who</t>
  </si>
  <si>
    <t>The Who</t>
  </si>
  <si>
    <t>Pete Townshend</t>
  </si>
  <si>
    <t>Anyway, Anyhow, Anywhere</t>
  </si>
  <si>
    <t>Pete Townshend, Roger Daltrey</t>
  </si>
  <si>
    <t>My Generation</t>
  </si>
  <si>
    <t>John Entwistle/Pete Townshend</t>
  </si>
  <si>
    <t>Substitute</t>
  </si>
  <si>
    <t>I'm A Boy</t>
  </si>
  <si>
    <t>Boris The Spider</t>
  </si>
  <si>
    <t>John Entwistle</t>
  </si>
  <si>
    <t>Happy Jack</t>
  </si>
  <si>
    <t>Pictures Of Lily</t>
  </si>
  <si>
    <t>I Can See For Miles</t>
  </si>
  <si>
    <t>Magic Bus</t>
  </si>
  <si>
    <t>Pinball Wizard</t>
  </si>
  <si>
    <t>The Seeker</t>
  </si>
  <si>
    <t>Baba O'Riley</t>
  </si>
  <si>
    <t>Won't Get Fooled Again (Full Length Version)</t>
  </si>
  <si>
    <t>Let's See Action</t>
  </si>
  <si>
    <t>Join Together</t>
  </si>
  <si>
    <t>Squeeze Box</t>
  </si>
  <si>
    <t>Who Are You (Single Edit Version)</t>
  </si>
  <si>
    <t>You Better You Bet</t>
  </si>
  <si>
    <t>Serie Sem Limite (Disc 1)</t>
  </si>
  <si>
    <t>Tim Maia</t>
  </si>
  <si>
    <t>Genival Cassiano/Silvio Rochael</t>
  </si>
  <si>
    <t>Chocolate</t>
  </si>
  <si>
    <t>Azul Da Cor Do Mar</t>
  </si>
  <si>
    <t>Gilson Mendonça/Michel</t>
  </si>
  <si>
    <t>Até Que Enfim Encontrei Você</t>
  </si>
  <si>
    <t>Do Vale, João/Luiz Wanderley</t>
  </si>
  <si>
    <t>New Love</t>
  </si>
  <si>
    <t>Não Vou Ficar</t>
  </si>
  <si>
    <t>Música No Ar</t>
  </si>
  <si>
    <t>Salve Nossa Senhora</t>
  </si>
  <si>
    <t>Carlos Imperial/Edardo Araújo</t>
  </si>
  <si>
    <t>Você Fugiu</t>
  </si>
  <si>
    <t>Genival Cassiano</t>
  </si>
  <si>
    <t>Cristina Nº 2</t>
  </si>
  <si>
    <t>Carlos Imperial/Tim Maia</t>
  </si>
  <si>
    <t>Compadre</t>
  </si>
  <si>
    <t>Over Again</t>
  </si>
  <si>
    <t>Réu Confesso</t>
  </si>
  <si>
    <t>O Que Me Importa</t>
  </si>
  <si>
    <t>Serie Sem Limite (Disc 2)</t>
  </si>
  <si>
    <t>Você</t>
  </si>
  <si>
    <t>Não Quero Dinheiro</t>
  </si>
  <si>
    <t>Eu Amo Você</t>
  </si>
  <si>
    <t>A Festa Do Santo Reis</t>
  </si>
  <si>
    <t>I Don't Know What To Do With Myself</t>
  </si>
  <si>
    <t>Padre Cícero</t>
  </si>
  <si>
    <t>Nosso Adeus</t>
  </si>
  <si>
    <t>Canário Do Reino</t>
  </si>
  <si>
    <t>Preciso Ser Amado</t>
  </si>
  <si>
    <t>Balanço</t>
  </si>
  <si>
    <t>Preciso Aprender A Ser Só</t>
  </si>
  <si>
    <t>Esta É A Canção</t>
  </si>
  <si>
    <t>Formigueiro</t>
  </si>
  <si>
    <t>Comida</t>
  </si>
  <si>
    <t>Acústico</t>
  </si>
  <si>
    <t>Titãs</t>
  </si>
  <si>
    <t>Go Back</t>
  </si>
  <si>
    <t>Prá Dizer Adeus</t>
  </si>
  <si>
    <t>Família</t>
  </si>
  <si>
    <t>Os Cegos Do Castelo</t>
  </si>
  <si>
    <t>O Pulso</t>
  </si>
  <si>
    <t>Marvin</t>
  </si>
  <si>
    <t>Nem 5 Minutos Guardados</t>
  </si>
  <si>
    <t>Flores</t>
  </si>
  <si>
    <t>Palavras</t>
  </si>
  <si>
    <t>Hereditário</t>
  </si>
  <si>
    <t>A Melhor Forma</t>
  </si>
  <si>
    <t>Cabeça Dinossauro</t>
  </si>
  <si>
    <t>32 Dentes</t>
  </si>
  <si>
    <t>Bichos Escrotos (Vinheta)</t>
  </si>
  <si>
    <t>Não Vou Lutar</t>
  </si>
  <si>
    <t>Homem Primata (Vinheta)</t>
  </si>
  <si>
    <t>Homem Primata</t>
  </si>
  <si>
    <t>Polícia (Vinheta)</t>
  </si>
  <si>
    <t>Querem Meu Sangue</t>
  </si>
  <si>
    <t>Diversão</t>
  </si>
  <si>
    <t>Televisão</t>
  </si>
  <si>
    <t>Sonifera Ilha</t>
  </si>
  <si>
    <t>Volume Dois</t>
  </si>
  <si>
    <t>Branco Mello/Carlos Barmack/Ciro Pessoa/Marcelo Fromer/Toni Belloto</t>
  </si>
  <si>
    <t>Lugar Nenhum</t>
  </si>
  <si>
    <t>Arnaldo Antunes/Charles Gavin/Marcelo Fromer/Sérgio Britto/Toni Bellotto</t>
  </si>
  <si>
    <t>Sua Impossivel Chance</t>
  </si>
  <si>
    <t>Desordem</t>
  </si>
  <si>
    <t>Charles Gavin/Marcelo Fromer/Sérgio Britto</t>
  </si>
  <si>
    <t>Não Vou Me Adaptar</t>
  </si>
  <si>
    <t>Arnaldo Antunes</t>
  </si>
  <si>
    <t>Domingo</t>
  </si>
  <si>
    <t>Sérgio Britto/Toni Bellotto</t>
  </si>
  <si>
    <t>Amanhã Não Se Sabe</t>
  </si>
  <si>
    <t>Sérgio Britto</t>
  </si>
  <si>
    <t>Caras Como Eu</t>
  </si>
  <si>
    <t>Toni Bellotto</t>
  </si>
  <si>
    <t>Senhora E Senhor</t>
  </si>
  <si>
    <t>Arnaldo Anutnes/Marcelo Fromer/Paulo Miklos</t>
  </si>
  <si>
    <t>Era Uma Vez</t>
  </si>
  <si>
    <t>Arnaldo Anutnes/Branco Mello/Marcelo Fromer/Sergio Brotto/Toni Bellotto</t>
  </si>
  <si>
    <t>Miséria</t>
  </si>
  <si>
    <t>Arnaldo Antunes/Britto, SergioMiklos, Paulo</t>
  </si>
  <si>
    <t>Insensível</t>
  </si>
  <si>
    <t>Eu E Ela</t>
  </si>
  <si>
    <t>Toda Cor</t>
  </si>
  <si>
    <t>Ciro Pressoa/Marcelo Fromer</t>
  </si>
  <si>
    <t>É Preciso Saber Viver</t>
  </si>
  <si>
    <t>Erasmo Carlos/Roberto Carlos</t>
  </si>
  <si>
    <t>Senhor Delegado/Eu Não Aguento</t>
  </si>
  <si>
    <t>Antonio Lopes</t>
  </si>
  <si>
    <t>Battlestar Galactica: The Story So Far</t>
  </si>
  <si>
    <t>Battlestar Galactica</t>
  </si>
  <si>
    <t>Protected MPEG-4 video file</t>
  </si>
  <si>
    <t>Science Fiction</t>
  </si>
  <si>
    <t>Occupation / Precipice</t>
  </si>
  <si>
    <t>Battlestar Galactica, Season 3</t>
  </si>
  <si>
    <t>TV Shows</t>
  </si>
  <si>
    <t>Exodus, Pt. 1</t>
  </si>
  <si>
    <t>Exodus, Pt. 2</t>
  </si>
  <si>
    <t>Collaborators</t>
  </si>
  <si>
    <t>Torn</t>
  </si>
  <si>
    <t>A Measure of Salvation</t>
  </si>
  <si>
    <t>Hero</t>
  </si>
  <si>
    <t>Unfinished Business</t>
  </si>
  <si>
    <t>The Passage</t>
  </si>
  <si>
    <t>The Eye of Jupiter</t>
  </si>
  <si>
    <t>Rapture</t>
  </si>
  <si>
    <t>Taking a Break from All Your Worries</t>
  </si>
  <si>
    <t>The Woman King</t>
  </si>
  <si>
    <t>A Day In the Life</t>
  </si>
  <si>
    <t>Dirty Hands</t>
  </si>
  <si>
    <t>Maelstrom</t>
  </si>
  <si>
    <t>The Son Also Rises</t>
  </si>
  <si>
    <t>Crossroads, Pt. 1</t>
  </si>
  <si>
    <t>Sci Fi &amp; Fantasy</t>
  </si>
  <si>
    <t>Crossroads, Pt. 2</t>
  </si>
  <si>
    <t>Genesis</t>
  </si>
  <si>
    <t>Heroes, Season 1</t>
  </si>
  <si>
    <t>Heroes</t>
  </si>
  <si>
    <t>Drama</t>
  </si>
  <si>
    <t>One Giant Leap</t>
  </si>
  <si>
    <t>Hiros</t>
  </si>
  <si>
    <t>Better Halves</t>
  </si>
  <si>
    <t>Nothing to Hide</t>
  </si>
  <si>
    <t>Seven Minutes to Midnight</t>
  </si>
  <si>
    <t>Homecoming</t>
  </si>
  <si>
    <t>Six Months Ago</t>
  </si>
  <si>
    <t>Fallout</t>
  </si>
  <si>
    <t>The Fix</t>
  </si>
  <si>
    <t>Distractions</t>
  </si>
  <si>
    <t>Run!</t>
  </si>
  <si>
    <t>Unexpected</t>
  </si>
  <si>
    <t>Company Man</t>
  </si>
  <si>
    <t>Parasite</t>
  </si>
  <si>
    <t>A Tale of Two Cities</t>
  </si>
  <si>
    <t>Lost, Season 3</t>
  </si>
  <si>
    <t>Lost</t>
  </si>
  <si>
    <t>Lost (Pilot, Part 1) [Premiere]</t>
  </si>
  <si>
    <t>Lost, Season 1</t>
  </si>
  <si>
    <t>Man of Science, Man of Faith (Premiere)</t>
  </si>
  <si>
    <t>Lost, Season 2</t>
  </si>
  <si>
    <t>Adrift</t>
  </si>
  <si>
    <t>Lost (Pilot, Part 2)</t>
  </si>
  <si>
    <t>The Glass Ballerina</t>
  </si>
  <si>
    <t>Further Instructions</t>
  </si>
  <si>
    <t>Orientation</t>
  </si>
  <si>
    <t>Tabula Rasa</t>
  </si>
  <si>
    <t>Every Man for Himself</t>
  </si>
  <si>
    <t>Everybody Hates Hugo</t>
  </si>
  <si>
    <t>Walkabout</t>
  </si>
  <si>
    <t>...And Found</t>
  </si>
  <si>
    <t>The Cost of Living</t>
  </si>
  <si>
    <t>White Rabbit</t>
  </si>
  <si>
    <t>Abandoned</t>
  </si>
  <si>
    <t>House of the Rising Sun</t>
  </si>
  <si>
    <t>I Do</t>
  </si>
  <si>
    <t>Not In Portland</t>
  </si>
  <si>
    <t>The Moth</t>
  </si>
  <si>
    <t>The Other 48 Days</t>
  </si>
  <si>
    <t>Confidence Man</t>
  </si>
  <si>
    <t>Flashes Before Your Eyes</t>
  </si>
  <si>
    <t>Lost Survival Guide</t>
  </si>
  <si>
    <t>Solitary</t>
  </si>
  <si>
    <t>What Kate Did</t>
  </si>
  <si>
    <t>Raised By Another</t>
  </si>
  <si>
    <t>Stranger In a Strange Land</t>
  </si>
  <si>
    <t>The 23rd Psalm</t>
  </si>
  <si>
    <t>All the Best Cowboys Have Daddy Issues</t>
  </si>
  <si>
    <t>The Hunting Party</t>
  </si>
  <si>
    <t>Tricia Tanaka Is Dead</t>
  </si>
  <si>
    <t>Enter 77</t>
  </si>
  <si>
    <t>Fire + Water</t>
  </si>
  <si>
    <t>Whatever the Case May Be</t>
  </si>
  <si>
    <t>Hearts and Minds</t>
  </si>
  <si>
    <t>Par Avion</t>
  </si>
  <si>
    <t>The Long Con</t>
  </si>
  <si>
    <t>One of Them</t>
  </si>
  <si>
    <t>Special</t>
  </si>
  <si>
    <t>The Man from Tallahassee</t>
  </si>
  <si>
    <t>Exposé</t>
  </si>
  <si>
    <t>Maternity Leave</t>
  </si>
  <si>
    <t>Left Behind</t>
  </si>
  <si>
    <t>Outlaws</t>
  </si>
  <si>
    <t>The Whole Truth</t>
  </si>
  <si>
    <t>...In Translation</t>
  </si>
  <si>
    <t>Lockdown</t>
  </si>
  <si>
    <t>One of Us</t>
  </si>
  <si>
    <t>Catch-22</t>
  </si>
  <si>
    <t>Dave</t>
  </si>
  <si>
    <t>Numbers</t>
  </si>
  <si>
    <t>D.O.C.</t>
  </si>
  <si>
    <t>Deus Ex Machina</t>
  </si>
  <si>
    <t>S.O.S.</t>
  </si>
  <si>
    <t>Do No Harm</t>
  </si>
  <si>
    <t>Two for the Road</t>
  </si>
  <si>
    <t>The Greater Good</t>
  </si>
  <si>
    <t>"?"</t>
  </si>
  <si>
    <t>Born to Run</t>
  </si>
  <si>
    <t>Three Minutes</t>
  </si>
  <si>
    <t>Exodus (Part 1)</t>
  </si>
  <si>
    <t>Live Together, Die Alone, Pt. 1</t>
  </si>
  <si>
    <t>Exodus (Part 2) [Season Finale]</t>
  </si>
  <si>
    <t>Live Together, Die Alone, Pt. 2</t>
  </si>
  <si>
    <t>Exodus (Part 3) [Season Finale]</t>
  </si>
  <si>
    <t>Zoo Station</t>
  </si>
  <si>
    <t>Achtung Baby</t>
  </si>
  <si>
    <t>U2</t>
  </si>
  <si>
    <t>Even Better Than The Real Thing</t>
  </si>
  <si>
    <t>Until The End Of The World</t>
  </si>
  <si>
    <t>Who's Gonna Ride Your Wild Horses</t>
  </si>
  <si>
    <t>So Cruel</t>
  </si>
  <si>
    <t>The Fly</t>
  </si>
  <si>
    <t>Mysterious Ways</t>
  </si>
  <si>
    <t>Tryin' To Throw Your Arms Around The World</t>
  </si>
  <si>
    <t>Ultraviolet (Light My Way)</t>
  </si>
  <si>
    <t>Acrobat</t>
  </si>
  <si>
    <t>Love Is Blindness</t>
  </si>
  <si>
    <t>Beautiful Day</t>
  </si>
  <si>
    <t>All That You Can't Leave Behind</t>
  </si>
  <si>
    <t>Adam Clayton, Bono, Larry Mullen, The Edge</t>
  </si>
  <si>
    <t>Stuck In A Moment You Can't Get Out Of</t>
  </si>
  <si>
    <t>Elevation</t>
  </si>
  <si>
    <t>Walk On</t>
  </si>
  <si>
    <t>Kite</t>
  </si>
  <si>
    <t>In A Little While</t>
  </si>
  <si>
    <t>Wild Honey</t>
  </si>
  <si>
    <t>Peace On Earth</t>
  </si>
  <si>
    <t>When I Look At The World</t>
  </si>
  <si>
    <t>Grace</t>
  </si>
  <si>
    <t>The Three Sunrises</t>
  </si>
  <si>
    <t>B-Sides 1980-1990</t>
  </si>
  <si>
    <t>Spanish Eyes</t>
  </si>
  <si>
    <t>Sweetest Thing</t>
  </si>
  <si>
    <t>Love Comes Tumbling</t>
  </si>
  <si>
    <t>Bass Trap</t>
  </si>
  <si>
    <t>Dancing Barefoot</t>
  </si>
  <si>
    <t>Ivan Kral/Patti Smith</t>
  </si>
  <si>
    <t>Everlasting Love</t>
  </si>
  <si>
    <t>Buzz Cason/Mac Gayden</t>
  </si>
  <si>
    <t>Unchained Melody</t>
  </si>
  <si>
    <t>Alex North/Hy Zaret</t>
  </si>
  <si>
    <t>Walk To The Water</t>
  </si>
  <si>
    <t>Luminous Times (Hold On To Love)</t>
  </si>
  <si>
    <t>Brian Eno/U2</t>
  </si>
  <si>
    <t>Hallelujah Here She Comes</t>
  </si>
  <si>
    <t>Silver And Gold</t>
  </si>
  <si>
    <t>Bono</t>
  </si>
  <si>
    <t>Endless Deep</t>
  </si>
  <si>
    <t>A Room At The Heartbreak Hotel</t>
  </si>
  <si>
    <t>Trash, Trampoline And The Party Girl</t>
  </si>
  <si>
    <t>Vertigo</t>
  </si>
  <si>
    <t>How To Dismantle An Atomic Bomb</t>
  </si>
  <si>
    <t>Adam Clayton, Bono, Larry Mullen &amp; The Edge</t>
  </si>
  <si>
    <t>Miracle Drug</t>
  </si>
  <si>
    <t>Sometimes You Can't Make It On Your Own</t>
  </si>
  <si>
    <t>Love And Peace Or Else</t>
  </si>
  <si>
    <t>City Of Blinding Lights</t>
  </si>
  <si>
    <t>All Because Of You</t>
  </si>
  <si>
    <t>A Man And A Woman</t>
  </si>
  <si>
    <t>Crumbs From Your Table</t>
  </si>
  <si>
    <t>One Step Closer</t>
  </si>
  <si>
    <t>Original Of The Species</t>
  </si>
  <si>
    <t>Yahweh</t>
  </si>
  <si>
    <t>Discotheque</t>
  </si>
  <si>
    <t>Bono, The Edge, Adam Clayton, and Larry Mullen</t>
  </si>
  <si>
    <t>Do You Feel Loved</t>
  </si>
  <si>
    <t>Mofo</t>
  </si>
  <si>
    <t>If God Will Send His Angels</t>
  </si>
  <si>
    <t>Staring At The Sun</t>
  </si>
  <si>
    <t>Last Night On Earth</t>
  </si>
  <si>
    <t>Miami</t>
  </si>
  <si>
    <t>The Playboy Mansion</t>
  </si>
  <si>
    <t>If You Wear That Velvet Dress</t>
  </si>
  <si>
    <t>Please</t>
  </si>
  <si>
    <t>Wake Up Dead Man</t>
  </si>
  <si>
    <t>Helter Skelter</t>
  </si>
  <si>
    <t>Rattle And Hum</t>
  </si>
  <si>
    <t>Lennon, John/McCartney, Paul</t>
  </si>
  <si>
    <t>Van Diemen's Land</t>
  </si>
  <si>
    <t>Bono/Clayton, Adam/Mullen Jr., Larry/The Edge</t>
  </si>
  <si>
    <t>Desire</t>
  </si>
  <si>
    <t>Hawkmoon 269</t>
  </si>
  <si>
    <t>All Along The Watchtower</t>
  </si>
  <si>
    <t>Dylan, Bob</t>
  </si>
  <si>
    <t>I Still Haven't Found What I'm Looking for</t>
  </si>
  <si>
    <t>Freedom For My People</t>
  </si>
  <si>
    <t>Mabins, Macie/Magee, Sterling/Robinson, Bobby</t>
  </si>
  <si>
    <t>Pride (In The Name Of Love)</t>
  </si>
  <si>
    <t>Angel Of Harlem</t>
  </si>
  <si>
    <t>Love Rescue Me</t>
  </si>
  <si>
    <t>Bono/Clayton, Adam/Dylan, Bob/Mullen Jr., Larry/The Edge</t>
  </si>
  <si>
    <t>When Love Comes To Town</t>
  </si>
  <si>
    <t>Heartland</t>
  </si>
  <si>
    <t>God Part II</t>
  </si>
  <si>
    <t>The Star Spangled Banner</t>
  </si>
  <si>
    <t>Hendrix, Jimi</t>
  </si>
  <si>
    <t>Bullet The Blue Sky</t>
  </si>
  <si>
    <t>All I Want Is You</t>
  </si>
  <si>
    <t>The Best Of 1980-1990</t>
  </si>
  <si>
    <t>New Year's Day</t>
  </si>
  <si>
    <t>With Or Without You</t>
  </si>
  <si>
    <t>I Still Haven't Found What I'm Looking For</t>
  </si>
  <si>
    <t>Sunday Bloody Sunday</t>
  </si>
  <si>
    <t>Bad</t>
  </si>
  <si>
    <t>Where The Streets Have No Name</t>
  </si>
  <si>
    <t>I Will Follow</t>
  </si>
  <si>
    <t>The Unforgettable Fire</t>
  </si>
  <si>
    <t>U2 &amp; Daragh O'Toole</t>
  </si>
  <si>
    <t>U2 &amp; Van Dyke Parks</t>
  </si>
  <si>
    <t>War</t>
  </si>
  <si>
    <t>Seconds</t>
  </si>
  <si>
    <t>Like A Song...</t>
  </si>
  <si>
    <t>Drowning Man</t>
  </si>
  <si>
    <t>The Refugee</t>
  </si>
  <si>
    <t>Two Hearts Beat As One</t>
  </si>
  <si>
    <t>Red Light</t>
  </si>
  <si>
    <t>"40"</t>
  </si>
  <si>
    <t>Zooropa</t>
  </si>
  <si>
    <t>U2; Bono</t>
  </si>
  <si>
    <t>Babyface</t>
  </si>
  <si>
    <t>Numb</t>
  </si>
  <si>
    <t>U2; Edge, The</t>
  </si>
  <si>
    <t>Lemon</t>
  </si>
  <si>
    <t>Stay (Faraway, So Close!)</t>
  </si>
  <si>
    <t>Daddy's Gonna Pay For Your Crashed Car</t>
  </si>
  <si>
    <t>Some Days Are Better Than Others</t>
  </si>
  <si>
    <t>The First Time</t>
  </si>
  <si>
    <t>Dirty Day</t>
  </si>
  <si>
    <t>U2; Bono &amp; Edge, The</t>
  </si>
  <si>
    <t>The Wanderer</t>
  </si>
  <si>
    <t>UB40 The Best Of - Volume Two [UK]</t>
  </si>
  <si>
    <t>UB40</t>
  </si>
  <si>
    <t>Where Did I Go Wrong</t>
  </si>
  <si>
    <t>I Would Do For You</t>
  </si>
  <si>
    <t>Homely Girl</t>
  </si>
  <si>
    <t>Here I Am (Come And Take Me)</t>
  </si>
  <si>
    <t>Kingston Town</t>
  </si>
  <si>
    <t>Wear You To The Ball</t>
  </si>
  <si>
    <t>(I Can't Help) Falling In Love With You</t>
  </si>
  <si>
    <t>Higher Ground</t>
  </si>
  <si>
    <t>Bring Me Your Cup</t>
  </si>
  <si>
    <t>C'est La Vie</t>
  </si>
  <si>
    <t>Reggae Music</t>
  </si>
  <si>
    <t>Superstition</t>
  </si>
  <si>
    <t>Until My Dying Day</t>
  </si>
  <si>
    <t>Where Have All The Good Times Gone?</t>
  </si>
  <si>
    <t>Diver Down</t>
  </si>
  <si>
    <t>Van Halen</t>
  </si>
  <si>
    <t>Ray Davies</t>
  </si>
  <si>
    <t>Hang 'Em High</t>
  </si>
  <si>
    <t>Alex Van Halen/David Lee Roth/Edward Van Halen/Michael Anthony</t>
  </si>
  <si>
    <t>Cathedral</t>
  </si>
  <si>
    <t>Secrets</t>
  </si>
  <si>
    <t>Intruder</t>
  </si>
  <si>
    <t>(Oh) Pretty Woman</t>
  </si>
  <si>
    <t>Bill Dees/Roy Orbison</t>
  </si>
  <si>
    <t>Dancing In The Street</t>
  </si>
  <si>
    <t>Ivy Jo Hunter/Marvin Gaye/William Stevenson</t>
  </si>
  <si>
    <t>Little Guitars (Intro)</t>
  </si>
  <si>
    <t>Little Guitars</t>
  </si>
  <si>
    <t>Big Bad Bill (Is Sweet William Now)</t>
  </si>
  <si>
    <t>Jack Yellen/Milton Ager</t>
  </si>
  <si>
    <t>The Full Bug</t>
  </si>
  <si>
    <t>Happy Trails</t>
  </si>
  <si>
    <t>Dale Evans</t>
  </si>
  <si>
    <t>Eruption</t>
  </si>
  <si>
    <t>The Best Of Van Halen, Vol. I</t>
  </si>
  <si>
    <t>Edward Van Halen, Alex Van Halen, David Lee Roth, Michael Anthony</t>
  </si>
  <si>
    <t>Ain't Talkin' 'bout Love</t>
  </si>
  <si>
    <t>Runnin' With The Devil</t>
  </si>
  <si>
    <t>Dance the Night Away</t>
  </si>
  <si>
    <t>And the Cradle Will Rock...</t>
  </si>
  <si>
    <t>Unchained</t>
  </si>
  <si>
    <t>Jump</t>
  </si>
  <si>
    <t>Edward Van Halen, Alex Van Halen, David Lee Roth</t>
  </si>
  <si>
    <t>Panama</t>
  </si>
  <si>
    <t>Why Can't This Be Love</t>
  </si>
  <si>
    <t>Dreams</t>
  </si>
  <si>
    <t>Edward Van Halen, Alex Van Halen, Michael Anthony,/Edward Van Halen, Alex Van Halen, Michael Anthony, Sammy Hagar</t>
  </si>
  <si>
    <t>When It's Love</t>
  </si>
  <si>
    <t>Poundcake</t>
  </si>
  <si>
    <t>Right Now</t>
  </si>
  <si>
    <t>Can't Stop Loving You</t>
  </si>
  <si>
    <t>Humans Being</t>
  </si>
  <si>
    <t>Can't Get This Stuff No More</t>
  </si>
  <si>
    <t>Edward Van Halen, Alex Van Halen, Michael Anthony,/Edward Van Halen, Alex Van Halen, Michael Anthony, David Lee Roth</t>
  </si>
  <si>
    <t>Me Wise Magic</t>
  </si>
  <si>
    <t>Edward Van Halen, Alex Van Halen, Michael Anthony and David Lee Roth</t>
  </si>
  <si>
    <t>You Really Got Me</t>
  </si>
  <si>
    <t>Ain't Talkin' 'Bout Love</t>
  </si>
  <si>
    <t>I'm The One</t>
  </si>
  <si>
    <t>Jamie's Cryin'</t>
  </si>
  <si>
    <t>Atomic Punk</t>
  </si>
  <si>
    <t>Feel Your Love Tonight</t>
  </si>
  <si>
    <t>Little Dreamer</t>
  </si>
  <si>
    <t>Ice Cream Man</t>
  </si>
  <si>
    <t>John Brim</t>
  </si>
  <si>
    <t>On Fire</t>
  </si>
  <si>
    <t>Neworld</t>
  </si>
  <si>
    <t>Van Halen III</t>
  </si>
  <si>
    <t>One I Want</t>
  </si>
  <si>
    <t>From Afar</t>
  </si>
  <si>
    <t>Dirty Water Dog</t>
  </si>
  <si>
    <t>Fire in the Hole</t>
  </si>
  <si>
    <t>Josephina</t>
  </si>
  <si>
    <t>Year to the Day</t>
  </si>
  <si>
    <t>Primary</t>
  </si>
  <si>
    <t>Ballot or the Bullet</t>
  </si>
  <si>
    <t>How Many Say I</t>
  </si>
  <si>
    <t>Sucker Train Blues</t>
  </si>
  <si>
    <t>Contraband</t>
  </si>
  <si>
    <t>Velvet Revolver</t>
  </si>
  <si>
    <t>Dave Kushner, Duff, Matt Sorum, Scott Weiland &amp; Slash</t>
  </si>
  <si>
    <t>Do It For The Kids</t>
  </si>
  <si>
    <t>Big Machine</t>
  </si>
  <si>
    <t>Illegal I Song</t>
  </si>
  <si>
    <t>Spectacle</t>
  </si>
  <si>
    <t>Fall To Pieces</t>
  </si>
  <si>
    <t>Headspace</t>
  </si>
  <si>
    <t>Superhuman</t>
  </si>
  <si>
    <t>Set Me Free</t>
  </si>
  <si>
    <t>You Got No Right</t>
  </si>
  <si>
    <t>Dirty Little Thing</t>
  </si>
  <si>
    <t>Dave Kushner, Duff, Keith Nelson, Matt Sorum, Scott Weiland &amp; Slash</t>
  </si>
  <si>
    <t>Loving The Alien</t>
  </si>
  <si>
    <t>Pela Luz Dos Olhos Teus</t>
  </si>
  <si>
    <t>Vinicius De Moraes</t>
  </si>
  <si>
    <t>Vinícius De Moraes</t>
  </si>
  <si>
    <t>A Bencao E Outros</t>
  </si>
  <si>
    <t>Tudo Na Mais Santa Paz</t>
  </si>
  <si>
    <t>O Velho E Aflor</t>
  </si>
  <si>
    <t>Cotidiano N 2</t>
  </si>
  <si>
    <t>Adeus</t>
  </si>
  <si>
    <t>Samba Pra Endrigo</t>
  </si>
  <si>
    <t>So Por Amor</t>
  </si>
  <si>
    <t>Meu Pranto Rolou</t>
  </si>
  <si>
    <t>Mulher Carioca</t>
  </si>
  <si>
    <t>Um Homem Chamado Alfredo</t>
  </si>
  <si>
    <t>Samba Do Jato</t>
  </si>
  <si>
    <t>Oi, La</t>
  </si>
  <si>
    <t>Vinicius, Poeta Do Encontro</t>
  </si>
  <si>
    <t>Soneto Da Separacao</t>
  </si>
  <si>
    <t>Still Of The Night</t>
  </si>
  <si>
    <t>Sykes</t>
  </si>
  <si>
    <t>Here I Go Again</t>
  </si>
  <si>
    <t>Marsden</t>
  </si>
  <si>
    <t>Is This Love</t>
  </si>
  <si>
    <t>Love Ain't No Stranger</t>
  </si>
  <si>
    <t>Galley</t>
  </si>
  <si>
    <t>Looking For Love</t>
  </si>
  <si>
    <t>Now You're Gone</t>
  </si>
  <si>
    <t>Vandenberg</t>
  </si>
  <si>
    <t>Slide It In</t>
  </si>
  <si>
    <t>Slow An' Easy</t>
  </si>
  <si>
    <t>Moody</t>
  </si>
  <si>
    <t>Judgement Day</t>
  </si>
  <si>
    <t>You're Gonna Break My Hart Again</t>
  </si>
  <si>
    <t>The Deeper The Love</t>
  </si>
  <si>
    <t>Crying In The Rain</t>
  </si>
  <si>
    <t>Fool For Your Loving</t>
  </si>
  <si>
    <t>Marsden/Moody</t>
  </si>
  <si>
    <t>Sweet Lady Luck</t>
  </si>
  <si>
    <t>Faixa Amarela</t>
  </si>
  <si>
    <t>Ao Vivo [IMPORT]</t>
  </si>
  <si>
    <t>Zeca Pagodinho</t>
  </si>
  <si>
    <t>Beto Gogo/Jessé Pai/Luiz Carlos/Zeca Pagodinho</t>
  </si>
  <si>
    <t>Posso Até Me Apaixonar</t>
  </si>
  <si>
    <t>Dudu Nobre</t>
  </si>
  <si>
    <t>Não Sou Mais Disso</t>
  </si>
  <si>
    <t>Jorge Aragão/Zeca Pagodinho</t>
  </si>
  <si>
    <t>Vivo Isolado Do Mundo</t>
  </si>
  <si>
    <t>Alcides Dias Lopes</t>
  </si>
  <si>
    <t>Coração Em Desalinho</t>
  </si>
  <si>
    <t>Mauro Diniz/Ratino Sigem</t>
  </si>
  <si>
    <t>Seu Balancê</t>
  </si>
  <si>
    <t>Paulinho Rezende/Toninho Geraes</t>
  </si>
  <si>
    <t>Vai Adiar</t>
  </si>
  <si>
    <t>Alcino Corrêa/Monarco</t>
  </si>
  <si>
    <t>Rugas</t>
  </si>
  <si>
    <t>Augusto Garcez/Nelson Cavaquinho</t>
  </si>
  <si>
    <t>Feirinha da Pavuna/Luz do Repente/Bagaço da Laranja</t>
  </si>
  <si>
    <t>Arlindo Cruz/Franco/Marquinhos PQD/Negro, Jovelina Pérolo/Zeca Pagodinho</t>
  </si>
  <si>
    <t>Sem Essa de Malandro Agulha</t>
  </si>
  <si>
    <t>Aldir Blanc/Jayme Vignoli</t>
  </si>
  <si>
    <t>Chico Não Vai na Corimba</t>
  </si>
  <si>
    <t>Dudu Nobre/Zeca Pagodinho</t>
  </si>
  <si>
    <t>Papel Principal</t>
  </si>
  <si>
    <t>Almir Guineto/Dedé Paraiso/Luverci Ernesto</t>
  </si>
  <si>
    <t>Saudade Louca</t>
  </si>
  <si>
    <t>Acyr Marques/Arlindo Cruz/Franco</t>
  </si>
  <si>
    <t>Camarão que Dorme e Onda Leva</t>
  </si>
  <si>
    <t>Acyi Marques/Arlindo Bruz/Braço, Beto Sem/Zeca Pagodinho</t>
  </si>
  <si>
    <t>Sapopemba e Maxambomba</t>
  </si>
  <si>
    <t>Nei Lopes/Wilson Moreira</t>
  </si>
  <si>
    <t>Minha Fé</t>
  </si>
  <si>
    <t>Murilão</t>
  </si>
  <si>
    <t>Lua de Ogum</t>
  </si>
  <si>
    <t>Ratinho/Zeca Pagodinho</t>
  </si>
  <si>
    <t>Samba pras moças</t>
  </si>
  <si>
    <t>Grazielle/Roque Ferreira</t>
  </si>
  <si>
    <t>Verdade</t>
  </si>
  <si>
    <t>Carlinhos Santana/Nelson Rufino</t>
  </si>
  <si>
    <t>The Brig</t>
  </si>
  <si>
    <t>Five Years Gone</t>
  </si>
  <si>
    <t>The Hard Part</t>
  </si>
  <si>
    <t>The Man Behind the Curtain</t>
  </si>
  <si>
    <t>The Office: An American Workplace (Pilot)</t>
  </si>
  <si>
    <t>The Office, Season 1</t>
  </si>
  <si>
    <t>The Office</t>
  </si>
  <si>
    <t>Diversity Day</t>
  </si>
  <si>
    <t>Health Care</t>
  </si>
  <si>
    <t>The Alliance</t>
  </si>
  <si>
    <t>Basketball</t>
  </si>
  <si>
    <t>Hot Girl</t>
  </si>
  <si>
    <t>The Dundies</t>
  </si>
  <si>
    <t>The Office, Season 2</t>
  </si>
  <si>
    <t>Sexual Harassment</t>
  </si>
  <si>
    <t>Office Olympics</t>
  </si>
  <si>
    <t>The Fire</t>
  </si>
  <si>
    <t>Halloween</t>
  </si>
  <si>
    <t>The Fight</t>
  </si>
  <si>
    <t>The Client</t>
  </si>
  <si>
    <t>Performance Review</t>
  </si>
  <si>
    <t>Email Surveillance</t>
  </si>
  <si>
    <t>Christmas Party</t>
  </si>
  <si>
    <t>Booze Cruise</t>
  </si>
  <si>
    <t>The Injury</t>
  </si>
  <si>
    <t>The Secret</t>
  </si>
  <si>
    <t>The Carpet</t>
  </si>
  <si>
    <t>Boys and Girls</t>
  </si>
  <si>
    <t>Valentine's Day</t>
  </si>
  <si>
    <t>Dwight's Speech</t>
  </si>
  <si>
    <t>Take Your Daughter to Work Day</t>
  </si>
  <si>
    <t>Michael's Birthday</t>
  </si>
  <si>
    <t>Drug Testing</t>
  </si>
  <si>
    <t>Conflict Resolution</t>
  </si>
  <si>
    <t>Casino Night - Season Finale</t>
  </si>
  <si>
    <t>Gay Witch Hunt</t>
  </si>
  <si>
    <t>The Office, Season 3</t>
  </si>
  <si>
    <t>The Convention</t>
  </si>
  <si>
    <t>The Coup</t>
  </si>
  <si>
    <t>Grief Counseling</t>
  </si>
  <si>
    <t>The Initiation</t>
  </si>
  <si>
    <t>Diwali</t>
  </si>
  <si>
    <t>Branch Closing</t>
  </si>
  <si>
    <t>The Merger</t>
  </si>
  <si>
    <t>The Convict</t>
  </si>
  <si>
    <t>Comedy</t>
  </si>
  <si>
    <t>A Benihana Christmas, Pts. 1 &amp; 2</t>
  </si>
  <si>
    <t>Back from Vacation</t>
  </si>
  <si>
    <t>Traveling Salesmen</t>
  </si>
  <si>
    <t>Producer's Cut: The Return</t>
  </si>
  <si>
    <t>Ben Franklin</t>
  </si>
  <si>
    <t>Phyllis's Wedding</t>
  </si>
  <si>
    <t>Business School</t>
  </si>
  <si>
    <t>Cocktails</t>
  </si>
  <si>
    <t>The Negotiation</t>
  </si>
  <si>
    <t>Safety Training</t>
  </si>
  <si>
    <t>Product Recall</t>
  </si>
  <si>
    <t>Women's Appreciation</t>
  </si>
  <si>
    <t>Beach Games</t>
  </si>
  <si>
    <t>The Job</t>
  </si>
  <si>
    <t>How to Stop an Exploding Man</t>
  </si>
  <si>
    <t>Through a Looking Glass</t>
  </si>
  <si>
    <t>Un-Led-Ed</t>
  </si>
  <si>
    <t>Dread Zeppelin</t>
  </si>
  <si>
    <t>Page, Jones</t>
  </si>
  <si>
    <t>Battlestar Galactica, Pt. 1</t>
  </si>
  <si>
    <t>Battlestar Galactica (Classic), Season 1</t>
  </si>
  <si>
    <t>Battlestar Galactica (Classic)</t>
  </si>
  <si>
    <t>Battlestar Galactica, Pt. 2</t>
  </si>
  <si>
    <t>Battlestar Galactica, Pt. 3</t>
  </si>
  <si>
    <t>Lost Planet of the Gods, Pt. 1</t>
  </si>
  <si>
    <t>Lost Planet of the Gods, Pt. 2</t>
  </si>
  <si>
    <t>The Lost Warrior</t>
  </si>
  <si>
    <t>The Long Patrol</t>
  </si>
  <si>
    <t>The Gun On Ice Planet Zero, Pt. 1</t>
  </si>
  <si>
    <t>The Gun On Ice Planet Zero, Pt. 2</t>
  </si>
  <si>
    <t>The Magnificent Warriors</t>
  </si>
  <si>
    <t>The Young Lords</t>
  </si>
  <si>
    <t>The Living Legend, Pt. 1</t>
  </si>
  <si>
    <t>The Living Legend, Pt. 2</t>
  </si>
  <si>
    <t>Fire In Space</t>
  </si>
  <si>
    <t>War of the Gods, Pt. 1</t>
  </si>
  <si>
    <t>War of the Gods, Pt. 2</t>
  </si>
  <si>
    <t>The Man With Nine Lives</t>
  </si>
  <si>
    <t>Murder On the Rising Star</t>
  </si>
  <si>
    <t>Greetings from Earth, Pt. 1</t>
  </si>
  <si>
    <t>Greetings from Earth, Pt. 2</t>
  </si>
  <si>
    <t>Baltar's Escape</t>
  </si>
  <si>
    <t>Experiment In Terra</t>
  </si>
  <si>
    <t>Take the Celestra</t>
  </si>
  <si>
    <t>The Hand of God</t>
  </si>
  <si>
    <t>Pilot</t>
  </si>
  <si>
    <t>Aquaman</t>
  </si>
  <si>
    <t>Through the Looking Glass, Pt. 2</t>
  </si>
  <si>
    <t>Through the Looking Glass, Pt. 1</t>
  </si>
  <si>
    <t>Instant Karma</t>
  </si>
  <si>
    <t>Instant Karma: The Amnesty International Campaign to Save Darfur</t>
  </si>
  <si>
    <t>#9 Dream</t>
  </si>
  <si>
    <t>Mother</t>
  </si>
  <si>
    <t>Give Peace a Chance</t>
  </si>
  <si>
    <t>Cold Turkey</t>
  </si>
  <si>
    <t>Whatever Gets You Thru the Night</t>
  </si>
  <si>
    <t>I'm Losing You</t>
  </si>
  <si>
    <t>Gimme Some Truth</t>
  </si>
  <si>
    <t>Oh, My Love</t>
  </si>
  <si>
    <t>Imagine</t>
  </si>
  <si>
    <t>Nobody Told Me</t>
  </si>
  <si>
    <t>Jealous Guy</t>
  </si>
  <si>
    <t>Working Class Hero</t>
  </si>
  <si>
    <t>Power to the People</t>
  </si>
  <si>
    <t>Beautiful Boy</t>
  </si>
  <si>
    <t>Isolation</t>
  </si>
  <si>
    <t>Watching the Wheels</t>
  </si>
  <si>
    <t>Grow Old With Me</t>
  </si>
  <si>
    <t>[Just Like] Starting Over</t>
  </si>
  <si>
    <t>God</t>
  </si>
  <si>
    <t>Sympton of the Universe</t>
  </si>
  <si>
    <t>Speak of the Devil</t>
  </si>
  <si>
    <t>Fairies Wear Boots</t>
  </si>
  <si>
    <t>Sweet Leaf</t>
  </si>
  <si>
    <t>Never Say Die</t>
  </si>
  <si>
    <t>Sabbath, Bloody Sabbath</t>
  </si>
  <si>
    <t>Iron Man/Children of the Grave</t>
  </si>
  <si>
    <t>Rock You Like a Hurricane</t>
  </si>
  <si>
    <t>20th Century Masters - The Millennium Collection: The Best of Scorpions</t>
  </si>
  <si>
    <t>Scorpions</t>
  </si>
  <si>
    <t>No One Like You</t>
  </si>
  <si>
    <t>The Zoo</t>
  </si>
  <si>
    <t>Loving You Sunday Morning</t>
  </si>
  <si>
    <t>Still Loving You</t>
  </si>
  <si>
    <t>Big City Nights</t>
  </si>
  <si>
    <t>Believe in Love</t>
  </si>
  <si>
    <t>Rhythm of Love</t>
  </si>
  <si>
    <t>Tease Me Please Me</t>
  </si>
  <si>
    <t>Wind of Change</t>
  </si>
  <si>
    <t>Send Me an Angel</t>
  </si>
  <si>
    <t>Jump Around</t>
  </si>
  <si>
    <t>House of Pain</t>
  </si>
  <si>
    <t>House Of Pain</t>
  </si>
  <si>
    <t>E. Schrody/L. Muggerud</t>
  </si>
  <si>
    <t>Salutations</t>
  </si>
  <si>
    <t>E. Schrody/L. Dimant</t>
  </si>
  <si>
    <t>Put Your Head Out</t>
  </si>
  <si>
    <t>E. Schrody/L. Freese/L. Muggerud</t>
  </si>
  <si>
    <t>Top O' The Morning To Ya</t>
  </si>
  <si>
    <t>Commercial 1</t>
  </si>
  <si>
    <t>L. Muggerud</t>
  </si>
  <si>
    <t>House And The Rising Sun</t>
  </si>
  <si>
    <t>E. Schrody/J. Vasquez/L. Dimant</t>
  </si>
  <si>
    <t>Shamrocks And Shenanigans</t>
  </si>
  <si>
    <t>House Of Pain Anthem</t>
  </si>
  <si>
    <t>Danny Boy, Danny Boy</t>
  </si>
  <si>
    <t>Guess Who's Back</t>
  </si>
  <si>
    <t>Commercial 2</t>
  </si>
  <si>
    <t>Put On Your Shit Kickers</t>
  </si>
  <si>
    <t>Come And Get Some Of This</t>
  </si>
  <si>
    <t>E. Schrody/L. Muggerud/R. Medrano</t>
  </si>
  <si>
    <t>Life Goes On</t>
  </si>
  <si>
    <t>E. Schrody/R. Medrano</t>
  </si>
  <si>
    <t>One For The Road</t>
  </si>
  <si>
    <t>E. Schrody/L. Dimant/L. Muggerud</t>
  </si>
  <si>
    <t>Feel It</t>
  </si>
  <si>
    <t>Jump Around (Pete Rock Remix)</t>
  </si>
  <si>
    <t>Shamrocks And Shenanigans (Boom Shalock Lock Boom/Butch Vig Mix)</t>
  </si>
  <si>
    <t>Instinto Colectivo</t>
  </si>
  <si>
    <t>Radio Brasil (O Som da Jovem Vanguarda) - Seleccao de Henrique Amaro</t>
  </si>
  <si>
    <t>O Rappa</t>
  </si>
  <si>
    <t>Chapa o Coco</t>
  </si>
  <si>
    <t>Prostituta</t>
  </si>
  <si>
    <t>Eu So Queria Sumir</t>
  </si>
  <si>
    <t>Tres Reis</t>
  </si>
  <si>
    <t>Um Lugar ao Sol</t>
  </si>
  <si>
    <t>Batalha Naval</t>
  </si>
  <si>
    <t>Todo o Carnaval tem seu Fim</t>
  </si>
  <si>
    <t>O Misterio do Samba</t>
  </si>
  <si>
    <t>Armadura</t>
  </si>
  <si>
    <t>Na Ladeira</t>
  </si>
  <si>
    <t>Carimbo</t>
  </si>
  <si>
    <t>Catimbo</t>
  </si>
  <si>
    <t>Funk de Bamba</t>
  </si>
  <si>
    <t>Chega no Suingue</t>
  </si>
  <si>
    <t>Mun-Ra</t>
  </si>
  <si>
    <t>Freestyle Love</t>
  </si>
  <si>
    <t>Cake: B-Sides and Rarities</t>
  </si>
  <si>
    <t>Cake</t>
  </si>
  <si>
    <t>Purchased AAC audio file</t>
  </si>
  <si>
    <t>Alternative</t>
  </si>
  <si>
    <t>Past, Present, and Future</t>
  </si>
  <si>
    <t>LOST, Season 4</t>
  </si>
  <si>
    <t>The Beginning of the End</t>
  </si>
  <si>
    <t>LOST Season 4 Trailer</t>
  </si>
  <si>
    <t>LOST In 8:15</t>
  </si>
  <si>
    <t>Confirmed Dead</t>
  </si>
  <si>
    <t>The Economist</t>
  </si>
  <si>
    <t>Eggtown</t>
  </si>
  <si>
    <t>The Constant</t>
  </si>
  <si>
    <t>The Other Woman</t>
  </si>
  <si>
    <t>Ji Yeon</t>
  </si>
  <si>
    <t>Meet Kevin Johnson</t>
  </si>
  <si>
    <t>The Shape of Things to Come</t>
  </si>
  <si>
    <t>Amanda</t>
  </si>
  <si>
    <t>Quiet Songs</t>
  </si>
  <si>
    <t>Aisha Duo</t>
  </si>
  <si>
    <t>AAC audio file</t>
  </si>
  <si>
    <t>Luca Gusella</t>
  </si>
  <si>
    <t>Despertar</t>
  </si>
  <si>
    <t>Andrea Dulbecco</t>
  </si>
  <si>
    <t>Din Din Wo (Little Child)</t>
  </si>
  <si>
    <t>Muso Ko</t>
  </si>
  <si>
    <t>Habib Koité and Bamada</t>
  </si>
  <si>
    <t>Habib Koité</t>
  </si>
  <si>
    <t>Distance</t>
  </si>
  <si>
    <t>Realize</t>
  </si>
  <si>
    <t>Karsh Kale</t>
  </si>
  <si>
    <t>Karsh Kale/Vishal Vaid</t>
  </si>
  <si>
    <t>I Guess You're Right</t>
  </si>
  <si>
    <t>Every Kind of Light</t>
  </si>
  <si>
    <t>The Posies</t>
  </si>
  <si>
    <t>Darius "Take One" Minwalla/Jon Auer/Ken Stringfellow/Matt Harris</t>
  </si>
  <si>
    <t>I Ka Barra (Your Work)</t>
  </si>
  <si>
    <t>Love Comes</t>
  </si>
  <si>
    <t>Muita Bobeira</t>
  </si>
  <si>
    <t>Duos II</t>
  </si>
  <si>
    <t>Luciana Souza/Romero Lubambo</t>
  </si>
  <si>
    <t>Luciana Souza</t>
  </si>
  <si>
    <t>OAM's Blues</t>
  </si>
  <si>
    <t>Worlds</t>
  </si>
  <si>
    <t>Aaron Goldberg</t>
  </si>
  <si>
    <t>One Step Beyond</t>
  </si>
  <si>
    <t>Symphony No. 3 in E-flat major, Op. 55, "Eroica" - Scherzo: Allegro Vivace</t>
  </si>
  <si>
    <t>The Best of Beethoven</t>
  </si>
  <si>
    <t>Nicolaus Esterhazy Sinfonia</t>
  </si>
  <si>
    <t>Classical</t>
  </si>
  <si>
    <t>Ludwig van Beethoven</t>
  </si>
  <si>
    <t>Something Nice Back Home</t>
  </si>
  <si>
    <t>Cabin Fever</t>
  </si>
  <si>
    <t>There's No Place Like Home, Pt. 1</t>
  </si>
  <si>
    <t>There's No Place Like Home, Pt. 2</t>
  </si>
  <si>
    <t>There's No Place Like Home, Pt. 3</t>
  </si>
  <si>
    <t>Say Hello 2 Heaven</t>
  </si>
  <si>
    <t>Temple of the Dog</t>
  </si>
  <si>
    <t>Reach Down</t>
  </si>
  <si>
    <t>Hunger Strike</t>
  </si>
  <si>
    <t>Pushin Forward Back</t>
  </si>
  <si>
    <t>Call Me a Dog</t>
  </si>
  <si>
    <t>Times of Trouble</t>
  </si>
  <si>
    <t>Wooden Jesus</t>
  </si>
  <si>
    <t>Your Savior</t>
  </si>
  <si>
    <t>Four Walled World</t>
  </si>
  <si>
    <t>All Night Thing</t>
  </si>
  <si>
    <t>No Such Thing</t>
  </si>
  <si>
    <t>Carry On</t>
  </si>
  <si>
    <t>Poison Eye</t>
  </si>
  <si>
    <t>Arms Around Your Love</t>
  </si>
  <si>
    <t>Safe and Sound</t>
  </si>
  <si>
    <t>She'll Never Be Your Man</t>
  </si>
  <si>
    <t>Ghosts</t>
  </si>
  <si>
    <t>Killing Birds</t>
  </si>
  <si>
    <t>Billie Jean</t>
  </si>
  <si>
    <t>Michael Jackson</t>
  </si>
  <si>
    <t>Scar On the Sky</t>
  </si>
  <si>
    <t>Your Soul Today</t>
  </si>
  <si>
    <t>Finally Forever</t>
  </si>
  <si>
    <t>Silence the Voices</t>
  </si>
  <si>
    <t>Disappearing Act</t>
  </si>
  <si>
    <t>You Know My Name</t>
  </si>
  <si>
    <t>One and the Same</t>
  </si>
  <si>
    <t>Sound of a Gun</t>
  </si>
  <si>
    <t>Until We Fall</t>
  </si>
  <si>
    <t>Original Fire</t>
  </si>
  <si>
    <t>Broken City</t>
  </si>
  <si>
    <t>Somedays</t>
  </si>
  <si>
    <t>Shape of Things to Come</t>
  </si>
  <si>
    <t>Jewel of the Summertime</t>
  </si>
  <si>
    <t>Wide Awake</t>
  </si>
  <si>
    <t>Nothing Left to Say But Goodbye</t>
  </si>
  <si>
    <t>Moth</t>
  </si>
  <si>
    <t>Show Me How to Live (Live at the Quart Festival)</t>
  </si>
  <si>
    <t>Band Members Discuss Tracks from "Revelations"</t>
  </si>
  <si>
    <t>Intoitus: Adorate Deum</t>
  </si>
  <si>
    <t>Adorate Deum: Gregorian Chant from the Proper of the Mass</t>
  </si>
  <si>
    <t>Alberto Turco &amp; Nova Schola Gregoriana</t>
  </si>
  <si>
    <t>Anonymous</t>
  </si>
  <si>
    <t>Miserere mei, Deus</t>
  </si>
  <si>
    <t>Allegri: Miserere</t>
  </si>
  <si>
    <t>Richard Marlow &amp; The Choir of Trinity College, Cambridge</t>
  </si>
  <si>
    <t>Gregorio Allegri</t>
  </si>
  <si>
    <t>Canon and Gigue in D Major: I. Canon</t>
  </si>
  <si>
    <t>Pachelbel: Canon &amp; Gigue</t>
  </si>
  <si>
    <t>English Concert &amp; Trevor Pinnock</t>
  </si>
  <si>
    <t>Johann Pachelbel</t>
  </si>
  <si>
    <t>Concerto No. 1 in E Major, RV 269 "Spring": I. Allegro</t>
  </si>
  <si>
    <t>Vivaldi: The Four Seasons</t>
  </si>
  <si>
    <t>Anne-Sophie Mutter, Herbert Von Karajan &amp; Wiener Philharmoniker</t>
  </si>
  <si>
    <t>Antonio Vivaldi</t>
  </si>
  <si>
    <t>Concerto for 2 Violins in D Minor, BWV 1043: I. Vivace</t>
  </si>
  <si>
    <t>Bach: Violin Concertos</t>
  </si>
  <si>
    <t>Hilary Hahn, Jeffrey Kahane, Los Angeles Chamber Orchestra &amp; Margaret Batjer</t>
  </si>
  <si>
    <t>Johann Sebastian Bach</t>
  </si>
  <si>
    <t>Aria Mit 30 Veränderungen, BWV 988 "Goldberg Variations": Aria</t>
  </si>
  <si>
    <t>Bach: Goldberg Variations</t>
  </si>
  <si>
    <t>Wilhelm Kempff</t>
  </si>
  <si>
    <t>Suite for Solo Cello No. 1 in G Major, BWV 1007: I. Prélude</t>
  </si>
  <si>
    <t>Bach: The Cello Suites</t>
  </si>
  <si>
    <t>Yo-Yo Ma</t>
  </si>
  <si>
    <t>The Messiah: Behold, I Tell You a Mystery... The Trumpet Shall Sound</t>
  </si>
  <si>
    <t>Handel: The Messiah (Highlights)</t>
  </si>
  <si>
    <t>Scholars Baroque Ensemble</t>
  </si>
  <si>
    <t>George Frideric Handel</t>
  </si>
  <si>
    <t>Solomon HWV 67: The Arrival of the Queen of Sheba</t>
  </si>
  <si>
    <t>The World of Classical Favourites</t>
  </si>
  <si>
    <t>Academy of St. Martin in the Fields &amp; Sir Neville Marriner</t>
  </si>
  <si>
    <t>"Eine Kleine Nachtmusik" Serenade In G, K. 525: I. Allegro</t>
  </si>
  <si>
    <t>Sir Neville Marriner: A Celebration</t>
  </si>
  <si>
    <t>Academy of St. Martin in the Fields Chamber Ensemble &amp; Sir Neville Marriner</t>
  </si>
  <si>
    <t>Wolfgang Amadeus Mozart</t>
  </si>
  <si>
    <t>Concerto for Clarinet in A Major, K. 622: II. Adagio</t>
  </si>
  <si>
    <t>Mozart: Wind Concertos</t>
  </si>
  <si>
    <t>Berliner Philharmoniker, Claudio Abbado &amp; Sabine Meyer</t>
  </si>
  <si>
    <t>Symphony No. 104 in D Major "London": IV. Finale: Spiritoso</t>
  </si>
  <si>
    <t>Haydn: Symphonies 99 - 104</t>
  </si>
  <si>
    <t>Royal Philharmonic Orchestra &amp; Sir Thomas Beecham</t>
  </si>
  <si>
    <t>Franz Joseph Haydn</t>
  </si>
  <si>
    <t>Symphony No.5 in C Minor: I. Allegro con brio</t>
  </si>
  <si>
    <t>Beethoven: Symhonies Nos. 5 &amp; 6</t>
  </si>
  <si>
    <t>Orchestre Révolutionnaire et Romantique &amp; John Eliot Gardiner</t>
  </si>
  <si>
    <t>Ave Maria</t>
  </si>
  <si>
    <t>A Soprano Inspired</t>
  </si>
  <si>
    <t>Britten Sinfonia, Ivor Bolton &amp; Lesley Garrett</t>
  </si>
  <si>
    <t>Franz Schubert</t>
  </si>
  <si>
    <t>Nabucco: Chorus, "Va, Pensiero, Sull'ali Dorate"</t>
  </si>
  <si>
    <t>Great Opera Choruses</t>
  </si>
  <si>
    <t>Chicago Symphony Chorus, Chicago Symphony Orchestra &amp; Sir Georg Solti</t>
  </si>
  <si>
    <t>Giuseppe Verdi</t>
  </si>
  <si>
    <t>Die Walküre: The Ride of the Valkyries</t>
  </si>
  <si>
    <t>Wagner: Favourite Overtures</t>
  </si>
  <si>
    <t>Sir Georg Solti &amp; Wiener Philharmoniker</t>
  </si>
  <si>
    <t>Richard Wagner</t>
  </si>
  <si>
    <t>Requiem, Op.48: 4. Pie Jesu</t>
  </si>
  <si>
    <t>Fauré: Requiem, Ravel: Pavane &amp; Others</t>
  </si>
  <si>
    <t>Academy of St. Martin in the Fields, John Birch, Sir Neville Marriner &amp; Sylvia McNair</t>
  </si>
  <si>
    <t>Gabriel Fauré</t>
  </si>
  <si>
    <t>The Nutcracker, Op. 71a, Act II: Scene 14: Pas de deux: Dance of the Prince &amp; the Sugar-Plum Fairy</t>
  </si>
  <si>
    <t>Tchaikovsky: The Nutcracker</t>
  </si>
  <si>
    <t>London Symphony Orchestra &amp; Sir Charles Mackerras</t>
  </si>
  <si>
    <t>Peter Ilyich Tchaikovsky</t>
  </si>
  <si>
    <t>Nimrod (Adagio) from Variations On an Original Theme, Op. 36 "Enigma"</t>
  </si>
  <si>
    <t>The Last Night of the Proms</t>
  </si>
  <si>
    <t>Barry Wordsworth &amp; BBC Concert Orchestra</t>
  </si>
  <si>
    <t>Edward Elgar</t>
  </si>
  <si>
    <t>Madama Butterfly: Un Bel Dì Vedremo</t>
  </si>
  <si>
    <t>Puccini: Madama Butterfly - Highlights</t>
  </si>
  <si>
    <t>Herbert Von Karajan, Mirella Freni &amp; Wiener Philharmoniker</t>
  </si>
  <si>
    <t>Giacomo Puccini</t>
  </si>
  <si>
    <t>Jupiter, the Bringer of Jollity</t>
  </si>
  <si>
    <t>Holst: The Planets, Op. 32 &amp; Vaughan Williams: Fantasies</t>
  </si>
  <si>
    <t>Eugene Ormandy</t>
  </si>
  <si>
    <t>Gustav Holst</t>
  </si>
  <si>
    <t>Turandot, Act III, Nessun dorma!</t>
  </si>
  <si>
    <t>Pavarotti's Opera Made Easy</t>
  </si>
  <si>
    <t>Luciano Pavarotti</t>
  </si>
  <si>
    <t>Adagio for Strings from the String Quartet, Op. 11</t>
  </si>
  <si>
    <t>Great Performances - Barber's Adagio and Other Romantic Favorites for Strings</t>
  </si>
  <si>
    <t>Leonard Bernstein &amp; New York Philharmonic</t>
  </si>
  <si>
    <t>Samuel Barber</t>
  </si>
  <si>
    <t>Carmina Burana: O Fortuna</t>
  </si>
  <si>
    <t>Carmina Burana</t>
  </si>
  <si>
    <t>Boston Symphony Orchestra &amp; Seiji Ozawa</t>
  </si>
  <si>
    <t>Carl Orff</t>
  </si>
  <si>
    <t>Fanfare for the Common Man</t>
  </si>
  <si>
    <t>A Copland Celebration, Vol. I</t>
  </si>
  <si>
    <t>Aaron Copland &amp; London Symphony Orchestra</t>
  </si>
  <si>
    <t>Aaron Copland</t>
  </si>
  <si>
    <t>The Return</t>
  </si>
  <si>
    <t>Toccata and Fugue in D Minor, BWV 565: I. Toccata</t>
  </si>
  <si>
    <t>Bach: Toccata &amp; Fugue in D Minor</t>
  </si>
  <si>
    <t>Ton Koopman</t>
  </si>
  <si>
    <t>Symphony No.1 in D Major, Op.25 "Classical", Allegro Con Brio</t>
  </si>
  <si>
    <t>Prokofiev: Symphony No.1</t>
  </si>
  <si>
    <t>Sergei Prokofiev &amp; Yuri Temirkanov</t>
  </si>
  <si>
    <t>Sergei Prokofiev</t>
  </si>
  <si>
    <t>Scheherazade, Op. 35: I. The Sea and Sindbad's Ship</t>
  </si>
  <si>
    <t>Scheherazade</t>
  </si>
  <si>
    <t>Chicago Symphony Orchestra &amp; Fritz Reiner</t>
  </si>
  <si>
    <t>Nikolai Rimsky-Korsakov</t>
  </si>
  <si>
    <t>Concerto No.2 in F Major, BWV1047, I. Allegro</t>
  </si>
  <si>
    <t>Bach: The Brandenburg Concertos</t>
  </si>
  <si>
    <t>Orchestra of The Age of Enlightenment</t>
  </si>
  <si>
    <t>Concerto for Piano No. 2 in F Minor, Op. 21: II. Larghetto</t>
  </si>
  <si>
    <t>Chopin: Piano Concertos Nos. 1 &amp; 2</t>
  </si>
  <si>
    <t>Emanuel Ax, Eugene Ormandy &amp; Philadelphia Orchestra</t>
  </si>
  <si>
    <t>Frédéric Chopin</t>
  </si>
  <si>
    <t>Cavalleria Rusticana \ Act \ Intermezzo Sinfonico</t>
  </si>
  <si>
    <t>Mascagni: Cavalleria Rusticana</t>
  </si>
  <si>
    <t>James Levine</t>
  </si>
  <si>
    <t>Pietro Mascagni</t>
  </si>
  <si>
    <t>Karelia Suite, Op.11: 2. Ballade (Tempo Di Menuetto)</t>
  </si>
  <si>
    <t>Sibelius: Finlandia</t>
  </si>
  <si>
    <t>Berliner Philharmoniker &amp; Hans Rosbaud</t>
  </si>
  <si>
    <t>Jean Sibelius</t>
  </si>
  <si>
    <t>Piano Sonata No. 14 in C Sharp Minor, Op. 27, No. 2, "Moonlight": I. Adagio sostenuto</t>
  </si>
  <si>
    <t>Beethoven Piano Sonatas: Moonlight &amp; Pastorale</t>
  </si>
  <si>
    <t>Maurizio Pollini</t>
  </si>
  <si>
    <t>Fantasia On Greensleeves</t>
  </si>
  <si>
    <t>Ralph Vaughan Williams</t>
  </si>
  <si>
    <t>Das Lied Von Der Erde, Von Der Jugend</t>
  </si>
  <si>
    <t>Great Recordings of the Century - Mahler: Das Lied von der Erde</t>
  </si>
  <si>
    <t>Gustav Mahler</t>
  </si>
  <si>
    <t>Concerto for Cello and Orchestra in E minor, Op. 85: I. Adagio - Moderato</t>
  </si>
  <si>
    <t>Elgar: Cello Concerto &amp; Vaughan Williams: Fantasias</t>
  </si>
  <si>
    <t>Felix Schmidt, London Symphony Orchestra &amp; Rafael Frühbeck de Burgos</t>
  </si>
  <si>
    <t>Two Fanfares for Orchestra: II. Short Ride in a Fast Machine</t>
  </si>
  <si>
    <t>Adams, John: The Chairman Dances</t>
  </si>
  <si>
    <t>Edo de Waart &amp; San Francisco Symphony</t>
  </si>
  <si>
    <t>John Adams</t>
  </si>
  <si>
    <t>Wellington's Victory or the Battle Symphony, Op.91: 2. Symphony of Triumph</t>
  </si>
  <si>
    <t>Tchaikovsky: 1812 Festival Overture, Op.49, Capriccio Italien &amp; Beethoven: Wellington's Victory</t>
  </si>
  <si>
    <t>Antal Doráti &amp; London Symphony Orchestra</t>
  </si>
  <si>
    <t>Missa Papae Marcelli: Kyrie</t>
  </si>
  <si>
    <t>Palestrina: Missa Papae Marcelli &amp; Allegri: Miserere</t>
  </si>
  <si>
    <t>Choir Of Westminster Abbey &amp; Simon Preston</t>
  </si>
  <si>
    <t>Giovanni Pierluigi da Palestrina</t>
  </si>
  <si>
    <t>Romeo et Juliette: No. 11 - Danse des Chevaliers</t>
  </si>
  <si>
    <t>Prokofiev: Romeo &amp; Juliet</t>
  </si>
  <si>
    <t>Michael Tilson Thomas &amp; San Francisco Symphony</t>
  </si>
  <si>
    <t>On the Beautiful Blue Danube</t>
  </si>
  <si>
    <t>Strauss: Waltzes</t>
  </si>
  <si>
    <t>Johann Strauss II</t>
  </si>
  <si>
    <t>Symphonie Fantastique, Op. 14: V. Songe d'une nuit du sabbat</t>
  </si>
  <si>
    <t>Berlioz: Symphonie Fantastique</t>
  </si>
  <si>
    <t>Hector Berlioz</t>
  </si>
  <si>
    <t>Carmen: Overture</t>
  </si>
  <si>
    <t>Bizet: Carmen Highlights</t>
  </si>
  <si>
    <t>Chor der Wiener Staatsoper, Herbert Von Karajan &amp; Wiener Philharmoniker</t>
  </si>
  <si>
    <t>Georges Bizet</t>
  </si>
  <si>
    <t>Lamentations of Jeremiah, First Set \ Incipit Lamentatio</t>
  </si>
  <si>
    <t>English Renaissance</t>
  </si>
  <si>
    <t>The King's Singers</t>
  </si>
  <si>
    <t>Thomas Tallis</t>
  </si>
  <si>
    <t>Music for the Royal Fireworks, HWV351 (1749): La Réjouissance</t>
  </si>
  <si>
    <t>Handel: Music for the Royal Fireworks (Original Version 1749)</t>
  </si>
  <si>
    <t>Peer Gynt Suite No.1, Op.46: 1. Morning Mood</t>
  </si>
  <si>
    <t>Grieg: Peer Gynt Suites &amp; Sibelius: Pelléas et Mélisande</t>
  </si>
  <si>
    <t>Berliner Philharmoniker &amp; Herbert Von Karajan</t>
  </si>
  <si>
    <t>Edvard Grieg</t>
  </si>
  <si>
    <t>Die Zauberflöte, K.620: "Der Hölle Rache Kocht in Meinem Herze"</t>
  </si>
  <si>
    <t>Mozart Gala: Famous Arias</t>
  </si>
  <si>
    <t>Sir Georg Solti, Sumi Jo &amp; Wiener Philharmoniker</t>
  </si>
  <si>
    <t>Opera</t>
  </si>
  <si>
    <t>SCRIABIN: Prelude in B Major, Op. 11, No. 11</t>
  </si>
  <si>
    <t>SCRIABIN: Vers la flamme</t>
  </si>
  <si>
    <t>Christopher O'Riley</t>
  </si>
  <si>
    <t>Pavan, Lachrimae Antiquae</t>
  </si>
  <si>
    <t>Armada: Music from the Courts of England and Spain</t>
  </si>
  <si>
    <t>Fretwork</t>
  </si>
  <si>
    <t>John Dowland</t>
  </si>
  <si>
    <t>Symphony No. 41 in C Major, K. 551, "Jupiter": IV. Molto allegro</t>
  </si>
  <si>
    <t>Mozart: Symphonies Nos. 40 &amp; 41</t>
  </si>
  <si>
    <t>Rehab</t>
  </si>
  <si>
    <t>Back to Black</t>
  </si>
  <si>
    <t>Amy Winehouse</t>
  </si>
  <si>
    <t>You Know I'm No Good</t>
  </si>
  <si>
    <t>Me &amp; Mr. Jones</t>
  </si>
  <si>
    <t>Just Friends</t>
  </si>
  <si>
    <t>Mark Ronson</t>
  </si>
  <si>
    <t>Love Is a Losing Game</t>
  </si>
  <si>
    <t>Tears Dry On Their Own</t>
  </si>
  <si>
    <t>Nickolas Ashford &amp; Valerie Simpson</t>
  </si>
  <si>
    <t>Wake Up Alone</t>
  </si>
  <si>
    <t>Paul O'duffy</t>
  </si>
  <si>
    <t>Some Unholy War</t>
  </si>
  <si>
    <t>He Can Only Hold Her</t>
  </si>
  <si>
    <t>Richard Poindexter &amp; Robert Poindexter</t>
  </si>
  <si>
    <t>You Know I'm No Good (feat. Ghostface Killah)</t>
  </si>
  <si>
    <t>Rehab (Hot Chip Remix)</t>
  </si>
  <si>
    <t>Intro / Stronger Than Me</t>
  </si>
  <si>
    <t>Frank</t>
  </si>
  <si>
    <t>You Sent Me Flying / Cherry</t>
  </si>
  <si>
    <t>F**k Me Pumps</t>
  </si>
  <si>
    <t>Salaam Remi</t>
  </si>
  <si>
    <t>I Heard Love Is Blind</t>
  </si>
  <si>
    <t>(There Is) No Greater Love (Teo Licks)</t>
  </si>
  <si>
    <t>Isham Jones &amp; Marty Symes</t>
  </si>
  <si>
    <t>In My Bed</t>
  </si>
  <si>
    <t>Take the Box</t>
  </si>
  <si>
    <t>Luke Smith</t>
  </si>
  <si>
    <t>October Song</t>
  </si>
  <si>
    <t>Matt Rowe &amp; Stefan Skarbek</t>
  </si>
  <si>
    <t>What Is It About Men</t>
  </si>
  <si>
    <t>Delroy "Chris" Cooper, Donovan Jackson, Earl Chinna Smith, Felix Howard, Gordon Williams, Luke Smith, Paul Watson &amp; Wilburn Squiddley Cole</t>
  </si>
  <si>
    <t>Help Yourself</t>
  </si>
  <si>
    <t>Freddy James, Jimmy hogarth &amp; Larry Stock</t>
  </si>
  <si>
    <t>Amy Amy Amy (Outro)</t>
  </si>
  <si>
    <t>Astor Campbell, Delroy "Chris" Cooper, Donovan Jackson, Dorothy Fields, Earl Chinna Smith, Felix Howard, Gordon Williams, James Moody, Jimmy McHugh, Matt Rowe, Salaam Remi &amp; Stefan Skarbek</t>
  </si>
  <si>
    <t>Slowness</t>
  </si>
  <si>
    <t>Carried to Dust (Bonus Track Version)</t>
  </si>
  <si>
    <t>Calexico</t>
  </si>
  <si>
    <t>Prometheus Overture, Op. 43</t>
  </si>
  <si>
    <t>Beethoven: Symphony No. 6 'Pastoral' Etc.</t>
  </si>
  <si>
    <t>Otto Klemperer &amp; Philharmonia Orchestra</t>
  </si>
  <si>
    <t>Sonata for Solo Violin: IV: Presto</t>
  </si>
  <si>
    <t>Bartok: Violin &amp; Viola Concertos</t>
  </si>
  <si>
    <t>Yehudi Menuhin</t>
  </si>
  <si>
    <t>Béla Bartók</t>
  </si>
  <si>
    <t>A Midsummer Night's Dream, Op.61 Incidental Music: No.7 Notturno</t>
  </si>
  <si>
    <t>Mendelssohn: A Midsummer Night's Dream</t>
  </si>
  <si>
    <t>Philharmonia Orchestra &amp; Sir Neville Marriner</t>
  </si>
  <si>
    <t>Suite No. 3 in D, BWV 1068: III. Gavotte I &amp; II</t>
  </si>
  <si>
    <t>Bach: Orchestral Suites Nos. 1 - 4</t>
  </si>
  <si>
    <t>Academy of St. Martin in the Fields, Sir Neville Marriner &amp; Thurston Dart</t>
  </si>
  <si>
    <t>Concert pour 4 Parties de V**les, H. 545: I. Prelude</t>
  </si>
  <si>
    <t>Charpentier: Divertissements, Airs &amp; Concerts</t>
  </si>
  <si>
    <t>Les Arts Florissants &amp; William Christie</t>
  </si>
  <si>
    <t>Marc-Antoine Charpentier</t>
  </si>
  <si>
    <t>Adios nonino</t>
  </si>
  <si>
    <t>South American Getaway</t>
  </si>
  <si>
    <t>The 12 Cellists of The Berlin Philharmonic</t>
  </si>
  <si>
    <t>Astor Piazzolla</t>
  </si>
  <si>
    <t>Symphony No. 3 Op. 36 for Orchestra and Soprano "Symfonia Piesni Zalosnych" \ Lento E Largo - Tranquillissimo</t>
  </si>
  <si>
    <t>Górecki: Symphony No. 3</t>
  </si>
  <si>
    <t>Adrian Leaper &amp; Doreen de Feis</t>
  </si>
  <si>
    <t>Henryk Górecki</t>
  </si>
  <si>
    <t>Act IV, Symphony</t>
  </si>
  <si>
    <t>Purcell: The Fairy Queen</t>
  </si>
  <si>
    <t>Roger Norrington, London Classical Players</t>
  </si>
  <si>
    <t>Henry Purcell</t>
  </si>
  <si>
    <t>3 Gymnopédies: No.1 - Lent Et Grave, No.3 - Lent Et Douloureux</t>
  </si>
  <si>
    <t>The Ultimate Relexation Album</t>
  </si>
  <si>
    <t>Charles Dutoit &amp; L'Orchestre Symphonique de Montréal</t>
  </si>
  <si>
    <t>Erik Satie</t>
  </si>
  <si>
    <t>Music for the Funeral of Queen Mary: VI. "Thou Knowest, Lord, the Secrets of Our Hearts"</t>
  </si>
  <si>
    <t>Purcell: Music for the Queen Mary</t>
  </si>
  <si>
    <t>Equale Brass Ensemble, John Eliot Gardiner &amp; Munich Monteverdi Orchestra and Choir</t>
  </si>
  <si>
    <t>Symphony No. 2: III. Allegro vivace</t>
  </si>
  <si>
    <t>Weill: The Seven Deadly Sins</t>
  </si>
  <si>
    <t>Kent Nagano and Orchestre de l'Opéra de Lyon</t>
  </si>
  <si>
    <t>Kurt Weill</t>
  </si>
  <si>
    <t>Partita in E Major, BWV 1006A: I. Prelude</t>
  </si>
  <si>
    <t>J.S. Bach: Chaconne, Suite in E Minor, Partita in E Major &amp; Prelude, Fugue and Allegro</t>
  </si>
  <si>
    <t>Julian Bream</t>
  </si>
  <si>
    <t>Le Sacre Du Printemps: I.iv. Spring Rounds</t>
  </si>
  <si>
    <t>Prokofiev: Symphony No.5 &amp; Stravinksy: Le Sacre Du Printemps</t>
  </si>
  <si>
    <t>Igor Stravinsky</t>
  </si>
  <si>
    <t>Sing Joyfully</t>
  </si>
  <si>
    <t>William Byrd</t>
  </si>
  <si>
    <t>Metopes, Op. 29: Calypso</t>
  </si>
  <si>
    <t>Szymanowski: Piano Works, Vol. 1</t>
  </si>
  <si>
    <t>Martin Roscoe</t>
  </si>
  <si>
    <t>Karol Szymanowski</t>
  </si>
  <si>
    <t>Symphony No. 2, Op. 16 -  "The Four Temperaments": II. Allegro Comodo e Flemmatico</t>
  </si>
  <si>
    <t>Nielsen: The Six Symphonies</t>
  </si>
  <si>
    <t>Göteborgs Symfoniker &amp; Neeme Järvi</t>
  </si>
  <si>
    <t>Carl Nielsen</t>
  </si>
  <si>
    <t>24 Caprices, Op. 1, No. 24, for Solo Violin, in A Minor</t>
  </si>
  <si>
    <t>Great Recordings of the Century: Paganini's 24 Caprices</t>
  </si>
  <si>
    <t>Itzhak Perlman</t>
  </si>
  <si>
    <t>Niccolò Paganini</t>
  </si>
  <si>
    <t>Étude 1, In C Major - Preludio (Presto) - Liszt</t>
  </si>
  <si>
    <t>Liszt - 12 Études D'Execution Transcendante</t>
  </si>
  <si>
    <t>Michele Campanella</t>
  </si>
  <si>
    <t>Erlkonig, D.328</t>
  </si>
  <si>
    <t>Great Recordings of the Century - Shubert: Schwanengesang, 4 Lieder</t>
  </si>
  <si>
    <t>Gerald Moore</t>
  </si>
  <si>
    <t>Concerto for Violin, Strings and Continuo in G Major, Op. 3, No. 9: I. Allegro</t>
  </si>
  <si>
    <t>Locatelli: Concertos for Violin, Strings and Continuo, Vol. 3</t>
  </si>
  <si>
    <t>Mela Tenenbaum, Pro Musica Prague &amp; Richard Kapp</t>
  </si>
  <si>
    <t>Pietro Antonio Locatelli</t>
  </si>
  <si>
    <t>Pini Di Roma (Pinien Von Rom) \ I Pini Della Via Appia</t>
  </si>
  <si>
    <t>Respighi:Pines of Rome</t>
  </si>
  <si>
    <t>String Quartet No. 12 in C Minor, D. 703 "Quartettsatz": II. Andante - Allegro assai</t>
  </si>
  <si>
    <t>Schubert: The Late String Quartets &amp; String Quintet (3 CD's)</t>
  </si>
  <si>
    <t>Emerson String Quartet</t>
  </si>
  <si>
    <t>L'orfeo, Act 3, Sinfonia (Orchestra)</t>
  </si>
  <si>
    <t>Monteverdi: L'Orfeo</t>
  </si>
  <si>
    <t>C. Monteverdi, Nigel Rogers - Chiaroscuro; London Baroque; London Cornett &amp; Sackbu</t>
  </si>
  <si>
    <t>Claudio Monteverdi</t>
  </si>
  <si>
    <t>Quintet for Horn, Violin, 2 Violas, and Cello in E Flat Major, K. 407/386c: III. Allegro</t>
  </si>
  <si>
    <t>Mozart: Chamber Music</t>
  </si>
  <si>
    <t>Nash Ensemble</t>
  </si>
  <si>
    <t>Koyaanisqatsi</t>
  </si>
  <si>
    <t>Koyaanisqatsi (Soundtrack from the Motion Picture)</t>
  </si>
  <si>
    <t>Philip Glass Ensemble</t>
  </si>
  <si>
    <t>Philip Glass</t>
  </si>
  <si>
    <t>Question 5.1 What is the resulting regression equation?</t>
  </si>
  <si>
    <t xml:space="preserve">Question 5.2 Comment on the relevance of the independent variables: price, maximum chart position, duration of track. </t>
  </si>
  <si>
    <t xml:space="preserve">Question 5.3 Are there any notable outliers? </t>
  </si>
  <si>
    <r>
      <rPr>
        <b/>
        <sz val="14"/>
        <color theme="1"/>
        <rFont val="Calibri"/>
        <family val="2"/>
      </rPr>
      <t>Guidelines</t>
    </r>
    <r>
      <rPr>
        <sz val="11"/>
        <color theme="1"/>
        <rFont val="Calibri"/>
        <family val="2"/>
      </rPr>
      <t xml:space="preserve">
1. There are six sheets in this workbook: Instructions, Question 1 Data &amp; Answer, Question 2 &amp; 3 Data, Question 4 Data and Answer, Question 5 Data, and Question 5.1 - 5.3 Answer.  
2. Please answer Question 1, Question 4, and Question 5 in the worksheets provided, according to the instructions. Questions 2-5 require you to provide answers in separate worksheets. Make sure that you name these sheets according to the instructions provided. Make sure that you have carefully read and fully understood the questions before answering them. Answer the questions fully but concisely and as directly as possible. Follow all specific instructions for individual questions.
3. Answer all questions in your own words. Do not copy any text from the notes, readings, or other sources. </t>
    </r>
    <r>
      <rPr>
        <b/>
        <sz val="11"/>
        <color theme="1"/>
        <rFont val="Calibri"/>
        <family val="2"/>
      </rPr>
      <t xml:space="preserve">The assignment must be your own work only. 
</t>
    </r>
    <r>
      <rPr>
        <sz val="11"/>
        <color theme="1"/>
        <rFont val="Calibri"/>
        <family val="2"/>
      </rPr>
      <t xml:space="preserve">4. If you need assistance from your Tutor while completing this assignment, please post your question in the assignment discussion forum and tag them in your post. </t>
    </r>
  </si>
  <si>
    <r>
      <rPr>
        <b/>
        <sz val="11"/>
        <color rgb="FF0070C0"/>
        <rFont val="Calibri (Body)"/>
      </rPr>
      <t>Question 1</t>
    </r>
    <r>
      <rPr>
        <sz val="11"/>
        <color theme="1"/>
        <rFont val="Calibri"/>
        <family val="2"/>
      </rPr>
      <t xml:space="preserve">
The worksheet titled "Question 1  Data &amp; Answer" contains data related to Sonic Selection's invoices. 
1. Find the mean, median, mode, highest value, lowest value, range, variance, and standard deviation for the data in the SalesAmount column. 
2. Answer this question in the allocated spaces provided in the worksheet, alongside the raw data. Complete the fields in row F (F10:F17) using the built-in Microsoft Excel functions to determine the corresponding statistics listed in row E (E10:E17). 
3. Identify the CustomerID for the customer who made the most purchases in the data set (Hint: Use the most appropriate measure of central tendency for the customer ID column). Your answer should appear in cell F19.
4. Once you have determined which customer made the most purchases, determine how many invoices exist for this customer (Hint: Use the COUNTIF function). Your answer should appear in cell F21.</t>
    </r>
  </si>
  <si>
    <r>
      <rPr>
        <b/>
        <sz val="11"/>
        <color rgb="FF0070C0"/>
        <rFont val="Calibri (Body)"/>
      </rPr>
      <t>Question 2</t>
    </r>
    <r>
      <rPr>
        <sz val="11"/>
        <color theme="1"/>
        <rFont val="Calibri"/>
        <family val="2"/>
      </rPr>
      <t xml:space="preserve">
The worksheet titled </t>
    </r>
    <r>
      <rPr>
        <i/>
        <sz val="11"/>
        <color theme="1"/>
        <rFont val="Calibri"/>
        <family val="2"/>
      </rPr>
      <t>"</t>
    </r>
    <r>
      <rPr>
        <sz val="11"/>
        <color theme="1"/>
        <rFont val="Calibri"/>
        <family val="2"/>
      </rPr>
      <t xml:space="preserve">Question 2 &amp; 3 Data" also contains data related to the invoices at Sonic Selection. Use this data to produce the descriptive statistics for the </t>
    </r>
    <r>
      <rPr>
        <b/>
        <sz val="11"/>
        <color theme="1"/>
        <rFont val="Calibri"/>
        <family val="2"/>
      </rPr>
      <t xml:space="preserve">SalesAmount </t>
    </r>
    <r>
      <rPr>
        <sz val="11"/>
        <color theme="1"/>
        <rFont val="Calibri"/>
        <family val="2"/>
      </rPr>
      <t xml:space="preserve">column using the Data Analysis feature.
1. Your descriptive statistics table should appear in a separate worksheet. The worksheet should be titled </t>
    </r>
    <r>
      <rPr>
        <i/>
        <sz val="11"/>
        <color theme="1"/>
        <rFont val="Calibri"/>
        <family val="2"/>
      </rPr>
      <t>"</t>
    </r>
    <r>
      <rPr>
        <sz val="11"/>
        <color theme="1"/>
        <rFont val="Calibri"/>
        <family val="2"/>
      </rPr>
      <t>Answer 2 Descriptive Statistics</t>
    </r>
    <r>
      <rPr>
        <i/>
        <sz val="11"/>
        <color theme="1"/>
        <rFont val="Calibri"/>
        <family val="2"/>
      </rPr>
      <t>"</t>
    </r>
    <r>
      <rPr>
        <sz val="11"/>
        <color theme="1"/>
        <rFont val="Calibri"/>
        <family val="2"/>
      </rPr>
      <t xml:space="preserve"> and should appear after the "Question 2 &amp; 3 Data" tab.
2. Format the table so that only 2 decimal places are shown.
</t>
    </r>
  </si>
  <si>
    <r>
      <rPr>
        <b/>
        <sz val="11"/>
        <color rgb="FF0070C0"/>
        <rFont val="Calibri (Body)"/>
      </rPr>
      <t>Question 4</t>
    </r>
    <r>
      <rPr>
        <sz val="11"/>
        <color theme="1"/>
        <rFont val="Calibri"/>
        <family val="2"/>
      </rPr>
      <t xml:space="preserve">
In order to determine whether there is a significant difference between the average order size in the US, Germany, and the UK, create an ANOVA table for the data in the worksheet titled "Question 4 Data &amp; Answer</t>
    </r>
    <r>
      <rPr>
        <i/>
        <sz val="11"/>
        <color theme="1"/>
        <rFont val="Calibri"/>
        <family val="2"/>
      </rPr>
      <t>".</t>
    </r>
    <r>
      <rPr>
        <sz val="11"/>
        <color theme="1"/>
        <rFont val="Calibri"/>
        <family val="2"/>
      </rPr>
      <t xml:space="preserve"> Use the following guideline to help you answer this question:
1. Calculate the median order size for the US, Germany, and the UK using the MEDIAN function. The results should appear in the corresponding cells provided in the worksheet (F3:F5).
2. Perform a single-factor ANOVA test. Your ANOVA table should appear on a new worksheet titled "Answer 4 ANOVA</t>
    </r>
    <r>
      <rPr>
        <i/>
        <sz val="11"/>
        <color theme="1"/>
        <rFont val="Calibri"/>
        <family val="2"/>
      </rPr>
      <t>"</t>
    </r>
    <r>
      <rPr>
        <sz val="11"/>
        <color theme="1"/>
        <rFont val="Calibri"/>
        <family val="2"/>
      </rPr>
      <t xml:space="preserve">, and should appear next to the "Question 4 Data &amp; Answer" tab.
</t>
    </r>
  </si>
  <si>
    <t>US</t>
  </si>
  <si>
    <t>UK</t>
  </si>
  <si>
    <t>Name: Molatelo Gwebu</t>
  </si>
  <si>
    <t>Column1</t>
  </si>
  <si>
    <t>Confidence Level(95,0%)</t>
  </si>
  <si>
    <t>Row Labels</t>
  </si>
  <si>
    <t>Grand Total</t>
  </si>
  <si>
    <t>Column Labels</t>
  </si>
  <si>
    <t>Sum of SalesAmount</t>
  </si>
  <si>
    <t>Qtr1</t>
  </si>
  <si>
    <t>Qtr2</t>
  </si>
  <si>
    <t>Qtr3</t>
  </si>
  <si>
    <t>Qtr4</t>
  </si>
  <si>
    <t>Years (InvoiceMonth)</t>
  </si>
  <si>
    <t>(Multiple Items)</t>
  </si>
  <si>
    <t>Anova: Single Factor</t>
  </si>
  <si>
    <t>SUMMARY</t>
  </si>
  <si>
    <t>Groups</t>
  </si>
  <si>
    <t>Count</t>
  </si>
  <si>
    <t>Sum</t>
  </si>
  <si>
    <t>Average</t>
  </si>
  <si>
    <t>Column 1</t>
  </si>
  <si>
    <t>Column 2</t>
  </si>
  <si>
    <t>Column 3</t>
  </si>
  <si>
    <t>ANOVA</t>
  </si>
  <si>
    <t>Source of Variation</t>
  </si>
  <si>
    <t>SS</t>
  </si>
  <si>
    <t>df</t>
  </si>
  <si>
    <t>MS</t>
  </si>
  <si>
    <t>F</t>
  </si>
  <si>
    <t>P-value</t>
  </si>
  <si>
    <t>F crit</t>
  </si>
  <si>
    <t>Between Groups</t>
  </si>
  <si>
    <t>Within Groups</t>
  </si>
  <si>
    <t>Total</t>
  </si>
  <si>
    <t>SUMMARY OUTPUT</t>
  </si>
  <si>
    <t>Regression Statistics</t>
  </si>
  <si>
    <t>Multiple R</t>
  </si>
  <si>
    <t>R Square</t>
  </si>
  <si>
    <t>Adjusted R Square</t>
  </si>
  <si>
    <t>Standard Error</t>
  </si>
  <si>
    <t>Observations</t>
  </si>
  <si>
    <t>Regression</t>
  </si>
  <si>
    <t>Residual</t>
  </si>
  <si>
    <t>Intercept</t>
  </si>
  <si>
    <t>Significance F</t>
  </si>
  <si>
    <t>Coefficients</t>
  </si>
  <si>
    <t>t Stat</t>
  </si>
  <si>
    <t>Lower 95%</t>
  </si>
  <si>
    <t>Upper 95%</t>
  </si>
  <si>
    <t>Lower 95,0%</t>
  </si>
  <si>
    <t>Upper 95,0%</t>
  </si>
  <si>
    <t>Start writing here: Price is moderately significant, which means that higher priced songs could affect the dependent variable. Maximum chart position is probably highly signinficant, as it is an indication of poularity. Duration is probably less significant, as the general impact of song length is lower.</t>
  </si>
  <si>
    <t>Start writing here: Y = a + bX1 + cX2</t>
  </si>
  <si>
    <t>Start writing here: This may include songs that have high prices but low performance, or songs that have low chart position but high outcomes. Long or short duration s may also be considered outliers. Outliers are condidered to affact the regression results and need to be examined to identify whether they are errors or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</si>
</sst>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409]* #,##0.00_);_([$$-409]* \(#,##0.00\);_([$$-409]* &quot;-&quot;??_);_(@_)"/>
    <numFmt numFmtId="165" formatCode="_(&quot;$&quot;* #,##0.00_);_(&quot;$&quot;* \(#,##0.00\);_(&quot;$&quot;* &quot;-&quot;??_);_(@_)"/>
    <numFmt numFmtId="166" formatCode="mmm\-yyyy"/>
    <numFmt numFmtId="167" formatCode="0.0"/>
  </numFmts>
  <fonts count="17" x14ac:knownFonts="1">
    <font>
      <sz val="11"/>
      <color theme="1"/>
      <name val="Calibri"/>
      <scheme val="minor"/>
    </font>
    <font>
      <sz val="11"/>
      <color theme="1"/>
      <name val="Calibri"/>
      <family val="2"/>
    </font>
    <font>
      <sz val="11"/>
      <name val="Calibri"/>
      <family val="2"/>
    </font>
    <font>
      <b/>
      <sz val="18"/>
      <color rgb="FF0070C0"/>
      <name val="Calibri"/>
      <family val="2"/>
    </font>
    <font>
      <b/>
      <sz val="16"/>
      <color rgb="FF7B7B7B"/>
      <name val="Calibri"/>
      <family val="2"/>
    </font>
    <font>
      <b/>
      <sz val="11"/>
      <color theme="1"/>
      <name val="Calibri"/>
      <family val="2"/>
    </font>
    <font>
      <b/>
      <sz val="16"/>
      <color rgb="FF7F7F7F"/>
      <name val="Calibri"/>
      <family val="2"/>
    </font>
    <font>
      <b/>
      <sz val="12"/>
      <color theme="1"/>
      <name val="Calibri"/>
      <family val="2"/>
    </font>
    <font>
      <sz val="11"/>
      <color theme="1"/>
      <name val="Calibri"/>
      <family val="2"/>
      <scheme val="minor"/>
    </font>
    <font>
      <b/>
      <sz val="12"/>
      <color rgb="FF000000"/>
      <name val="Calibri"/>
      <family val="2"/>
    </font>
    <font>
      <sz val="12"/>
      <color rgb="FF000000"/>
      <name val="Calibri"/>
      <family val="2"/>
    </font>
    <font>
      <b/>
      <sz val="14"/>
      <color theme="1"/>
      <name val="Calibri"/>
      <family val="2"/>
    </font>
    <font>
      <b/>
      <sz val="11"/>
      <color rgb="FF0070C0"/>
      <name val="Calibri (Body)"/>
    </font>
    <font>
      <b/>
      <sz val="11"/>
      <color rgb="FF0070C0"/>
      <name val="Calibri"/>
      <family val="2"/>
    </font>
    <font>
      <b/>
      <sz val="11"/>
      <color rgb="FFA20000"/>
      <name val="Calibri"/>
      <family val="2"/>
    </font>
    <font>
      <i/>
      <sz val="11"/>
      <color theme="1"/>
      <name val="Calibri"/>
      <family val="2"/>
    </font>
    <font>
      <i/>
      <sz val="11"/>
      <color theme="1"/>
      <name val="Calibri"/>
      <family val="2"/>
      <scheme val="minor"/>
    </font>
  </fonts>
  <fills count="8">
    <fill>
      <patternFill patternType="none"/>
    </fill>
    <fill>
      <patternFill patternType="gray125"/>
    </fill>
    <fill>
      <patternFill patternType="solid">
        <fgColor theme="0"/>
        <bgColor theme="0"/>
      </patternFill>
    </fill>
    <fill>
      <patternFill patternType="solid">
        <fgColor rgb="FF8EAADB"/>
        <bgColor rgb="FF8EAADB"/>
      </patternFill>
    </fill>
    <fill>
      <patternFill patternType="solid">
        <fgColor rgb="FFFFFFFF"/>
        <bgColor rgb="FFFFFFFF"/>
      </patternFill>
    </fill>
    <fill>
      <patternFill patternType="solid">
        <fgColor rgb="FFD9E2F3"/>
        <bgColor rgb="FFD9E2F3"/>
      </patternFill>
    </fill>
    <fill>
      <patternFill patternType="solid">
        <fgColor rgb="FFFFD965"/>
        <bgColor rgb="FFFFD965"/>
      </patternFill>
    </fill>
    <fill>
      <patternFill patternType="solid">
        <fgColor rgb="FFFEF2CB"/>
        <bgColor rgb="FFFEF2CB"/>
      </patternFill>
    </fill>
  </fills>
  <borders count="43">
    <border>
      <left/>
      <right/>
      <top/>
      <bottom/>
      <diagonal/>
    </border>
    <border>
      <left/>
      <right/>
      <top/>
      <bottom/>
      <diagonal/>
    </border>
    <border>
      <left/>
      <right style="thin">
        <color theme="0"/>
      </right>
      <top/>
      <bottom/>
      <diagonal/>
    </border>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diagonal/>
    </border>
    <border>
      <left style="thin">
        <color theme="0"/>
      </left>
      <right style="thin">
        <color theme="0"/>
      </right>
      <top/>
      <bottom/>
      <diagonal/>
    </border>
    <border>
      <left/>
      <right/>
      <top/>
      <bottom/>
      <diagonal/>
    </border>
    <border>
      <left/>
      <right/>
      <top/>
      <bottom/>
      <diagonal/>
    </border>
    <border>
      <left/>
      <right/>
      <top/>
      <bottom/>
      <diagonal/>
    </border>
    <border>
      <left style="thin">
        <color rgb="FFD8D8D8"/>
      </left>
      <right/>
      <top style="thin">
        <color rgb="FFD8D8D8"/>
      </top>
      <bottom style="thin">
        <color rgb="FFD8D8D8"/>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85">
    <xf numFmtId="0" fontId="0" fillId="0" borderId="0" xfId="0"/>
    <xf numFmtId="0" fontId="1" fillId="2" borderId="1" xfId="0" applyFont="1" applyFill="1" applyBorder="1"/>
    <xf numFmtId="0" fontId="1" fillId="2" borderId="2" xfId="0" applyFont="1" applyFill="1" applyBorder="1"/>
    <xf numFmtId="0" fontId="1" fillId="2" borderId="8" xfId="0" applyFont="1" applyFill="1" applyBorder="1"/>
    <xf numFmtId="0" fontId="5" fillId="2" borderId="1" xfId="0" applyFont="1" applyFill="1" applyBorder="1"/>
    <xf numFmtId="0" fontId="1" fillId="2" borderId="1" xfId="0" applyFont="1" applyFill="1" applyBorder="1" applyAlignment="1">
      <alignment horizontal="center"/>
    </xf>
    <xf numFmtId="0" fontId="7" fillId="5" borderId="1" xfId="0" applyFont="1" applyFill="1" applyBorder="1"/>
    <xf numFmtId="0" fontId="8" fillId="0" borderId="0" xfId="0" applyFont="1"/>
    <xf numFmtId="164" fontId="1" fillId="0" borderId="0" xfId="0" applyNumberFormat="1" applyFont="1" applyAlignment="1">
      <alignment horizontal="left"/>
    </xf>
    <xf numFmtId="164" fontId="1" fillId="0" borderId="0" xfId="0" applyNumberFormat="1" applyFont="1"/>
    <xf numFmtId="0" fontId="5" fillId="0" borderId="0" xfId="0" applyFont="1" applyAlignment="1">
      <alignment horizontal="center" vertical="center"/>
    </xf>
    <xf numFmtId="0" fontId="7" fillId="7" borderId="28" xfId="0" applyFont="1" applyFill="1" applyBorder="1"/>
    <xf numFmtId="0" fontId="7" fillId="7" borderId="29" xfId="0" applyFont="1" applyFill="1" applyBorder="1"/>
    <xf numFmtId="0" fontId="5" fillId="0" borderId="30" xfId="0" applyFont="1" applyBorder="1"/>
    <xf numFmtId="164" fontId="1" fillId="0" borderId="31" xfId="0" applyNumberFormat="1" applyFont="1" applyBorder="1"/>
    <xf numFmtId="165" fontId="1" fillId="0" borderId="31" xfId="0" applyNumberFormat="1" applyFont="1" applyBorder="1"/>
    <xf numFmtId="2" fontId="1" fillId="0" borderId="31" xfId="0" applyNumberFormat="1" applyFont="1" applyBorder="1"/>
    <xf numFmtId="0" fontId="5" fillId="7" borderId="28" xfId="0" applyFont="1" applyFill="1" applyBorder="1"/>
    <xf numFmtId="0" fontId="5" fillId="7" borderId="29" xfId="0" applyFont="1" applyFill="1" applyBorder="1"/>
    <xf numFmtId="0" fontId="1" fillId="0" borderId="31" xfId="0" applyFont="1" applyBorder="1"/>
    <xf numFmtId="0" fontId="1" fillId="7" borderId="28" xfId="0" applyFont="1" applyFill="1" applyBorder="1"/>
    <xf numFmtId="0" fontId="5" fillId="0" borderId="26" xfId="0" applyFont="1" applyBorder="1"/>
    <xf numFmtId="0" fontId="1" fillId="0" borderId="27" xfId="0" applyFont="1" applyBorder="1"/>
    <xf numFmtId="0" fontId="5" fillId="5" borderId="1" xfId="0" applyFont="1" applyFill="1" applyBorder="1"/>
    <xf numFmtId="0" fontId="5" fillId="0" borderId="0" xfId="0" applyFont="1"/>
    <xf numFmtId="166" fontId="1" fillId="0" borderId="0" xfId="0" applyNumberFormat="1" applyFont="1"/>
    <xf numFmtId="22" fontId="1" fillId="0" borderId="0" xfId="0" applyNumberFormat="1" applyFont="1"/>
    <xf numFmtId="0" fontId="9" fillId="5" borderId="1" xfId="0" applyFont="1" applyFill="1" applyBorder="1"/>
    <xf numFmtId="0" fontId="10" fillId="0" borderId="0" xfId="0" applyFont="1"/>
    <xf numFmtId="0" fontId="1" fillId="7" borderId="32" xfId="0" applyFont="1" applyFill="1" applyBorder="1"/>
    <xf numFmtId="0" fontId="5" fillId="7" borderId="33" xfId="0" applyFont="1" applyFill="1" applyBorder="1"/>
    <xf numFmtId="0" fontId="5" fillId="0" borderId="34" xfId="0" applyFont="1" applyBorder="1"/>
    <xf numFmtId="0" fontId="1" fillId="0" borderId="34" xfId="0" applyFont="1" applyBorder="1"/>
    <xf numFmtId="10" fontId="10" fillId="0" borderId="0" xfId="0" applyNumberFormat="1" applyFont="1"/>
    <xf numFmtId="0" fontId="5" fillId="7" borderId="28" xfId="0" applyFont="1" applyFill="1" applyBorder="1" applyAlignment="1">
      <alignment horizontal="left"/>
    </xf>
    <xf numFmtId="0" fontId="5" fillId="7" borderId="1" xfId="0" applyFont="1" applyFill="1" applyBorder="1" applyAlignment="1">
      <alignment horizontal="left"/>
    </xf>
    <xf numFmtId="0" fontId="5" fillId="7" borderId="29" xfId="0" applyFont="1" applyFill="1" applyBorder="1" applyAlignment="1">
      <alignment horizontal="left"/>
    </xf>
    <xf numFmtId="0" fontId="0" fillId="0" borderId="23" xfId="0" applyBorder="1"/>
    <xf numFmtId="0" fontId="0" fillId="0" borderId="41" xfId="0" applyBorder="1"/>
    <xf numFmtId="0" fontId="16" fillId="0" borderId="42" xfId="0" applyFont="1" applyBorder="1" applyAlignment="1">
      <alignment horizontal="center"/>
    </xf>
    <xf numFmtId="0" fontId="16" fillId="0" borderId="42" xfId="0" applyFont="1" applyBorder="1" applyAlignment="1">
      <alignment horizontal="centerContinuous"/>
    </xf>
    <xf numFmtId="167" fontId="16" fillId="0" borderId="42" xfId="0" applyNumberFormat="1" applyFont="1" applyBorder="1" applyAlignment="1">
      <alignment horizontal="centerContinuous"/>
    </xf>
    <xf numFmtId="167" fontId="0" fillId="0" borderId="23" xfId="0" applyNumberFormat="1" applyBorder="1"/>
    <xf numFmtId="167" fontId="0" fillId="0" borderId="41" xfId="0" applyNumberFormat="1" applyBorder="1"/>
    <xf numFmtId="0" fontId="0" fillId="0" borderId="0" xfId="0" pivotButton="1"/>
    <xf numFmtId="0" fontId="0" fillId="0" borderId="0" xfId="0" applyAlignment="1">
      <alignment horizontal="left"/>
    </xf>
    <xf numFmtId="0" fontId="1" fillId="4" borderId="9" xfId="0" applyFont="1" applyFill="1" applyBorder="1" applyAlignment="1">
      <alignment wrapText="1"/>
    </xf>
    <xf numFmtId="0" fontId="2" fillId="0" borderId="10" xfId="0" applyFont="1" applyBorder="1"/>
    <xf numFmtId="0" fontId="2" fillId="0" borderId="11" xfId="0" applyFont="1" applyBorder="1"/>
    <xf numFmtId="0" fontId="1" fillId="2" borderId="15" xfId="0" applyFont="1" applyFill="1" applyBorder="1" applyAlignment="1">
      <alignment horizontal="left" vertical="center" wrapText="1"/>
    </xf>
    <xf numFmtId="0" fontId="2" fillId="0" borderId="16" xfId="0" applyFont="1" applyBorder="1"/>
    <xf numFmtId="0" fontId="2" fillId="0" borderId="17" xfId="0" applyFont="1" applyBorder="1"/>
    <xf numFmtId="0" fontId="2" fillId="0" borderId="18" xfId="0" applyFont="1" applyBorder="1"/>
    <xf numFmtId="0" fontId="0" fillId="0" borderId="0" xfId="0"/>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6" fillId="2" borderId="9" xfId="0" applyFont="1" applyFill="1" applyBorder="1" applyAlignment="1">
      <alignment horizontal="left"/>
    </xf>
    <xf numFmtId="0" fontId="1" fillId="2" borderId="3" xfId="0" applyFont="1" applyFill="1" applyBorder="1" applyAlignment="1">
      <alignment horizontal="center"/>
    </xf>
    <xf numFmtId="0" fontId="2" fillId="0" borderId="7" xfId="0" applyFont="1" applyBorder="1"/>
    <xf numFmtId="0" fontId="2" fillId="0" borderId="23" xfId="0" applyFont="1" applyBorder="1"/>
    <xf numFmtId="49" fontId="1" fillId="2" borderId="4" xfId="0" applyNumberFormat="1" applyFont="1" applyFill="1" applyBorder="1" applyAlignment="1">
      <alignment horizontal="left" vertical="center" wrapText="1"/>
    </xf>
    <xf numFmtId="0" fontId="2" fillId="0" borderId="5" xfId="0" applyFont="1" applyBorder="1"/>
    <xf numFmtId="0" fontId="2" fillId="0" borderId="6" xfId="0" applyFont="1" applyBorder="1"/>
    <xf numFmtId="0" fontId="3" fillId="2" borderId="9" xfId="0" applyFont="1" applyFill="1" applyBorder="1" applyAlignment="1">
      <alignment horizontal="left"/>
    </xf>
    <xf numFmtId="0" fontId="4" fillId="2" borderId="9" xfId="0" applyFont="1" applyFill="1" applyBorder="1" applyAlignment="1">
      <alignment horizontal="left"/>
    </xf>
    <xf numFmtId="0" fontId="1" fillId="2" borderId="15" xfId="0" applyFont="1" applyFill="1" applyBorder="1" applyAlignment="1">
      <alignment vertical="center" wrapText="1"/>
    </xf>
    <xf numFmtId="0" fontId="1" fillId="2" borderId="12" xfId="0" applyFont="1" applyFill="1" applyBorder="1" applyAlignment="1">
      <alignment horizontal="left" vertical="center" wrapText="1"/>
    </xf>
    <xf numFmtId="0" fontId="2" fillId="0" borderId="13" xfId="0" applyFont="1" applyBorder="1"/>
    <xf numFmtId="0" fontId="2" fillId="0" borderId="14" xfId="0" applyFont="1" applyBorder="1"/>
    <xf numFmtId="49" fontId="1" fillId="3" borderId="9" xfId="0" applyNumberFormat="1" applyFont="1" applyFill="1" applyBorder="1" applyAlignment="1">
      <alignment horizontal="left" vertical="center" wrapText="1"/>
    </xf>
    <xf numFmtId="0" fontId="5" fillId="6" borderId="24" xfId="0" applyFont="1" applyFill="1" applyBorder="1" applyAlignment="1">
      <alignment horizontal="center" vertical="center"/>
    </xf>
    <xf numFmtId="0" fontId="2" fillId="0" borderId="25" xfId="0" applyFont="1" applyBorder="1"/>
    <xf numFmtId="0" fontId="2" fillId="0" borderId="26" xfId="0" applyFont="1" applyBorder="1"/>
    <xf numFmtId="0" fontId="2" fillId="0" borderId="27" xfId="0" applyFont="1" applyBorder="1"/>
    <xf numFmtId="0" fontId="5" fillId="7" borderId="35" xfId="0" applyFont="1" applyFill="1" applyBorder="1" applyAlignment="1">
      <alignment horizontal="left"/>
    </xf>
    <xf numFmtId="0" fontId="2" fillId="0" borderId="36" xfId="0" applyFont="1" applyBorder="1"/>
    <xf numFmtId="0" fontId="2" fillId="0" borderId="37" xfId="0" applyFont="1" applyBorder="1"/>
    <xf numFmtId="0" fontId="1" fillId="0" borderId="30" xfId="0" applyFont="1" applyBorder="1" applyAlignment="1">
      <alignment horizontal="left" vertical="top"/>
    </xf>
    <xf numFmtId="0" fontId="2" fillId="0" borderId="31" xfId="0" applyFont="1" applyBorder="1"/>
    <xf numFmtId="0" fontId="2" fillId="0" borderId="30" xfId="0" applyFont="1" applyBorder="1"/>
    <xf numFmtId="0" fontId="5" fillId="7" borderId="38" xfId="0" applyFont="1" applyFill="1" applyBorder="1" applyAlignment="1">
      <alignment horizontal="left"/>
    </xf>
    <xf numFmtId="0" fontId="2" fillId="0" borderId="39" xfId="0" applyFont="1" applyBorder="1"/>
    <xf numFmtId="0" fontId="2" fillId="0" borderId="4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auty Gwebu" refreshedDate="46111.384343518519" createdVersion="8" refreshedVersion="8" minRefreshableVersion="3" recordCount="412" xr:uid="{C78FE178-06C7-1841-B80C-53F3E4C9F3ED}">
  <cacheSource type="worksheet">
    <worksheetSource ref="A1:I413" sheet="Question 2 &amp; 3 Data"/>
  </cacheSource>
  <cacheFields count="12">
    <cacheField name="InvoiceId" numFmtId="0">
      <sharedItems containsSemiMixedTypes="0" containsString="0" containsNumber="1" containsInteger="1" minValue="1" maxValue="412"/>
    </cacheField>
    <cacheField name="CustomerId" numFmtId="0">
      <sharedItems containsSemiMixedTypes="0" containsString="0" containsNumber="1" containsInteger="1" minValue="1" maxValue="59"/>
    </cacheField>
    <cacheField name="InvoiceMonth" numFmtId="166">
      <sharedItems containsSemiMixedTypes="0" containsNonDate="0" containsDate="1" containsString="0" minDate="2009-01-01T00:00:00" maxDate="2013-12-23T00:00:00" count="354">
        <d v="2009-01-01T00:00:00"/>
        <d v="2009-01-02T00:00:00"/>
        <d v="2009-01-03T00:00:00"/>
        <d v="2009-01-06T00:00:00"/>
        <d v="2009-01-11T00:00:00"/>
        <d v="2009-01-19T00:00:00"/>
        <d v="2009-02-01T00:00:00"/>
        <d v="2009-02-02T00:00:00"/>
        <d v="2009-02-03T00:00:00"/>
        <d v="2009-02-06T00:00:00"/>
        <d v="2009-02-11T00:00:00"/>
        <d v="2009-02-19T00:00:00"/>
        <d v="2009-03-04T00:00:00"/>
        <d v="2009-03-05T00:00:00"/>
        <d v="2009-03-06T00:00:00"/>
        <d v="2009-03-09T00:00:00"/>
        <d v="2009-03-14T00:00:00"/>
        <d v="2009-03-22T00:00:00"/>
        <d v="2009-04-04T00:00:00"/>
        <d v="2009-04-05T00:00:00"/>
        <d v="2009-04-06T00:00:00"/>
        <d v="2009-04-09T00:00:00"/>
        <d v="2009-04-14T00:00:00"/>
        <d v="2009-04-22T00:00:00"/>
        <d v="2009-05-05T00:00:00"/>
        <d v="2009-05-06T00:00:00"/>
        <d v="2009-05-07T00:00:00"/>
        <d v="2009-05-10T00:00:00"/>
        <d v="2009-05-15T00:00:00"/>
        <d v="2009-05-23T00:00:00"/>
        <d v="2009-06-05T00:00:00"/>
        <d v="2009-06-06T00:00:00"/>
        <d v="2009-06-07T00:00:00"/>
        <d v="2009-06-10T00:00:00"/>
        <d v="2009-06-15T00:00:00"/>
        <d v="2009-06-23T00:00:00"/>
        <d v="2009-07-06T00:00:00"/>
        <d v="2009-07-07T00:00:00"/>
        <d v="2009-07-08T00:00:00"/>
        <d v="2009-07-11T00:00:00"/>
        <d v="2009-07-16T00:00:00"/>
        <d v="2009-07-24T00:00:00"/>
        <d v="2009-08-06T00:00:00"/>
        <d v="2009-08-07T00:00:00"/>
        <d v="2009-08-08T00:00:00"/>
        <d v="2009-08-11T00:00:00"/>
        <d v="2009-08-16T00:00:00"/>
        <d v="2009-08-24T00:00:00"/>
        <d v="2009-09-06T00:00:00"/>
        <d v="2009-09-07T00:00:00"/>
        <d v="2009-09-08T00:00:00"/>
        <d v="2009-09-11T00:00:00"/>
        <d v="2009-09-16T00:00:00"/>
        <d v="2009-09-24T00:00:00"/>
        <d v="2009-10-07T00:00:00"/>
        <d v="2009-10-08T00:00:00"/>
        <d v="2009-10-09T00:00:00"/>
        <d v="2009-10-12T00:00:00"/>
        <d v="2009-10-17T00:00:00"/>
        <d v="2009-10-25T00:00:00"/>
        <d v="2009-11-07T00:00:00"/>
        <d v="2009-11-08T00:00:00"/>
        <d v="2009-11-09T00:00:00"/>
        <d v="2009-11-12T00:00:00"/>
        <d v="2009-11-17T00:00:00"/>
        <d v="2009-11-25T00:00:00"/>
        <d v="2009-12-08T00:00:00"/>
        <d v="2009-12-09T00:00:00"/>
        <d v="2009-12-10T00:00:00"/>
        <d v="2009-12-13T00:00:00"/>
        <d v="2009-12-18T00:00:00"/>
        <d v="2009-12-26T00:00:00"/>
        <d v="2010-01-08T00:00:00"/>
        <d v="2010-01-09T00:00:00"/>
        <d v="2010-01-10T00:00:00"/>
        <d v="2010-01-13T00:00:00"/>
        <d v="2010-01-18T00:00:00"/>
        <d v="2010-01-26T00:00:00"/>
        <d v="2010-02-08T00:00:00"/>
        <d v="2010-02-09T00:00:00"/>
        <d v="2010-02-10T00:00:00"/>
        <d v="2010-02-13T00:00:00"/>
        <d v="2010-02-18T00:00:00"/>
        <d v="2010-02-26T00:00:00"/>
        <d v="2010-03-11T00:00:00"/>
        <d v="2010-03-12T00:00:00"/>
        <d v="2010-03-13T00:00:00"/>
        <d v="2010-03-16T00:00:00"/>
        <d v="2010-03-21T00:00:00"/>
        <d v="2010-03-29T00:00:00"/>
        <d v="2010-04-11T00:00:00"/>
        <d v="2010-04-12T00:00:00"/>
        <d v="2010-04-13T00:00:00"/>
        <d v="2010-04-16T00:00:00"/>
        <d v="2010-04-21T00:00:00"/>
        <d v="2010-04-29T00:00:00"/>
        <d v="2010-05-12T00:00:00"/>
        <d v="2010-05-13T00:00:00"/>
        <d v="2010-05-14T00:00:00"/>
        <d v="2010-05-17T00:00:00"/>
        <d v="2010-05-22T00:00:00"/>
        <d v="2010-05-30T00:00:00"/>
        <d v="2010-06-12T00:00:00"/>
        <d v="2010-06-13T00:00:00"/>
        <d v="2010-06-14T00:00:00"/>
        <d v="2010-06-17T00:00:00"/>
        <d v="2010-06-22T00:00:00"/>
        <d v="2010-06-30T00:00:00"/>
        <d v="2010-07-13T00:00:00"/>
        <d v="2010-07-14T00:00:00"/>
        <d v="2010-07-15T00:00:00"/>
        <d v="2010-07-18T00:00:00"/>
        <d v="2010-07-23T00:00:00"/>
        <d v="2010-07-31T00:00:00"/>
        <d v="2010-08-13T00:00:00"/>
        <d v="2010-08-14T00:00:00"/>
        <d v="2010-08-15T00:00:00"/>
        <d v="2010-08-18T00:00:00"/>
        <d v="2010-08-23T00:00:00"/>
        <d v="2010-08-31T00:00:00"/>
        <d v="2010-09-13T00:00:00"/>
        <d v="2010-09-14T00:00:00"/>
        <d v="2010-09-15T00:00:00"/>
        <d v="2010-09-18T00:00:00"/>
        <d v="2010-09-23T00:00:00"/>
        <d v="2010-10-01T00:00:00"/>
        <d v="2010-10-14T00:00:00"/>
        <d v="2010-10-15T00:00:00"/>
        <d v="2010-10-16T00:00:00"/>
        <d v="2010-10-19T00:00:00"/>
        <d v="2010-10-24T00:00:00"/>
        <d v="2010-11-01T00:00:00"/>
        <d v="2010-11-14T00:00:00"/>
        <d v="2010-11-15T00:00:00"/>
        <d v="2010-11-16T00:00:00"/>
        <d v="2010-11-19T00:00:00"/>
        <d v="2010-11-24T00:00:00"/>
        <d v="2010-12-02T00:00:00"/>
        <d v="2010-12-15T00:00:00"/>
        <d v="2010-12-16T00:00:00"/>
        <d v="2010-12-17T00:00:00"/>
        <d v="2010-12-20T00:00:00"/>
        <d v="2010-12-25T00:00:00"/>
        <d v="2011-01-02T00:00:00"/>
        <d v="2011-01-15T00:00:00"/>
        <d v="2011-01-16T00:00:00"/>
        <d v="2011-01-17T00:00:00"/>
        <d v="2011-01-20T00:00:00"/>
        <d v="2011-01-25T00:00:00"/>
        <d v="2011-02-02T00:00:00"/>
        <d v="2011-02-15T00:00:00"/>
        <d v="2011-02-16T00:00:00"/>
        <d v="2011-02-17T00:00:00"/>
        <d v="2011-02-20T00:00:00"/>
        <d v="2011-02-25T00:00:00"/>
        <d v="2011-03-05T00:00:00"/>
        <d v="2011-03-18T00:00:00"/>
        <d v="2011-03-19T00:00:00"/>
        <d v="2011-03-20T00:00:00"/>
        <d v="2011-03-23T00:00:00"/>
        <d v="2011-03-28T00:00:00"/>
        <d v="2011-04-05T00:00:00"/>
        <d v="2011-04-18T00:00:00"/>
        <d v="2011-04-19T00:00:00"/>
        <d v="2011-04-20T00:00:00"/>
        <d v="2011-04-23T00:00:00"/>
        <d v="2011-04-28T00:00:00"/>
        <d v="2011-05-06T00:00:00"/>
        <d v="2011-05-19T00:00:00"/>
        <d v="2011-05-20T00:00:00"/>
        <d v="2011-05-21T00:00:00"/>
        <d v="2011-05-24T00:00:00"/>
        <d v="2011-05-29T00:00:00"/>
        <d v="2011-06-06T00:00:00"/>
        <d v="2011-06-19T00:00:00"/>
        <d v="2011-06-20T00:00:00"/>
        <d v="2011-06-21T00:00:00"/>
        <d v="2011-06-24T00:00:00"/>
        <d v="2011-06-29T00:00:00"/>
        <d v="2011-07-07T00:00:00"/>
        <d v="2011-07-20T00:00:00"/>
        <d v="2011-07-21T00:00:00"/>
        <d v="2011-07-22T00:00:00"/>
        <d v="2011-07-25T00:00:00"/>
        <d v="2011-07-30T00:00:00"/>
        <d v="2011-08-07T00:00:00"/>
        <d v="2011-08-20T00:00:00"/>
        <d v="2011-08-21T00:00:00"/>
        <d v="2011-08-22T00:00:00"/>
        <d v="2011-08-25T00:00:00"/>
        <d v="2011-08-30T00:00:00"/>
        <d v="2011-09-07T00:00:00"/>
        <d v="2011-09-20T00:00:00"/>
        <d v="2011-09-21T00:00:00"/>
        <d v="2011-09-22T00:00:00"/>
        <d v="2011-09-25T00:00:00"/>
        <d v="2011-09-30T00:00:00"/>
        <d v="2011-10-08T00:00:00"/>
        <d v="2011-10-21T00:00:00"/>
        <d v="2011-10-22T00:00:00"/>
        <d v="2011-10-23T00:00:00"/>
        <d v="2011-10-26T00:00:00"/>
        <d v="2011-10-31T00:00:00"/>
        <d v="2011-11-08T00:00:00"/>
        <d v="2011-11-21T00:00:00"/>
        <d v="2011-11-22T00:00:00"/>
        <d v="2011-11-23T00:00:00"/>
        <d v="2011-11-26T00:00:00"/>
        <d v="2011-12-01T00:00:00"/>
        <d v="2011-12-09T00:00:00"/>
        <d v="2011-12-22T00:00:00"/>
        <d v="2011-12-23T00:00:00"/>
        <d v="2011-12-24T00:00:00"/>
        <d v="2011-12-27T00:00:00"/>
        <d v="2012-01-01T00:00:00"/>
        <d v="2012-01-09T00:00:00"/>
        <d v="2012-01-22T00:00:00"/>
        <d v="2012-01-23T00:00:00"/>
        <d v="2012-01-24T00:00:00"/>
        <d v="2012-01-27T00:00:00"/>
        <d v="2012-02-01T00:00:00"/>
        <d v="2012-02-09T00:00:00"/>
        <d v="2012-02-22T00:00:00"/>
        <d v="2012-02-23T00:00:00"/>
        <d v="2012-02-24T00:00:00"/>
        <d v="2012-02-27T00:00:00"/>
        <d v="2012-03-03T00:00:00"/>
        <d v="2012-03-11T00:00:00"/>
        <d v="2012-03-24T00:00:00"/>
        <d v="2012-03-25T00:00:00"/>
        <d v="2012-03-26T00:00:00"/>
        <d v="2012-03-29T00:00:00"/>
        <d v="2012-04-03T00:00:00"/>
        <d v="2012-04-11T00:00:00"/>
        <d v="2012-04-24T00:00:00"/>
        <d v="2012-04-25T00:00:00"/>
        <d v="2012-04-26T00:00:00"/>
        <d v="2012-04-29T00:00:00"/>
        <d v="2012-05-04T00:00:00"/>
        <d v="2012-05-12T00:00:00"/>
        <d v="2012-05-25T00:00:00"/>
        <d v="2012-05-26T00:00:00"/>
        <d v="2012-05-27T00:00:00"/>
        <d v="2012-05-30T00:00:00"/>
        <d v="2012-06-04T00:00:00"/>
        <d v="2012-06-12T00:00:00"/>
        <d v="2012-06-25T00:00:00"/>
        <d v="2012-06-26T00:00:00"/>
        <d v="2012-06-27T00:00:00"/>
        <d v="2012-06-30T00:00:00"/>
        <d v="2012-07-05T00:00:00"/>
        <d v="2012-07-13T00:00:00"/>
        <d v="2012-07-26T00:00:00"/>
        <d v="2012-07-27T00:00:00"/>
        <d v="2012-07-28T00:00:00"/>
        <d v="2012-07-31T00:00:00"/>
        <d v="2012-08-05T00:00:00"/>
        <d v="2012-08-13T00:00:00"/>
        <d v="2012-08-26T00:00:00"/>
        <d v="2012-08-27T00:00:00"/>
        <d v="2012-08-28T00:00:00"/>
        <d v="2012-08-31T00:00:00"/>
        <d v="2012-09-05T00:00:00"/>
        <d v="2012-09-13T00:00:00"/>
        <d v="2012-09-26T00:00:00"/>
        <d v="2012-09-27T00:00:00"/>
        <d v="2012-09-28T00:00:00"/>
        <d v="2012-10-01T00:00:00"/>
        <d v="2012-10-06T00:00:00"/>
        <d v="2012-10-14T00:00:00"/>
        <d v="2012-10-27T00:00:00"/>
        <d v="2012-10-28T00:00:00"/>
        <d v="2012-10-29T00:00:00"/>
        <d v="2012-11-01T00:00:00"/>
        <d v="2012-11-06T00:00:00"/>
        <d v="2012-11-14T00:00:00"/>
        <d v="2012-11-27T00:00:00"/>
        <d v="2012-11-28T00:00:00"/>
        <d v="2012-11-29T00:00:00"/>
        <d v="2012-12-02T00:00:00"/>
        <d v="2012-12-07T00:00:00"/>
        <d v="2012-12-15T00:00:00"/>
        <d v="2012-12-28T00:00:00"/>
        <d v="2012-12-29T00:00:00"/>
        <d v="2012-12-30T00:00:00"/>
        <d v="2013-01-02T00:00:00"/>
        <d v="2013-01-07T00:00:00"/>
        <d v="2013-01-15T00:00:00"/>
        <d v="2013-01-28T00:00:00"/>
        <d v="2013-01-29T00:00:00"/>
        <d v="2013-01-30T00:00:00"/>
        <d v="2013-02-02T00:00:00"/>
        <d v="2013-02-07T00:00:00"/>
        <d v="2013-02-15T00:00:00"/>
        <d v="2013-02-28T00:00:00"/>
        <d v="2013-03-01T00:00:00"/>
        <d v="2013-03-02T00:00:00"/>
        <d v="2013-03-05T00:00:00"/>
        <d v="2013-03-10T00:00:00"/>
        <d v="2013-03-18T00:00:00"/>
        <d v="2013-03-31T00:00:00"/>
        <d v="2013-04-01T00:00:00"/>
        <d v="2013-04-02T00:00:00"/>
        <d v="2013-04-05T00:00:00"/>
        <d v="2013-04-10T00:00:00"/>
        <d v="2013-04-18T00:00:00"/>
        <d v="2013-05-01T00:00:00"/>
        <d v="2013-05-02T00:00:00"/>
        <d v="2013-05-03T00:00:00"/>
        <d v="2013-05-06T00:00:00"/>
        <d v="2013-05-11T00:00:00"/>
        <d v="2013-05-19T00:00:00"/>
        <d v="2013-06-01T00:00:00"/>
        <d v="2013-06-02T00:00:00"/>
        <d v="2013-06-03T00:00:00"/>
        <d v="2013-06-06T00:00:00"/>
        <d v="2013-06-11T00:00:00"/>
        <d v="2013-06-19T00:00:00"/>
        <d v="2013-07-02T00:00:00"/>
        <d v="2013-07-03T00:00:00"/>
        <d v="2013-07-04T00:00:00"/>
        <d v="2013-07-07T00:00:00"/>
        <d v="2013-07-12T00:00:00"/>
        <d v="2013-07-20T00:00:00"/>
        <d v="2013-08-02T00:00:00"/>
        <d v="2013-08-03T00:00:00"/>
        <d v="2013-08-04T00:00:00"/>
        <d v="2013-08-07T00:00:00"/>
        <d v="2013-08-12T00:00:00"/>
        <d v="2013-08-20T00:00:00"/>
        <d v="2013-09-02T00:00:00"/>
        <d v="2013-09-03T00:00:00"/>
        <d v="2013-09-04T00:00:00"/>
        <d v="2013-09-07T00:00:00"/>
        <d v="2013-09-12T00:00:00"/>
        <d v="2013-09-20T00:00:00"/>
        <d v="2013-10-03T00:00:00"/>
        <d v="2013-10-04T00:00:00"/>
        <d v="2013-10-05T00:00:00"/>
        <d v="2013-10-08T00:00:00"/>
        <d v="2013-10-13T00:00:00"/>
        <d v="2013-10-21T00:00:00"/>
        <d v="2013-11-03T00:00:00"/>
        <d v="2013-11-04T00:00:00"/>
        <d v="2013-11-05T00:00:00"/>
        <d v="2013-11-08T00:00:00"/>
        <d v="2013-11-13T00:00:00"/>
        <d v="2013-11-21T00:00:00"/>
        <d v="2013-12-04T00:00:00"/>
        <d v="2013-12-05T00:00:00"/>
        <d v="2013-12-06T00:00:00"/>
        <d v="2013-12-09T00:00:00"/>
        <d v="2013-12-14T00:00:00"/>
        <d v="2013-12-22T00:00:00"/>
      </sharedItems>
      <fieldGroup par="11"/>
    </cacheField>
    <cacheField name="SalesDate" numFmtId="22">
      <sharedItems containsSemiMixedTypes="0" containsNonDate="0" containsDate="1" containsString="0" minDate="2009-01-01T00:00:00" maxDate="2013-12-23T00:00:00"/>
    </cacheField>
    <cacheField name="BillingAddress" numFmtId="0">
      <sharedItems/>
    </cacheField>
    <cacheField name="BillingCity" numFmtId="0">
      <sharedItems/>
    </cacheField>
    <cacheField name="BillingState" numFmtId="0">
      <sharedItems containsBlank="1"/>
    </cacheField>
    <cacheField name="BillingCountry" numFmtId="0">
      <sharedItems count="24">
        <s v="Germany"/>
        <s v="Norway"/>
        <s v="Belgium"/>
        <s v="Canada"/>
        <s v="US"/>
        <s v="France"/>
        <s v="Ireland"/>
        <s v="UK"/>
        <s v="Australia"/>
        <s v="Chile"/>
        <s v="India"/>
        <s v="Brazil"/>
        <s v="Portugal"/>
        <s v="Netherlands"/>
        <s v="Spain"/>
        <s v="Sweden"/>
        <s v="Czech Republic"/>
        <s v="Finland"/>
        <s v="Denmark"/>
        <s v="Italy"/>
        <s v="Poland"/>
        <s v="Austria"/>
        <s v="Hungary"/>
        <s v="Argentina"/>
      </sharedItems>
    </cacheField>
    <cacheField name="SalesAmount" numFmtId="0">
      <sharedItems containsSemiMixedTypes="0" containsString="0" containsNumber="1" minValue="0.99" maxValue="25.86"/>
    </cacheField>
    <cacheField name="Months (InvoiceMonth)" numFmtId="0" databaseField="0">
      <fieldGroup base="2">
        <rangePr groupBy="months" startDate="2009-01-01T00:00:00" endDate="2013-12-23T00:00:00"/>
        <groupItems count="14">
          <s v="&lt;2009/01/01"/>
          <s v="Jan"/>
          <s v="Feb"/>
          <s v="Mar"/>
          <s v="Apr"/>
          <s v="May"/>
          <s v="Jun"/>
          <s v="Jul"/>
          <s v="Aug"/>
          <s v="Sep"/>
          <s v="Oct"/>
          <s v="Nov"/>
          <s v="Dec"/>
          <s v="&gt;2013/12/23"/>
        </groupItems>
      </fieldGroup>
    </cacheField>
    <cacheField name="Quarters (InvoiceMonth)" numFmtId="0" databaseField="0">
      <fieldGroup base="2">
        <rangePr groupBy="quarters" startDate="2009-01-01T00:00:00" endDate="2013-12-23T00:00:00"/>
        <groupItems count="6">
          <s v="&lt;2009/01/01"/>
          <s v="Qtr1"/>
          <s v="Qtr2"/>
          <s v="Qtr3"/>
          <s v="Qtr4"/>
          <s v="&gt;2013/12/23"/>
        </groupItems>
      </fieldGroup>
    </cacheField>
    <cacheField name="Years (InvoiceMonth)" numFmtId="0" databaseField="0">
      <fieldGroup base="2">
        <rangePr groupBy="years" startDate="2009-01-01T00:00:00" endDate="2013-12-23T00:00:00"/>
        <groupItems count="7">
          <s v="&lt;2009/01/01"/>
          <s v="2009"/>
          <s v="2010"/>
          <s v="2011"/>
          <s v="2012"/>
          <s v="2013"/>
          <s v="&gt;2013/12/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2">
  <r>
    <n v="1"/>
    <n v="2"/>
    <x v="0"/>
    <d v="2009-01-01T00:00:00"/>
    <s v="Theodor-Heuss-Straße 34"/>
    <s v="Stuttgart"/>
    <m/>
    <x v="0"/>
    <n v="1.98"/>
  </r>
  <r>
    <n v="2"/>
    <n v="4"/>
    <x v="1"/>
    <d v="2009-01-02T00:00:00"/>
    <s v="Ullevålsveien 14"/>
    <s v="Oslo"/>
    <m/>
    <x v="1"/>
    <n v="3.96"/>
  </r>
  <r>
    <n v="3"/>
    <n v="8"/>
    <x v="2"/>
    <d v="2009-01-03T00:00:00"/>
    <s v="Grétrystraat 63"/>
    <s v="Brussels"/>
    <m/>
    <x v="2"/>
    <n v="5.94"/>
  </r>
  <r>
    <n v="4"/>
    <n v="14"/>
    <x v="3"/>
    <d v="2009-01-06T00:00:00"/>
    <s v="8210 111 ST NW"/>
    <s v="Edmonton"/>
    <s v="AB"/>
    <x v="3"/>
    <n v="8.91"/>
  </r>
  <r>
    <n v="5"/>
    <n v="23"/>
    <x v="4"/>
    <d v="2009-01-11T00:00:00"/>
    <s v="69 Salem Street"/>
    <s v="Boston"/>
    <s v="MA"/>
    <x v="4"/>
    <n v="13.86"/>
  </r>
  <r>
    <n v="6"/>
    <n v="37"/>
    <x v="5"/>
    <d v="2009-01-19T00:00:00"/>
    <s v="Berger Straße 10"/>
    <s v="Frankfurt"/>
    <m/>
    <x v="0"/>
    <n v="0.99"/>
  </r>
  <r>
    <n v="7"/>
    <n v="38"/>
    <x v="6"/>
    <d v="2009-02-01T00:00:00"/>
    <s v="Barbarossastraße 19"/>
    <s v="Berlin"/>
    <m/>
    <x v="0"/>
    <n v="1.98"/>
  </r>
  <r>
    <n v="8"/>
    <n v="40"/>
    <x v="6"/>
    <d v="2009-02-01T00:00:00"/>
    <s v="8, Rue Hanovre"/>
    <s v="Paris"/>
    <m/>
    <x v="5"/>
    <n v="1.98"/>
  </r>
  <r>
    <n v="9"/>
    <n v="42"/>
    <x v="7"/>
    <d v="2009-02-02T00:00:00"/>
    <s v="9, Place Louis Barthou"/>
    <s v="Bordeaux"/>
    <m/>
    <x v="5"/>
    <n v="3.96"/>
  </r>
  <r>
    <n v="10"/>
    <n v="46"/>
    <x v="8"/>
    <d v="2009-02-03T00:00:00"/>
    <s v="3 Chatham Street"/>
    <s v="Dublin"/>
    <s v="Dublin"/>
    <x v="6"/>
    <n v="5.94"/>
  </r>
  <r>
    <n v="11"/>
    <n v="52"/>
    <x v="9"/>
    <d v="2009-02-06T00:00:00"/>
    <s v="202 Hoxton Street"/>
    <s v="London"/>
    <m/>
    <x v="7"/>
    <n v="8.91"/>
  </r>
  <r>
    <n v="12"/>
    <n v="2"/>
    <x v="10"/>
    <d v="2009-02-11T00:00:00"/>
    <s v="Theodor-Heuss-Straße 34"/>
    <s v="Stuttgart"/>
    <m/>
    <x v="0"/>
    <n v="13.86"/>
  </r>
  <r>
    <n v="13"/>
    <n v="16"/>
    <x v="11"/>
    <d v="2009-02-19T00:00:00"/>
    <s v="1600 Amphitheatre Parkway"/>
    <s v="Mountain View"/>
    <s v="CA"/>
    <x v="4"/>
    <n v="0.99"/>
  </r>
  <r>
    <n v="14"/>
    <n v="17"/>
    <x v="12"/>
    <d v="2009-03-04T00:00:00"/>
    <s v="1 Microsoft Way"/>
    <s v="Redmond"/>
    <s v="WA"/>
    <x v="4"/>
    <n v="1.98"/>
  </r>
  <r>
    <n v="15"/>
    <n v="19"/>
    <x v="12"/>
    <d v="2009-03-04T00:00:00"/>
    <s v="1 Infinite Loop"/>
    <s v="Cupertino"/>
    <s v="CA"/>
    <x v="4"/>
    <n v="1.98"/>
  </r>
  <r>
    <n v="16"/>
    <n v="21"/>
    <x v="13"/>
    <d v="2009-03-05T00:00:00"/>
    <s v="801 W 4th Street"/>
    <s v="Reno"/>
    <s v="NV"/>
    <x v="4"/>
    <n v="3.96"/>
  </r>
  <r>
    <n v="17"/>
    <n v="25"/>
    <x v="14"/>
    <d v="2009-03-06T00:00:00"/>
    <s v="319 N. Frances Street"/>
    <s v="Madison"/>
    <s v="WI"/>
    <x v="4"/>
    <n v="5.94"/>
  </r>
  <r>
    <n v="18"/>
    <n v="31"/>
    <x v="15"/>
    <d v="2009-03-09T00:00:00"/>
    <s v="194A Chain Lake Drive"/>
    <s v="Halifax"/>
    <s v="NS"/>
    <x v="3"/>
    <n v="8.91"/>
  </r>
  <r>
    <n v="19"/>
    <n v="40"/>
    <x v="16"/>
    <d v="2009-03-14T00:00:00"/>
    <s v="8, Rue Hanovre"/>
    <s v="Paris"/>
    <m/>
    <x v="5"/>
    <n v="13.86"/>
  </r>
  <r>
    <n v="20"/>
    <n v="54"/>
    <x v="17"/>
    <d v="2009-03-22T00:00:00"/>
    <s v="110 Raeburn Pl"/>
    <s v="Edinburgh "/>
    <m/>
    <x v="7"/>
    <n v="0.99"/>
  </r>
  <r>
    <n v="21"/>
    <n v="55"/>
    <x v="18"/>
    <d v="2009-04-04T00:00:00"/>
    <s v="421 Bourke Street"/>
    <s v="Sidney"/>
    <s v="NSW"/>
    <x v="8"/>
    <n v="1.98"/>
  </r>
  <r>
    <n v="22"/>
    <n v="57"/>
    <x v="18"/>
    <d v="2009-04-04T00:00:00"/>
    <s v="Calle Lira, 198"/>
    <s v="Santiago"/>
    <m/>
    <x v="9"/>
    <n v="1.98"/>
  </r>
  <r>
    <n v="23"/>
    <n v="59"/>
    <x v="19"/>
    <d v="2009-04-05T00:00:00"/>
    <s v="3,Raj Bhavan Road"/>
    <s v="Bangalore"/>
    <m/>
    <x v="10"/>
    <n v="3.96"/>
  </r>
  <r>
    <n v="24"/>
    <n v="4"/>
    <x v="20"/>
    <d v="2009-04-06T00:00:00"/>
    <s v="Ullevålsveien 14"/>
    <s v="Oslo"/>
    <m/>
    <x v="1"/>
    <n v="5.94"/>
  </r>
  <r>
    <n v="25"/>
    <n v="10"/>
    <x v="21"/>
    <d v="2009-04-09T00:00:00"/>
    <s v="Rua Dr. Falcão Filho, 155"/>
    <s v="São Paulo"/>
    <s v="SP"/>
    <x v="11"/>
    <n v="8.91"/>
  </r>
  <r>
    <n v="26"/>
    <n v="19"/>
    <x v="22"/>
    <d v="2009-04-14T00:00:00"/>
    <s v="1 Infinite Loop"/>
    <s v="Cupertino"/>
    <s v="CA"/>
    <x v="4"/>
    <n v="13.86"/>
  </r>
  <r>
    <n v="27"/>
    <n v="33"/>
    <x v="23"/>
    <d v="2009-04-22T00:00:00"/>
    <s v="5112 48 Street"/>
    <s v="Yellowknife"/>
    <s v="NT"/>
    <x v="3"/>
    <n v="0.99"/>
  </r>
  <r>
    <n v="28"/>
    <n v="34"/>
    <x v="24"/>
    <d v="2009-05-05T00:00:00"/>
    <s v="Rua da Assunção 53"/>
    <s v="Lisbon"/>
    <m/>
    <x v="12"/>
    <n v="1.98"/>
  </r>
  <r>
    <n v="29"/>
    <n v="36"/>
    <x v="24"/>
    <d v="2009-05-05T00:00:00"/>
    <s v="Tauentzienstraße 8"/>
    <s v="Berlin"/>
    <m/>
    <x v="0"/>
    <n v="1.98"/>
  </r>
  <r>
    <n v="30"/>
    <n v="38"/>
    <x v="25"/>
    <d v="2009-05-06T00:00:00"/>
    <s v="Barbarossastraße 19"/>
    <s v="Berlin"/>
    <m/>
    <x v="0"/>
    <n v="3.96"/>
  </r>
  <r>
    <n v="31"/>
    <n v="42"/>
    <x v="26"/>
    <d v="2009-05-07T00:00:00"/>
    <s v="9, Place Louis Barthou"/>
    <s v="Bordeaux"/>
    <m/>
    <x v="5"/>
    <n v="5.94"/>
  </r>
  <r>
    <n v="32"/>
    <n v="48"/>
    <x v="27"/>
    <d v="2009-05-10T00:00:00"/>
    <s v="Lijnbaansgracht 120bg"/>
    <s v="Amsterdam"/>
    <s v="VV"/>
    <x v="13"/>
    <n v="8.91"/>
  </r>
  <r>
    <n v="33"/>
    <n v="57"/>
    <x v="28"/>
    <d v="2009-05-15T00:00:00"/>
    <s v="Calle Lira, 198"/>
    <s v="Santiago"/>
    <m/>
    <x v="9"/>
    <n v="13.86"/>
  </r>
  <r>
    <n v="34"/>
    <n v="12"/>
    <x v="29"/>
    <d v="2009-05-23T00:00:00"/>
    <s v="Praça Pio X, 119"/>
    <s v="Rio de Janeiro"/>
    <s v="RJ"/>
    <x v="11"/>
    <n v="0.99"/>
  </r>
  <r>
    <n v="35"/>
    <n v="13"/>
    <x v="30"/>
    <d v="2009-06-05T00:00:00"/>
    <s v="Qe 7 Bloco G"/>
    <s v="Brasília"/>
    <s v="DF"/>
    <x v="11"/>
    <n v="1.98"/>
  </r>
  <r>
    <n v="36"/>
    <n v="15"/>
    <x v="30"/>
    <d v="2009-06-05T00:00:00"/>
    <s v="700 W Pender Street"/>
    <s v="Vancouver"/>
    <s v="BC"/>
    <x v="3"/>
    <n v="1.98"/>
  </r>
  <r>
    <n v="37"/>
    <n v="17"/>
    <x v="31"/>
    <d v="2009-06-06T00:00:00"/>
    <s v="1 Microsoft Way"/>
    <s v="Redmond"/>
    <s v="WA"/>
    <x v="4"/>
    <n v="3.96"/>
  </r>
  <r>
    <n v="38"/>
    <n v="21"/>
    <x v="32"/>
    <d v="2009-06-07T00:00:00"/>
    <s v="801 W 4th Street"/>
    <s v="Reno"/>
    <s v="NV"/>
    <x v="4"/>
    <n v="5.94"/>
  </r>
  <r>
    <n v="39"/>
    <n v="27"/>
    <x v="33"/>
    <d v="2009-06-10T00:00:00"/>
    <s v="1033 N Park Ave"/>
    <s v="Tucson"/>
    <s v="AZ"/>
    <x v="4"/>
    <n v="8.91"/>
  </r>
  <r>
    <n v="40"/>
    <n v="36"/>
    <x v="34"/>
    <d v="2009-06-15T00:00:00"/>
    <s v="Tauentzienstraße 8"/>
    <s v="Berlin"/>
    <m/>
    <x v="0"/>
    <n v="13.86"/>
  </r>
  <r>
    <n v="41"/>
    <n v="50"/>
    <x v="35"/>
    <d v="2009-06-23T00:00:00"/>
    <s v="C/ San Bernardo 85"/>
    <s v="Madrid"/>
    <m/>
    <x v="14"/>
    <n v="0.99"/>
  </r>
  <r>
    <n v="42"/>
    <n v="51"/>
    <x v="36"/>
    <d v="2009-07-06T00:00:00"/>
    <s v="Celsiusg. 9"/>
    <s v="Stockholm"/>
    <m/>
    <x v="15"/>
    <n v="1.98"/>
  </r>
  <r>
    <n v="43"/>
    <n v="53"/>
    <x v="36"/>
    <d v="2009-07-06T00:00:00"/>
    <s v="113 Lupus St"/>
    <s v="London"/>
    <m/>
    <x v="7"/>
    <n v="1.98"/>
  </r>
  <r>
    <n v="44"/>
    <n v="55"/>
    <x v="37"/>
    <d v="2009-07-07T00:00:00"/>
    <s v="421 Bourke Street"/>
    <s v="Sidney"/>
    <s v="NSW"/>
    <x v="8"/>
    <n v="3.96"/>
  </r>
  <r>
    <n v="45"/>
    <n v="59"/>
    <x v="38"/>
    <d v="2009-07-08T00:00:00"/>
    <s v="3,Raj Bhavan Road"/>
    <s v="Bangalore"/>
    <m/>
    <x v="10"/>
    <n v="5.94"/>
  </r>
  <r>
    <n v="46"/>
    <n v="6"/>
    <x v="39"/>
    <d v="2009-07-11T00:00:00"/>
    <s v="Rilská 3174/6"/>
    <s v="Prague"/>
    <m/>
    <x v="16"/>
    <n v="8.91"/>
  </r>
  <r>
    <n v="47"/>
    <n v="15"/>
    <x v="40"/>
    <d v="2009-07-16T00:00:00"/>
    <s v="700 W Pender Street"/>
    <s v="Vancouver"/>
    <s v="BC"/>
    <x v="3"/>
    <n v="13.86"/>
  </r>
  <r>
    <n v="48"/>
    <n v="29"/>
    <x v="41"/>
    <d v="2009-07-24T00:00:00"/>
    <s v="796 Dundas Street West"/>
    <s v="Toronto"/>
    <s v="ON"/>
    <x v="3"/>
    <n v="0.99"/>
  </r>
  <r>
    <n v="49"/>
    <n v="30"/>
    <x v="42"/>
    <d v="2009-08-06T00:00:00"/>
    <s v="230 Elgin Street"/>
    <s v="Ottawa"/>
    <s v="ON"/>
    <x v="3"/>
    <n v="1.98"/>
  </r>
  <r>
    <n v="50"/>
    <n v="32"/>
    <x v="42"/>
    <d v="2009-08-06T00:00:00"/>
    <s v="696 Osborne Street"/>
    <s v="Winnipeg"/>
    <s v="MB"/>
    <x v="3"/>
    <n v="1.98"/>
  </r>
  <r>
    <n v="51"/>
    <n v="34"/>
    <x v="43"/>
    <d v="2009-08-07T00:00:00"/>
    <s v="Rua da Assunção 53"/>
    <s v="Lisbon"/>
    <m/>
    <x v="12"/>
    <n v="3.96"/>
  </r>
  <r>
    <n v="52"/>
    <n v="38"/>
    <x v="44"/>
    <d v="2009-08-08T00:00:00"/>
    <s v="Barbarossastraße 19"/>
    <s v="Berlin"/>
    <m/>
    <x v="0"/>
    <n v="5.94"/>
  </r>
  <r>
    <n v="53"/>
    <n v="44"/>
    <x v="45"/>
    <d v="2009-08-11T00:00:00"/>
    <s v="Porthaninkatu 9"/>
    <s v="Helsinki"/>
    <m/>
    <x v="17"/>
    <n v="8.91"/>
  </r>
  <r>
    <n v="54"/>
    <n v="53"/>
    <x v="46"/>
    <d v="2009-08-16T00:00:00"/>
    <s v="113 Lupus St"/>
    <s v="London"/>
    <m/>
    <x v="7"/>
    <n v="13.86"/>
  </r>
  <r>
    <n v="55"/>
    <n v="8"/>
    <x v="47"/>
    <d v="2009-08-24T00:00:00"/>
    <s v="Grétrystraat 63"/>
    <s v="Brussels"/>
    <m/>
    <x v="2"/>
    <n v="0.99"/>
  </r>
  <r>
    <n v="56"/>
    <n v="9"/>
    <x v="48"/>
    <d v="2009-09-06T00:00:00"/>
    <s v="Sønder Boulevard 51"/>
    <s v="Copenhagen"/>
    <m/>
    <x v="18"/>
    <n v="1.98"/>
  </r>
  <r>
    <n v="57"/>
    <n v="11"/>
    <x v="48"/>
    <d v="2009-09-06T00:00:00"/>
    <s v="Av. Paulista, 2022"/>
    <s v="São Paulo"/>
    <s v="SP"/>
    <x v="11"/>
    <n v="1.98"/>
  </r>
  <r>
    <n v="58"/>
    <n v="13"/>
    <x v="49"/>
    <d v="2009-09-07T00:00:00"/>
    <s v="Qe 7 Bloco G"/>
    <s v="Brasília"/>
    <s v="DF"/>
    <x v="11"/>
    <n v="3.96"/>
  </r>
  <r>
    <n v="59"/>
    <n v="17"/>
    <x v="50"/>
    <d v="2009-09-08T00:00:00"/>
    <s v="1 Microsoft Way"/>
    <s v="Redmond"/>
    <s v="WA"/>
    <x v="4"/>
    <n v="5.94"/>
  </r>
  <r>
    <n v="60"/>
    <n v="23"/>
    <x v="51"/>
    <d v="2009-09-11T00:00:00"/>
    <s v="69 Salem Street"/>
    <s v="Boston"/>
    <s v="MA"/>
    <x v="4"/>
    <n v="8.91"/>
  </r>
  <r>
    <n v="61"/>
    <n v="32"/>
    <x v="52"/>
    <d v="2009-09-16T00:00:00"/>
    <s v="696 Osborne Street"/>
    <s v="Winnipeg"/>
    <s v="MB"/>
    <x v="3"/>
    <n v="13.86"/>
  </r>
  <r>
    <n v="62"/>
    <n v="46"/>
    <x v="53"/>
    <d v="2009-09-24T00:00:00"/>
    <s v="3 Chatham Street"/>
    <s v="Dublin"/>
    <s v="Dublin"/>
    <x v="6"/>
    <n v="0.99"/>
  </r>
  <r>
    <n v="63"/>
    <n v="47"/>
    <x v="54"/>
    <d v="2009-10-07T00:00:00"/>
    <s v="Via Degli Scipioni, 43"/>
    <s v="Rome"/>
    <s v="RM"/>
    <x v="19"/>
    <n v="1.98"/>
  </r>
  <r>
    <n v="64"/>
    <n v="49"/>
    <x v="54"/>
    <d v="2009-10-07T00:00:00"/>
    <s v="Ordynacka 10"/>
    <s v="Warsaw"/>
    <m/>
    <x v="20"/>
    <n v="1.98"/>
  </r>
  <r>
    <n v="65"/>
    <n v="51"/>
    <x v="55"/>
    <d v="2009-10-08T00:00:00"/>
    <s v="Celsiusg. 9"/>
    <s v="Stockholm"/>
    <m/>
    <x v="15"/>
    <n v="3.96"/>
  </r>
  <r>
    <n v="66"/>
    <n v="55"/>
    <x v="56"/>
    <d v="2009-10-09T00:00:00"/>
    <s v="421 Bourke Street"/>
    <s v="Sidney"/>
    <s v="NSW"/>
    <x v="8"/>
    <n v="5.94"/>
  </r>
  <r>
    <n v="67"/>
    <n v="2"/>
    <x v="57"/>
    <d v="2009-10-12T00:00:00"/>
    <s v="Theodor-Heuss-Straße 34"/>
    <s v="Stuttgart"/>
    <m/>
    <x v="0"/>
    <n v="8.91"/>
  </r>
  <r>
    <n v="68"/>
    <n v="11"/>
    <x v="58"/>
    <d v="2009-10-17T00:00:00"/>
    <s v="Av. Paulista, 2022"/>
    <s v="São Paulo"/>
    <s v="SP"/>
    <x v="11"/>
    <n v="13.86"/>
  </r>
  <r>
    <n v="69"/>
    <n v="25"/>
    <x v="59"/>
    <d v="2009-10-25T00:00:00"/>
    <s v="319 N. Frances Street"/>
    <s v="Madison"/>
    <s v="WI"/>
    <x v="4"/>
    <n v="0.99"/>
  </r>
  <r>
    <n v="70"/>
    <n v="26"/>
    <x v="60"/>
    <d v="2009-11-07T00:00:00"/>
    <s v="2211 W Berry Street"/>
    <s v="Fort Worth"/>
    <s v="TX"/>
    <x v="4"/>
    <n v="1.98"/>
  </r>
  <r>
    <n v="71"/>
    <n v="28"/>
    <x v="60"/>
    <d v="2009-11-07T00:00:00"/>
    <s v="302 S 700 E"/>
    <s v="Salt Lake City"/>
    <s v="UT"/>
    <x v="4"/>
    <n v="1.98"/>
  </r>
  <r>
    <n v="72"/>
    <n v="30"/>
    <x v="61"/>
    <d v="2009-11-08T00:00:00"/>
    <s v="230 Elgin Street"/>
    <s v="Ottawa"/>
    <s v="ON"/>
    <x v="3"/>
    <n v="3.96"/>
  </r>
  <r>
    <n v="73"/>
    <n v="34"/>
    <x v="62"/>
    <d v="2009-11-09T00:00:00"/>
    <s v="Rua da Assunção 53"/>
    <s v="Lisbon"/>
    <m/>
    <x v="12"/>
    <n v="5.94"/>
  </r>
  <r>
    <n v="74"/>
    <n v="40"/>
    <x v="63"/>
    <d v="2009-11-12T00:00:00"/>
    <s v="8, Rue Hanovre"/>
    <s v="Paris"/>
    <m/>
    <x v="5"/>
    <n v="8.91"/>
  </r>
  <r>
    <n v="75"/>
    <n v="49"/>
    <x v="64"/>
    <d v="2009-11-17T00:00:00"/>
    <s v="Ordynacka 10"/>
    <s v="Warsaw"/>
    <m/>
    <x v="20"/>
    <n v="13.86"/>
  </r>
  <r>
    <n v="76"/>
    <n v="4"/>
    <x v="65"/>
    <d v="2009-11-25T00:00:00"/>
    <s v="Ullevålsveien 14"/>
    <s v="Oslo"/>
    <m/>
    <x v="1"/>
    <n v="0.99"/>
  </r>
  <r>
    <n v="77"/>
    <n v="5"/>
    <x v="66"/>
    <d v="2009-12-08T00:00:00"/>
    <s v="Klanova 9/506"/>
    <s v="Prague"/>
    <m/>
    <x v="16"/>
    <n v="1.98"/>
  </r>
  <r>
    <n v="78"/>
    <n v="7"/>
    <x v="66"/>
    <d v="2009-12-08T00:00:00"/>
    <s v="Rotenturmstraße 4, 1010 Innere Stadt"/>
    <s v="Vienne"/>
    <m/>
    <x v="21"/>
    <n v="1.98"/>
  </r>
  <r>
    <n v="79"/>
    <n v="9"/>
    <x v="67"/>
    <d v="2009-12-09T00:00:00"/>
    <s v="Sønder Boulevard 51"/>
    <s v="Copenhagen"/>
    <m/>
    <x v="18"/>
    <n v="3.96"/>
  </r>
  <r>
    <n v="80"/>
    <n v="13"/>
    <x v="68"/>
    <d v="2009-12-10T00:00:00"/>
    <s v="Qe 7 Bloco G"/>
    <s v="Brasília"/>
    <s v="DF"/>
    <x v="11"/>
    <n v="5.94"/>
  </r>
  <r>
    <n v="81"/>
    <n v="19"/>
    <x v="69"/>
    <d v="2009-12-13T00:00:00"/>
    <s v="1 Infinite Loop"/>
    <s v="Cupertino"/>
    <s v="CA"/>
    <x v="4"/>
    <n v="8.91"/>
  </r>
  <r>
    <n v="82"/>
    <n v="28"/>
    <x v="70"/>
    <d v="2009-12-18T00:00:00"/>
    <s v="302 S 700 E"/>
    <s v="Salt Lake City"/>
    <s v="UT"/>
    <x v="4"/>
    <n v="13.86"/>
  </r>
  <r>
    <n v="83"/>
    <n v="42"/>
    <x v="71"/>
    <d v="2009-12-26T00:00:00"/>
    <s v="9, Place Louis Barthou"/>
    <s v="Bordeaux"/>
    <m/>
    <x v="5"/>
    <n v="0.99"/>
  </r>
  <r>
    <n v="84"/>
    <n v="43"/>
    <x v="72"/>
    <d v="2010-01-08T00:00:00"/>
    <s v="68, Rue Jouvence"/>
    <s v="Dijon"/>
    <m/>
    <x v="5"/>
    <n v="1.98"/>
  </r>
  <r>
    <n v="85"/>
    <n v="45"/>
    <x v="72"/>
    <d v="2010-01-08T00:00:00"/>
    <s v="Erzsébet krt. 58."/>
    <s v="Budapest"/>
    <m/>
    <x v="22"/>
    <n v="1.98"/>
  </r>
  <r>
    <n v="86"/>
    <n v="47"/>
    <x v="73"/>
    <d v="2010-01-09T00:00:00"/>
    <s v="Via Degli Scipioni, 43"/>
    <s v="Rome"/>
    <s v="RM"/>
    <x v="19"/>
    <n v="3.96"/>
  </r>
  <r>
    <n v="87"/>
    <n v="51"/>
    <x v="74"/>
    <d v="2010-01-10T00:00:00"/>
    <s v="Celsiusg. 9"/>
    <s v="Stockholm"/>
    <m/>
    <x v="15"/>
    <n v="6.94"/>
  </r>
  <r>
    <n v="88"/>
    <n v="57"/>
    <x v="75"/>
    <d v="2010-01-13T00:00:00"/>
    <s v="Calle Lira, 198"/>
    <s v="Santiago"/>
    <m/>
    <x v="9"/>
    <n v="17.91"/>
  </r>
  <r>
    <n v="89"/>
    <n v="7"/>
    <x v="76"/>
    <d v="2010-01-18T00:00:00"/>
    <s v="Rotenturmstraße 4, 1010 Innere Stadt"/>
    <s v="Vienne"/>
    <m/>
    <x v="21"/>
    <n v="18.86"/>
  </r>
  <r>
    <n v="90"/>
    <n v="21"/>
    <x v="77"/>
    <d v="2010-01-26T00:00:00"/>
    <s v="801 W 4th Street"/>
    <s v="Reno"/>
    <s v="NV"/>
    <x v="4"/>
    <n v="0.99"/>
  </r>
  <r>
    <n v="91"/>
    <n v="22"/>
    <x v="78"/>
    <d v="2010-02-08T00:00:00"/>
    <s v="120 S Orange Ave"/>
    <s v="Orlando"/>
    <s v="FL"/>
    <x v="4"/>
    <n v="1.98"/>
  </r>
  <r>
    <n v="92"/>
    <n v="24"/>
    <x v="78"/>
    <d v="2010-02-08T00:00:00"/>
    <s v="162 E Superior Street"/>
    <s v="Chicago"/>
    <s v="IL"/>
    <x v="4"/>
    <n v="1.98"/>
  </r>
  <r>
    <n v="93"/>
    <n v="26"/>
    <x v="79"/>
    <d v="2010-02-09T00:00:00"/>
    <s v="2211 W Berry Street"/>
    <s v="Fort Worth"/>
    <s v="TX"/>
    <x v="4"/>
    <n v="3.96"/>
  </r>
  <r>
    <n v="94"/>
    <n v="30"/>
    <x v="80"/>
    <d v="2010-02-10T00:00:00"/>
    <s v="230 Elgin Street"/>
    <s v="Ottawa"/>
    <s v="ON"/>
    <x v="3"/>
    <n v="5.94"/>
  </r>
  <r>
    <n v="95"/>
    <n v="36"/>
    <x v="81"/>
    <d v="2010-02-13T00:00:00"/>
    <s v="Tauentzienstraße 8"/>
    <s v="Berlin"/>
    <m/>
    <x v="0"/>
    <n v="8.91"/>
  </r>
  <r>
    <n v="96"/>
    <n v="45"/>
    <x v="82"/>
    <d v="2010-02-18T00:00:00"/>
    <s v="Erzsébet krt. 58."/>
    <s v="Budapest"/>
    <m/>
    <x v="22"/>
    <n v="21.86"/>
  </r>
  <r>
    <n v="97"/>
    <n v="59"/>
    <x v="83"/>
    <d v="2010-02-26T00:00:00"/>
    <s v="3,Raj Bhavan Road"/>
    <s v="Bangalore"/>
    <m/>
    <x v="10"/>
    <n v="1.99"/>
  </r>
  <r>
    <n v="98"/>
    <n v="1"/>
    <x v="84"/>
    <d v="2010-03-11T00:00:00"/>
    <s v="Av. Brigadeiro Faria Lima, 2170"/>
    <s v="São José dos Campos"/>
    <s v="SP"/>
    <x v="11"/>
    <n v="3.98"/>
  </r>
  <r>
    <n v="99"/>
    <n v="3"/>
    <x v="84"/>
    <d v="2010-03-11T00:00:00"/>
    <s v="1498 rue Bélanger"/>
    <s v="Montréal"/>
    <s v="QC"/>
    <x v="3"/>
    <n v="3.98"/>
  </r>
  <r>
    <n v="100"/>
    <n v="5"/>
    <x v="85"/>
    <d v="2010-03-12T00:00:00"/>
    <s v="Klanova 9/506"/>
    <s v="Prague"/>
    <m/>
    <x v="16"/>
    <n v="3.96"/>
  </r>
  <r>
    <n v="101"/>
    <n v="9"/>
    <x v="86"/>
    <d v="2010-03-13T00:00:00"/>
    <s v="Sønder Boulevard 51"/>
    <s v="Copenhagen"/>
    <m/>
    <x v="18"/>
    <n v="5.94"/>
  </r>
  <r>
    <n v="102"/>
    <n v="15"/>
    <x v="87"/>
    <d v="2010-03-16T00:00:00"/>
    <s v="700 W Pender Street"/>
    <s v="Vancouver"/>
    <s v="BC"/>
    <x v="3"/>
    <n v="9.91"/>
  </r>
  <r>
    <n v="103"/>
    <n v="24"/>
    <x v="88"/>
    <d v="2010-03-21T00:00:00"/>
    <s v="162 E Superior Street"/>
    <s v="Chicago"/>
    <s v="IL"/>
    <x v="4"/>
    <n v="15.86"/>
  </r>
  <r>
    <n v="104"/>
    <n v="38"/>
    <x v="89"/>
    <d v="2010-03-29T00:00:00"/>
    <s v="Barbarossastraße 19"/>
    <s v="Berlin"/>
    <m/>
    <x v="0"/>
    <n v="0.99"/>
  </r>
  <r>
    <n v="105"/>
    <n v="39"/>
    <x v="90"/>
    <d v="2010-04-11T00:00:00"/>
    <s v="4, Rue Milton"/>
    <s v="Paris"/>
    <m/>
    <x v="5"/>
    <n v="1.98"/>
  </r>
  <r>
    <n v="106"/>
    <n v="41"/>
    <x v="90"/>
    <d v="2010-04-11T00:00:00"/>
    <s v="11, Place Bellecour"/>
    <s v="Lyon"/>
    <m/>
    <x v="5"/>
    <n v="1.98"/>
  </r>
  <r>
    <n v="107"/>
    <n v="43"/>
    <x v="91"/>
    <d v="2010-04-12T00:00:00"/>
    <s v="68, Rue Jouvence"/>
    <s v="Dijon"/>
    <m/>
    <x v="5"/>
    <n v="3.96"/>
  </r>
  <r>
    <n v="108"/>
    <n v="47"/>
    <x v="92"/>
    <d v="2010-04-13T00:00:00"/>
    <s v="Via Degli Scipioni, 43"/>
    <s v="Rome"/>
    <s v="RM"/>
    <x v="19"/>
    <n v="5.94"/>
  </r>
  <r>
    <n v="109"/>
    <n v="53"/>
    <x v="93"/>
    <d v="2010-04-16T00:00:00"/>
    <s v="113 Lupus St"/>
    <s v="London"/>
    <m/>
    <x v="7"/>
    <n v="8.91"/>
  </r>
  <r>
    <n v="110"/>
    <n v="3"/>
    <x v="94"/>
    <d v="2010-04-21T00:00:00"/>
    <s v="1498 rue Bélanger"/>
    <s v="Montréal"/>
    <s v="QC"/>
    <x v="3"/>
    <n v="13.86"/>
  </r>
  <r>
    <n v="111"/>
    <n v="17"/>
    <x v="95"/>
    <d v="2010-04-29T00:00:00"/>
    <s v="1 Microsoft Way"/>
    <s v="Redmond"/>
    <s v="WA"/>
    <x v="4"/>
    <n v="0.99"/>
  </r>
  <r>
    <n v="112"/>
    <n v="18"/>
    <x v="96"/>
    <d v="2010-05-12T00:00:00"/>
    <s v="627 Broadway"/>
    <s v="New York"/>
    <s v="NY"/>
    <x v="4"/>
    <n v="1.98"/>
  </r>
  <r>
    <n v="113"/>
    <n v="20"/>
    <x v="96"/>
    <d v="2010-05-12T00:00:00"/>
    <s v="541 Del Medio Avenue"/>
    <s v="Mountain View"/>
    <s v="CA"/>
    <x v="4"/>
    <n v="1.98"/>
  </r>
  <r>
    <n v="114"/>
    <n v="22"/>
    <x v="97"/>
    <d v="2010-05-13T00:00:00"/>
    <s v="120 S Orange Ave"/>
    <s v="Orlando"/>
    <s v="FL"/>
    <x v="4"/>
    <n v="3.96"/>
  </r>
  <r>
    <n v="115"/>
    <n v="26"/>
    <x v="98"/>
    <d v="2010-05-14T00:00:00"/>
    <s v="2211 W Berry Street"/>
    <s v="Fort Worth"/>
    <s v="TX"/>
    <x v="4"/>
    <n v="5.94"/>
  </r>
  <r>
    <n v="116"/>
    <n v="32"/>
    <x v="99"/>
    <d v="2010-05-17T00:00:00"/>
    <s v="696 Osborne Street"/>
    <s v="Winnipeg"/>
    <s v="MB"/>
    <x v="3"/>
    <n v="8.91"/>
  </r>
  <r>
    <n v="117"/>
    <n v="41"/>
    <x v="100"/>
    <d v="2010-05-22T00:00:00"/>
    <s v="11, Place Bellecour"/>
    <s v="Lyon"/>
    <m/>
    <x v="5"/>
    <n v="13.86"/>
  </r>
  <r>
    <n v="118"/>
    <n v="55"/>
    <x v="101"/>
    <d v="2010-05-30T00:00:00"/>
    <s v="421 Bourke Street"/>
    <s v="Sidney"/>
    <s v="NSW"/>
    <x v="8"/>
    <n v="0.99"/>
  </r>
  <r>
    <n v="119"/>
    <n v="56"/>
    <x v="102"/>
    <d v="2010-06-12T00:00:00"/>
    <s v="307 Macacha Güemes"/>
    <s v="Buenos Aires"/>
    <m/>
    <x v="23"/>
    <n v="1.98"/>
  </r>
  <r>
    <n v="120"/>
    <n v="58"/>
    <x v="102"/>
    <d v="2010-06-12T00:00:00"/>
    <s v="12,Community Centre"/>
    <s v="Delhi"/>
    <m/>
    <x v="10"/>
    <n v="1.98"/>
  </r>
  <r>
    <n v="121"/>
    <n v="1"/>
    <x v="103"/>
    <d v="2010-06-13T00:00:00"/>
    <s v="Av. Brigadeiro Faria Lima, 2170"/>
    <s v="São José dos Campos"/>
    <s v="SP"/>
    <x v="11"/>
    <n v="3.96"/>
  </r>
  <r>
    <n v="122"/>
    <n v="5"/>
    <x v="104"/>
    <d v="2010-06-14T00:00:00"/>
    <s v="Klanova 9/506"/>
    <s v="Prague"/>
    <m/>
    <x v="16"/>
    <n v="5.94"/>
  </r>
  <r>
    <n v="123"/>
    <n v="11"/>
    <x v="105"/>
    <d v="2010-06-17T00:00:00"/>
    <s v="Av. Paulista, 2022"/>
    <s v="São Paulo"/>
    <s v="SP"/>
    <x v="11"/>
    <n v="8.91"/>
  </r>
  <r>
    <n v="124"/>
    <n v="20"/>
    <x v="106"/>
    <d v="2010-06-22T00:00:00"/>
    <s v="541 Del Medio Avenue"/>
    <s v="Mountain View"/>
    <s v="CA"/>
    <x v="4"/>
    <n v="13.86"/>
  </r>
  <r>
    <n v="125"/>
    <n v="34"/>
    <x v="107"/>
    <d v="2010-06-30T00:00:00"/>
    <s v="Rua da Assunção 53"/>
    <s v="Lisbon"/>
    <m/>
    <x v="12"/>
    <n v="0.99"/>
  </r>
  <r>
    <n v="126"/>
    <n v="35"/>
    <x v="108"/>
    <d v="2010-07-13T00:00:00"/>
    <s v="Rua dos Campeões Europeus de Viena, 4350"/>
    <s v="Porto"/>
    <m/>
    <x v="12"/>
    <n v="1.98"/>
  </r>
  <r>
    <n v="127"/>
    <n v="37"/>
    <x v="108"/>
    <d v="2010-07-13T00:00:00"/>
    <s v="Berger Straße 10"/>
    <s v="Frankfurt"/>
    <m/>
    <x v="0"/>
    <n v="1.98"/>
  </r>
  <r>
    <n v="128"/>
    <n v="39"/>
    <x v="109"/>
    <d v="2010-07-14T00:00:00"/>
    <s v="4, Rue Milton"/>
    <s v="Paris"/>
    <m/>
    <x v="5"/>
    <n v="3.96"/>
  </r>
  <r>
    <n v="129"/>
    <n v="43"/>
    <x v="110"/>
    <d v="2010-07-15T00:00:00"/>
    <s v="68, Rue Jouvence"/>
    <s v="Dijon"/>
    <m/>
    <x v="5"/>
    <n v="5.94"/>
  </r>
  <r>
    <n v="130"/>
    <n v="49"/>
    <x v="111"/>
    <d v="2010-07-18T00:00:00"/>
    <s v="Ordynacka 10"/>
    <s v="Warsaw"/>
    <m/>
    <x v="20"/>
    <n v="8.91"/>
  </r>
  <r>
    <n v="131"/>
    <n v="58"/>
    <x v="112"/>
    <d v="2010-07-23T00:00:00"/>
    <s v="12,Community Centre"/>
    <s v="Delhi"/>
    <m/>
    <x v="10"/>
    <n v="13.86"/>
  </r>
  <r>
    <n v="132"/>
    <n v="13"/>
    <x v="113"/>
    <d v="2010-07-31T00:00:00"/>
    <s v="Qe 7 Bloco G"/>
    <s v="Brasília"/>
    <s v="DF"/>
    <x v="11"/>
    <n v="0.99"/>
  </r>
  <r>
    <n v="133"/>
    <n v="14"/>
    <x v="114"/>
    <d v="2010-08-13T00:00:00"/>
    <s v="8210 111 ST NW"/>
    <s v="Edmonton"/>
    <s v="AB"/>
    <x v="3"/>
    <n v="1.98"/>
  </r>
  <r>
    <n v="134"/>
    <n v="16"/>
    <x v="114"/>
    <d v="2010-08-13T00:00:00"/>
    <s v="1600 Amphitheatre Parkway"/>
    <s v="Mountain View"/>
    <s v="CA"/>
    <x v="4"/>
    <n v="1.98"/>
  </r>
  <r>
    <n v="135"/>
    <n v="18"/>
    <x v="115"/>
    <d v="2010-08-14T00:00:00"/>
    <s v="627 Broadway"/>
    <s v="New York"/>
    <s v="NY"/>
    <x v="4"/>
    <n v="3.96"/>
  </r>
  <r>
    <n v="136"/>
    <n v="22"/>
    <x v="116"/>
    <d v="2010-08-15T00:00:00"/>
    <s v="120 S Orange Ave"/>
    <s v="Orlando"/>
    <s v="FL"/>
    <x v="4"/>
    <n v="5.94"/>
  </r>
  <r>
    <n v="137"/>
    <n v="28"/>
    <x v="117"/>
    <d v="2010-08-18T00:00:00"/>
    <s v="302 S 700 E"/>
    <s v="Salt Lake City"/>
    <s v="UT"/>
    <x v="4"/>
    <n v="8.91"/>
  </r>
  <r>
    <n v="138"/>
    <n v="37"/>
    <x v="118"/>
    <d v="2010-08-23T00:00:00"/>
    <s v="Berger Straße 10"/>
    <s v="Frankfurt"/>
    <m/>
    <x v="0"/>
    <n v="13.86"/>
  </r>
  <r>
    <n v="139"/>
    <n v="51"/>
    <x v="119"/>
    <d v="2010-08-31T00:00:00"/>
    <s v="Celsiusg. 9"/>
    <s v="Stockholm"/>
    <m/>
    <x v="15"/>
    <n v="0.99"/>
  </r>
  <r>
    <n v="140"/>
    <n v="52"/>
    <x v="120"/>
    <d v="2010-09-13T00:00:00"/>
    <s v="202 Hoxton Street"/>
    <s v="London"/>
    <m/>
    <x v="7"/>
    <n v="1.98"/>
  </r>
  <r>
    <n v="141"/>
    <n v="54"/>
    <x v="120"/>
    <d v="2010-09-13T00:00:00"/>
    <s v="110 Raeburn Pl"/>
    <s v="Edinburgh "/>
    <m/>
    <x v="7"/>
    <n v="1.98"/>
  </r>
  <r>
    <n v="142"/>
    <n v="56"/>
    <x v="121"/>
    <d v="2010-09-14T00:00:00"/>
    <s v="307 Macacha Güemes"/>
    <s v="Buenos Aires"/>
    <m/>
    <x v="23"/>
    <n v="3.96"/>
  </r>
  <r>
    <n v="143"/>
    <n v="1"/>
    <x v="122"/>
    <d v="2010-09-15T00:00:00"/>
    <s v="Av. Brigadeiro Faria Lima, 2170"/>
    <s v="São José dos Campos"/>
    <s v="SP"/>
    <x v="11"/>
    <n v="5.94"/>
  </r>
  <r>
    <n v="144"/>
    <n v="7"/>
    <x v="123"/>
    <d v="2010-09-18T00:00:00"/>
    <s v="Rotenturmstraße 4, 1010 Innere Stadt"/>
    <s v="Vienne"/>
    <m/>
    <x v="21"/>
    <n v="8.91"/>
  </r>
  <r>
    <n v="145"/>
    <n v="16"/>
    <x v="124"/>
    <d v="2010-09-23T00:00:00"/>
    <s v="1600 Amphitheatre Parkway"/>
    <s v="Mountain View"/>
    <s v="CA"/>
    <x v="4"/>
    <n v="13.86"/>
  </r>
  <r>
    <n v="146"/>
    <n v="30"/>
    <x v="125"/>
    <d v="2010-10-01T00:00:00"/>
    <s v="230 Elgin Street"/>
    <s v="Ottawa"/>
    <s v="ON"/>
    <x v="3"/>
    <n v="0.99"/>
  </r>
  <r>
    <n v="147"/>
    <n v="31"/>
    <x v="126"/>
    <d v="2010-10-14T00:00:00"/>
    <s v="194A Chain Lake Drive"/>
    <s v="Halifax"/>
    <s v="NS"/>
    <x v="3"/>
    <n v="1.98"/>
  </r>
  <r>
    <n v="148"/>
    <n v="33"/>
    <x v="126"/>
    <d v="2010-10-14T00:00:00"/>
    <s v="5112 48 Street"/>
    <s v="Yellowknife"/>
    <s v="NT"/>
    <x v="3"/>
    <n v="1.98"/>
  </r>
  <r>
    <n v="149"/>
    <n v="35"/>
    <x v="127"/>
    <d v="2010-10-15T00:00:00"/>
    <s v="Rua dos Campeões Europeus de Viena, 4350"/>
    <s v="Porto"/>
    <m/>
    <x v="12"/>
    <n v="3.96"/>
  </r>
  <r>
    <n v="150"/>
    <n v="39"/>
    <x v="128"/>
    <d v="2010-10-16T00:00:00"/>
    <s v="4, Rue Milton"/>
    <s v="Paris"/>
    <m/>
    <x v="5"/>
    <n v="5.94"/>
  </r>
  <r>
    <n v="151"/>
    <n v="45"/>
    <x v="129"/>
    <d v="2010-10-19T00:00:00"/>
    <s v="Erzsébet krt. 58."/>
    <s v="Budapest"/>
    <m/>
    <x v="22"/>
    <n v="8.91"/>
  </r>
  <r>
    <n v="152"/>
    <n v="54"/>
    <x v="130"/>
    <d v="2010-10-24T00:00:00"/>
    <s v="110 Raeburn Pl"/>
    <s v="Edinburgh "/>
    <m/>
    <x v="7"/>
    <n v="13.86"/>
  </r>
  <r>
    <n v="153"/>
    <n v="9"/>
    <x v="131"/>
    <d v="2010-11-01T00:00:00"/>
    <s v="Sønder Boulevard 51"/>
    <s v="Copenhagen"/>
    <m/>
    <x v="18"/>
    <n v="0.99"/>
  </r>
  <r>
    <n v="154"/>
    <n v="10"/>
    <x v="132"/>
    <d v="2010-11-14T00:00:00"/>
    <s v="Rua Dr. Falcão Filho, 155"/>
    <s v="São Paulo"/>
    <s v="SP"/>
    <x v="11"/>
    <n v="1.98"/>
  </r>
  <r>
    <n v="155"/>
    <n v="12"/>
    <x v="132"/>
    <d v="2010-11-14T00:00:00"/>
    <s v="Praça Pio X, 119"/>
    <s v="Rio de Janeiro"/>
    <s v="RJ"/>
    <x v="11"/>
    <n v="1.98"/>
  </r>
  <r>
    <n v="156"/>
    <n v="14"/>
    <x v="133"/>
    <d v="2010-11-15T00:00:00"/>
    <s v="8210 111 ST NW"/>
    <s v="Edmonton"/>
    <s v="AB"/>
    <x v="3"/>
    <n v="3.96"/>
  </r>
  <r>
    <n v="157"/>
    <n v="18"/>
    <x v="134"/>
    <d v="2010-11-16T00:00:00"/>
    <s v="627 Broadway"/>
    <s v="New York"/>
    <s v="NY"/>
    <x v="4"/>
    <n v="5.94"/>
  </r>
  <r>
    <n v="158"/>
    <n v="24"/>
    <x v="135"/>
    <d v="2010-11-19T00:00:00"/>
    <s v="162 E Superior Street"/>
    <s v="Chicago"/>
    <s v="IL"/>
    <x v="4"/>
    <n v="8.91"/>
  </r>
  <r>
    <n v="159"/>
    <n v="33"/>
    <x v="136"/>
    <d v="2010-11-24T00:00:00"/>
    <s v="5112 48 Street"/>
    <s v="Yellowknife"/>
    <s v="NT"/>
    <x v="3"/>
    <n v="13.86"/>
  </r>
  <r>
    <n v="160"/>
    <n v="47"/>
    <x v="137"/>
    <d v="2010-12-02T00:00:00"/>
    <s v="Via Degli Scipioni, 43"/>
    <s v="Rome"/>
    <s v="RM"/>
    <x v="19"/>
    <n v="0.99"/>
  </r>
  <r>
    <n v="161"/>
    <n v="48"/>
    <x v="138"/>
    <d v="2010-12-15T00:00:00"/>
    <s v="Lijnbaansgracht 120bg"/>
    <s v="Amsterdam"/>
    <s v="VV"/>
    <x v="13"/>
    <n v="1.98"/>
  </r>
  <r>
    <n v="162"/>
    <n v="50"/>
    <x v="138"/>
    <d v="2010-12-15T00:00:00"/>
    <s v="C/ San Bernardo 85"/>
    <s v="Madrid"/>
    <m/>
    <x v="14"/>
    <n v="1.98"/>
  </r>
  <r>
    <n v="163"/>
    <n v="52"/>
    <x v="139"/>
    <d v="2010-12-16T00:00:00"/>
    <s v="202 Hoxton Street"/>
    <s v="London"/>
    <m/>
    <x v="7"/>
    <n v="3.96"/>
  </r>
  <r>
    <n v="164"/>
    <n v="56"/>
    <x v="140"/>
    <d v="2010-12-17T00:00:00"/>
    <s v="307 Macacha Güemes"/>
    <s v="Buenos Aires"/>
    <m/>
    <x v="23"/>
    <n v="5.94"/>
  </r>
  <r>
    <n v="165"/>
    <n v="3"/>
    <x v="141"/>
    <d v="2010-12-20T00:00:00"/>
    <s v="1498 rue Bélanger"/>
    <s v="Montréal"/>
    <s v="QC"/>
    <x v="3"/>
    <n v="8.91"/>
  </r>
  <r>
    <n v="166"/>
    <n v="12"/>
    <x v="142"/>
    <d v="2010-12-25T00:00:00"/>
    <s v="Praça Pio X, 119"/>
    <s v="Rio de Janeiro"/>
    <s v="RJ"/>
    <x v="11"/>
    <n v="13.86"/>
  </r>
  <r>
    <n v="167"/>
    <n v="26"/>
    <x v="143"/>
    <d v="2011-01-02T00:00:00"/>
    <s v="2211 W Berry Street"/>
    <s v="Fort Worth"/>
    <s v="TX"/>
    <x v="4"/>
    <n v="0.99"/>
  </r>
  <r>
    <n v="168"/>
    <n v="27"/>
    <x v="144"/>
    <d v="2011-01-15T00:00:00"/>
    <s v="1033 N Park Ave"/>
    <s v="Tucson"/>
    <s v="AZ"/>
    <x v="4"/>
    <n v="1.98"/>
  </r>
  <r>
    <n v="169"/>
    <n v="29"/>
    <x v="144"/>
    <d v="2011-01-15T00:00:00"/>
    <s v="796 Dundas Street West"/>
    <s v="Toronto"/>
    <s v="ON"/>
    <x v="3"/>
    <n v="1.98"/>
  </r>
  <r>
    <n v="170"/>
    <n v="31"/>
    <x v="145"/>
    <d v="2011-01-16T00:00:00"/>
    <s v="194A Chain Lake Drive"/>
    <s v="Halifax"/>
    <s v="NS"/>
    <x v="3"/>
    <n v="3.96"/>
  </r>
  <r>
    <n v="171"/>
    <n v="35"/>
    <x v="146"/>
    <d v="2011-01-17T00:00:00"/>
    <s v="Rua dos Campeões Europeus de Viena, 4350"/>
    <s v="Porto"/>
    <m/>
    <x v="12"/>
    <n v="5.94"/>
  </r>
  <r>
    <n v="172"/>
    <n v="41"/>
    <x v="147"/>
    <d v="2011-01-20T00:00:00"/>
    <s v="11, Place Bellecour"/>
    <s v="Lyon"/>
    <m/>
    <x v="5"/>
    <n v="8.91"/>
  </r>
  <r>
    <n v="173"/>
    <n v="50"/>
    <x v="148"/>
    <d v="2011-01-25T00:00:00"/>
    <s v="C/ San Bernardo 85"/>
    <s v="Madrid"/>
    <m/>
    <x v="14"/>
    <n v="13.86"/>
  </r>
  <r>
    <n v="174"/>
    <n v="5"/>
    <x v="149"/>
    <d v="2011-02-02T00:00:00"/>
    <s v="Klanova 9/506"/>
    <s v="Prague"/>
    <m/>
    <x v="16"/>
    <n v="0.99"/>
  </r>
  <r>
    <n v="175"/>
    <n v="6"/>
    <x v="150"/>
    <d v="2011-02-15T00:00:00"/>
    <s v="Rilská 3174/6"/>
    <s v="Prague"/>
    <m/>
    <x v="16"/>
    <n v="1.98"/>
  </r>
  <r>
    <n v="176"/>
    <n v="8"/>
    <x v="150"/>
    <d v="2011-02-15T00:00:00"/>
    <s v="Grétrystraat 63"/>
    <s v="Brussels"/>
    <m/>
    <x v="2"/>
    <n v="1.98"/>
  </r>
  <r>
    <n v="177"/>
    <n v="10"/>
    <x v="151"/>
    <d v="2011-02-16T00:00:00"/>
    <s v="Rua Dr. Falcão Filho, 155"/>
    <s v="São Paulo"/>
    <s v="SP"/>
    <x v="11"/>
    <n v="3.96"/>
  </r>
  <r>
    <n v="178"/>
    <n v="14"/>
    <x v="152"/>
    <d v="2011-02-17T00:00:00"/>
    <s v="8210 111 ST NW"/>
    <s v="Edmonton"/>
    <s v="AB"/>
    <x v="3"/>
    <n v="5.94"/>
  </r>
  <r>
    <n v="179"/>
    <n v="20"/>
    <x v="153"/>
    <d v="2011-02-20T00:00:00"/>
    <s v="541 Del Medio Avenue"/>
    <s v="Mountain View"/>
    <s v="CA"/>
    <x v="4"/>
    <n v="8.91"/>
  </r>
  <r>
    <n v="180"/>
    <n v="29"/>
    <x v="154"/>
    <d v="2011-02-25T00:00:00"/>
    <s v="796 Dundas Street West"/>
    <s v="Toronto"/>
    <s v="ON"/>
    <x v="3"/>
    <n v="13.86"/>
  </r>
  <r>
    <n v="181"/>
    <n v="43"/>
    <x v="155"/>
    <d v="2011-03-05T00:00:00"/>
    <s v="68, Rue Jouvence"/>
    <s v="Dijon"/>
    <m/>
    <x v="5"/>
    <n v="0.99"/>
  </r>
  <r>
    <n v="182"/>
    <n v="44"/>
    <x v="156"/>
    <d v="2011-03-18T00:00:00"/>
    <s v="Porthaninkatu 9"/>
    <s v="Helsinki"/>
    <m/>
    <x v="17"/>
    <n v="1.98"/>
  </r>
  <r>
    <n v="183"/>
    <n v="46"/>
    <x v="156"/>
    <d v="2011-03-18T00:00:00"/>
    <s v="3 Chatham Street"/>
    <s v="Dublin"/>
    <s v="Dublin"/>
    <x v="6"/>
    <n v="1.98"/>
  </r>
  <r>
    <n v="184"/>
    <n v="48"/>
    <x v="157"/>
    <d v="2011-03-19T00:00:00"/>
    <s v="Lijnbaansgracht 120bg"/>
    <s v="Amsterdam"/>
    <s v="VV"/>
    <x v="13"/>
    <n v="3.96"/>
  </r>
  <r>
    <n v="185"/>
    <n v="52"/>
    <x v="158"/>
    <d v="2011-03-20T00:00:00"/>
    <s v="202 Hoxton Street"/>
    <s v="London"/>
    <m/>
    <x v="7"/>
    <n v="5.94"/>
  </r>
  <r>
    <n v="186"/>
    <n v="58"/>
    <x v="159"/>
    <d v="2011-03-23T00:00:00"/>
    <s v="12,Community Centre"/>
    <s v="Delhi"/>
    <m/>
    <x v="10"/>
    <n v="8.91"/>
  </r>
  <r>
    <n v="187"/>
    <n v="8"/>
    <x v="160"/>
    <d v="2011-03-28T00:00:00"/>
    <s v="Grétrystraat 63"/>
    <s v="Brussels"/>
    <m/>
    <x v="2"/>
    <n v="13.86"/>
  </r>
  <r>
    <n v="188"/>
    <n v="22"/>
    <x v="161"/>
    <d v="2011-04-05T00:00:00"/>
    <s v="120 S Orange Ave"/>
    <s v="Orlando"/>
    <s v="FL"/>
    <x v="4"/>
    <n v="0.99"/>
  </r>
  <r>
    <n v="189"/>
    <n v="23"/>
    <x v="162"/>
    <d v="2011-04-18T00:00:00"/>
    <s v="69 Salem Street"/>
    <s v="Boston"/>
    <s v="MA"/>
    <x v="4"/>
    <n v="1.98"/>
  </r>
  <r>
    <n v="190"/>
    <n v="25"/>
    <x v="162"/>
    <d v="2011-04-18T00:00:00"/>
    <s v="319 N. Frances Street"/>
    <s v="Madison"/>
    <s v="WI"/>
    <x v="4"/>
    <n v="1.98"/>
  </r>
  <r>
    <n v="191"/>
    <n v="27"/>
    <x v="163"/>
    <d v="2011-04-19T00:00:00"/>
    <s v="1033 N Park Ave"/>
    <s v="Tucson"/>
    <s v="AZ"/>
    <x v="4"/>
    <n v="3.96"/>
  </r>
  <r>
    <n v="192"/>
    <n v="31"/>
    <x v="164"/>
    <d v="2011-04-20T00:00:00"/>
    <s v="194A Chain Lake Drive"/>
    <s v="Halifax"/>
    <s v="NS"/>
    <x v="3"/>
    <n v="5.94"/>
  </r>
  <r>
    <n v="193"/>
    <n v="37"/>
    <x v="165"/>
    <d v="2011-04-23T00:00:00"/>
    <s v="Berger Straße 10"/>
    <s v="Frankfurt"/>
    <m/>
    <x v="0"/>
    <n v="14.91"/>
  </r>
  <r>
    <n v="194"/>
    <n v="46"/>
    <x v="166"/>
    <d v="2011-04-28T00:00:00"/>
    <s v="3 Chatham Street"/>
    <s v="Dublin"/>
    <s v="Dublin"/>
    <x v="6"/>
    <n v="21.86"/>
  </r>
  <r>
    <n v="195"/>
    <n v="1"/>
    <x v="167"/>
    <d v="2011-05-06T00:00:00"/>
    <s v="Av. Brigadeiro Faria Lima, 2170"/>
    <s v="São José dos Campos"/>
    <s v="SP"/>
    <x v="11"/>
    <n v="0.99"/>
  </r>
  <r>
    <n v="196"/>
    <n v="2"/>
    <x v="168"/>
    <d v="2011-05-19T00:00:00"/>
    <s v="Theodor-Heuss-Straße 34"/>
    <s v="Stuttgart"/>
    <m/>
    <x v="0"/>
    <n v="1.98"/>
  </r>
  <r>
    <n v="197"/>
    <n v="4"/>
    <x v="168"/>
    <d v="2011-05-19T00:00:00"/>
    <s v="Ullevålsveien 14"/>
    <s v="Oslo"/>
    <m/>
    <x v="1"/>
    <n v="1.98"/>
  </r>
  <r>
    <n v="198"/>
    <n v="6"/>
    <x v="169"/>
    <d v="2011-05-20T00:00:00"/>
    <s v="Rilská 3174/6"/>
    <s v="Prague"/>
    <m/>
    <x v="16"/>
    <n v="3.96"/>
  </r>
  <r>
    <n v="199"/>
    <n v="10"/>
    <x v="170"/>
    <d v="2011-05-21T00:00:00"/>
    <s v="Rua Dr. Falcão Filho, 155"/>
    <s v="São Paulo"/>
    <s v="SP"/>
    <x v="11"/>
    <n v="5.94"/>
  </r>
  <r>
    <n v="200"/>
    <n v="16"/>
    <x v="171"/>
    <d v="2011-05-24T00:00:00"/>
    <s v="1600 Amphitheatre Parkway"/>
    <s v="Mountain View"/>
    <s v="CA"/>
    <x v="4"/>
    <n v="8.91"/>
  </r>
  <r>
    <n v="201"/>
    <n v="25"/>
    <x v="172"/>
    <d v="2011-05-29T00:00:00"/>
    <s v="319 N. Frances Street"/>
    <s v="Madison"/>
    <s v="WI"/>
    <x v="4"/>
    <n v="18.86"/>
  </r>
  <r>
    <n v="202"/>
    <n v="39"/>
    <x v="173"/>
    <d v="2011-06-06T00:00:00"/>
    <s v="4, Rue Milton"/>
    <s v="Paris"/>
    <m/>
    <x v="5"/>
    <n v="1.99"/>
  </r>
  <r>
    <n v="203"/>
    <n v="40"/>
    <x v="174"/>
    <d v="2011-06-19T00:00:00"/>
    <s v="8, Rue Hanovre"/>
    <s v="Paris"/>
    <m/>
    <x v="5"/>
    <n v="2.98"/>
  </r>
  <r>
    <n v="204"/>
    <n v="42"/>
    <x v="174"/>
    <d v="2011-06-19T00:00:00"/>
    <s v="9, Place Louis Barthou"/>
    <s v="Bordeaux"/>
    <m/>
    <x v="5"/>
    <n v="3.98"/>
  </r>
  <r>
    <n v="205"/>
    <n v="44"/>
    <x v="175"/>
    <d v="2011-06-20T00:00:00"/>
    <s v="Porthaninkatu 9"/>
    <s v="Helsinki"/>
    <m/>
    <x v="17"/>
    <n v="7.96"/>
  </r>
  <r>
    <n v="206"/>
    <n v="48"/>
    <x v="176"/>
    <d v="2011-06-21T00:00:00"/>
    <s v="Lijnbaansgracht 120bg"/>
    <s v="Amsterdam"/>
    <s v="VV"/>
    <x v="13"/>
    <n v="8.94"/>
  </r>
  <r>
    <n v="207"/>
    <n v="54"/>
    <x v="177"/>
    <d v="2011-06-24T00:00:00"/>
    <s v="110 Raeburn Pl"/>
    <s v="Edinburgh "/>
    <m/>
    <x v="7"/>
    <n v="8.91"/>
  </r>
  <r>
    <n v="208"/>
    <n v="4"/>
    <x v="178"/>
    <d v="2011-06-29T00:00:00"/>
    <s v="Ullevålsveien 14"/>
    <s v="Oslo"/>
    <m/>
    <x v="1"/>
    <n v="15.86"/>
  </r>
  <r>
    <n v="209"/>
    <n v="18"/>
    <x v="179"/>
    <d v="2011-07-07T00:00:00"/>
    <s v="627 Broadway"/>
    <s v="New York"/>
    <s v="NY"/>
    <x v="4"/>
    <n v="0.99"/>
  </r>
  <r>
    <n v="210"/>
    <n v="19"/>
    <x v="180"/>
    <d v="2011-07-20T00:00:00"/>
    <s v="1 Infinite Loop"/>
    <s v="Cupertino"/>
    <s v="CA"/>
    <x v="4"/>
    <n v="1.98"/>
  </r>
  <r>
    <n v="211"/>
    <n v="21"/>
    <x v="180"/>
    <d v="2011-07-20T00:00:00"/>
    <s v="801 W 4th Street"/>
    <s v="Reno"/>
    <s v="NV"/>
    <x v="4"/>
    <n v="1.98"/>
  </r>
  <r>
    <n v="212"/>
    <n v="23"/>
    <x v="181"/>
    <d v="2011-07-21T00:00:00"/>
    <s v="69 Salem Street"/>
    <s v="Boston"/>
    <s v="MA"/>
    <x v="4"/>
    <n v="3.96"/>
  </r>
  <r>
    <n v="213"/>
    <n v="27"/>
    <x v="182"/>
    <d v="2011-07-22T00:00:00"/>
    <s v="1033 N Park Ave"/>
    <s v="Tucson"/>
    <s v="AZ"/>
    <x v="4"/>
    <n v="5.94"/>
  </r>
  <r>
    <n v="214"/>
    <n v="33"/>
    <x v="183"/>
    <d v="2011-07-25T00:00:00"/>
    <s v="5112 48 Street"/>
    <s v="Yellowknife"/>
    <s v="NT"/>
    <x v="3"/>
    <n v="8.91"/>
  </r>
  <r>
    <n v="215"/>
    <n v="42"/>
    <x v="184"/>
    <d v="2011-07-30T00:00:00"/>
    <s v="9, Place Louis Barthou"/>
    <s v="Bordeaux"/>
    <m/>
    <x v="5"/>
    <n v="13.86"/>
  </r>
  <r>
    <n v="216"/>
    <n v="56"/>
    <x v="185"/>
    <d v="2011-08-07T00:00:00"/>
    <s v="307 Macacha Güemes"/>
    <s v="Buenos Aires"/>
    <m/>
    <x v="23"/>
    <n v="0.99"/>
  </r>
  <r>
    <n v="217"/>
    <n v="57"/>
    <x v="186"/>
    <d v="2011-08-20T00:00:00"/>
    <s v="Calle Lira, 198"/>
    <s v="Santiago"/>
    <m/>
    <x v="9"/>
    <n v="1.98"/>
  </r>
  <r>
    <n v="218"/>
    <n v="59"/>
    <x v="186"/>
    <d v="2011-08-20T00:00:00"/>
    <s v="3,Raj Bhavan Road"/>
    <s v="Bangalore"/>
    <m/>
    <x v="10"/>
    <n v="1.98"/>
  </r>
  <r>
    <n v="219"/>
    <n v="2"/>
    <x v="187"/>
    <d v="2011-08-21T00:00:00"/>
    <s v="Theodor-Heuss-Straße 34"/>
    <s v="Stuttgart"/>
    <m/>
    <x v="0"/>
    <n v="3.96"/>
  </r>
  <r>
    <n v="220"/>
    <n v="6"/>
    <x v="188"/>
    <d v="2011-08-22T00:00:00"/>
    <s v="Rilská 3174/6"/>
    <s v="Prague"/>
    <m/>
    <x v="16"/>
    <n v="5.94"/>
  </r>
  <r>
    <n v="221"/>
    <n v="12"/>
    <x v="189"/>
    <d v="2011-08-25T00:00:00"/>
    <s v="Praça Pio X, 119"/>
    <s v="Rio de Janeiro"/>
    <s v="RJ"/>
    <x v="11"/>
    <n v="8.91"/>
  </r>
  <r>
    <n v="222"/>
    <n v="21"/>
    <x v="190"/>
    <d v="2011-08-30T00:00:00"/>
    <s v="801 W 4th Street"/>
    <s v="Reno"/>
    <s v="NV"/>
    <x v="4"/>
    <n v="13.86"/>
  </r>
  <r>
    <n v="223"/>
    <n v="35"/>
    <x v="191"/>
    <d v="2011-09-07T00:00:00"/>
    <s v="Rua dos Campeões Europeus de Viena, 4350"/>
    <s v="Porto"/>
    <m/>
    <x v="12"/>
    <n v="0.99"/>
  </r>
  <r>
    <n v="224"/>
    <n v="36"/>
    <x v="192"/>
    <d v="2011-09-20T00:00:00"/>
    <s v="Tauentzienstraße 8"/>
    <s v="Berlin"/>
    <m/>
    <x v="0"/>
    <n v="1.98"/>
  </r>
  <r>
    <n v="225"/>
    <n v="38"/>
    <x v="192"/>
    <d v="2011-09-20T00:00:00"/>
    <s v="Barbarossastraße 19"/>
    <s v="Berlin"/>
    <m/>
    <x v="0"/>
    <n v="1.98"/>
  </r>
  <r>
    <n v="226"/>
    <n v="40"/>
    <x v="193"/>
    <d v="2011-09-21T00:00:00"/>
    <s v="8, Rue Hanovre"/>
    <s v="Paris"/>
    <m/>
    <x v="5"/>
    <n v="3.96"/>
  </r>
  <r>
    <n v="227"/>
    <n v="44"/>
    <x v="194"/>
    <d v="2011-09-22T00:00:00"/>
    <s v="Porthaninkatu 9"/>
    <s v="Helsinki"/>
    <m/>
    <x v="17"/>
    <n v="5.94"/>
  </r>
  <r>
    <n v="228"/>
    <n v="50"/>
    <x v="195"/>
    <d v="2011-09-25T00:00:00"/>
    <s v="C/ San Bernardo 85"/>
    <s v="Madrid"/>
    <m/>
    <x v="14"/>
    <n v="8.91"/>
  </r>
  <r>
    <n v="229"/>
    <n v="59"/>
    <x v="196"/>
    <d v="2011-09-30T00:00:00"/>
    <s v="3,Raj Bhavan Road"/>
    <s v="Bangalore"/>
    <m/>
    <x v="10"/>
    <n v="13.86"/>
  </r>
  <r>
    <n v="230"/>
    <n v="14"/>
    <x v="197"/>
    <d v="2011-10-08T00:00:00"/>
    <s v="8210 111 ST NW"/>
    <s v="Edmonton"/>
    <s v="AB"/>
    <x v="3"/>
    <n v="0.99"/>
  </r>
  <r>
    <n v="231"/>
    <n v="15"/>
    <x v="198"/>
    <d v="2011-10-21T00:00:00"/>
    <s v="700 W Pender Street"/>
    <s v="Vancouver"/>
    <s v="BC"/>
    <x v="3"/>
    <n v="1.98"/>
  </r>
  <r>
    <n v="232"/>
    <n v="17"/>
    <x v="198"/>
    <d v="2011-10-21T00:00:00"/>
    <s v="1 Microsoft Way"/>
    <s v="Redmond"/>
    <s v="WA"/>
    <x v="4"/>
    <n v="1.98"/>
  </r>
  <r>
    <n v="233"/>
    <n v="19"/>
    <x v="199"/>
    <d v="2011-10-22T00:00:00"/>
    <s v="1 Infinite Loop"/>
    <s v="Cupertino"/>
    <s v="CA"/>
    <x v="4"/>
    <n v="3.96"/>
  </r>
  <r>
    <n v="234"/>
    <n v="23"/>
    <x v="200"/>
    <d v="2011-10-23T00:00:00"/>
    <s v="69 Salem Street"/>
    <s v="Boston"/>
    <s v="MA"/>
    <x v="4"/>
    <n v="5.94"/>
  </r>
  <r>
    <n v="235"/>
    <n v="29"/>
    <x v="201"/>
    <d v="2011-10-26T00:00:00"/>
    <s v="796 Dundas Street West"/>
    <s v="Toronto"/>
    <s v="ON"/>
    <x v="3"/>
    <n v="8.91"/>
  </r>
  <r>
    <n v="236"/>
    <n v="38"/>
    <x v="202"/>
    <d v="2011-10-31T00:00:00"/>
    <s v="Barbarossastraße 19"/>
    <s v="Berlin"/>
    <m/>
    <x v="0"/>
    <n v="13.86"/>
  </r>
  <r>
    <n v="237"/>
    <n v="52"/>
    <x v="203"/>
    <d v="2011-11-08T00:00:00"/>
    <s v="202 Hoxton Street"/>
    <s v="London"/>
    <m/>
    <x v="7"/>
    <n v="0.99"/>
  </r>
  <r>
    <n v="238"/>
    <n v="53"/>
    <x v="204"/>
    <d v="2011-11-21T00:00:00"/>
    <s v="113 Lupus St"/>
    <s v="London"/>
    <m/>
    <x v="7"/>
    <n v="1.98"/>
  </r>
  <r>
    <n v="239"/>
    <n v="55"/>
    <x v="204"/>
    <d v="2011-11-21T00:00:00"/>
    <s v="421 Bourke Street"/>
    <s v="Sidney"/>
    <s v="NSW"/>
    <x v="8"/>
    <n v="1.98"/>
  </r>
  <r>
    <n v="240"/>
    <n v="57"/>
    <x v="205"/>
    <d v="2011-11-22T00:00:00"/>
    <s v="Calle Lira, 198"/>
    <s v="Santiago"/>
    <m/>
    <x v="9"/>
    <n v="3.96"/>
  </r>
  <r>
    <n v="241"/>
    <n v="2"/>
    <x v="206"/>
    <d v="2011-11-23T00:00:00"/>
    <s v="Theodor-Heuss-Straße 34"/>
    <s v="Stuttgart"/>
    <m/>
    <x v="0"/>
    <n v="5.94"/>
  </r>
  <r>
    <n v="242"/>
    <n v="8"/>
    <x v="207"/>
    <d v="2011-11-26T00:00:00"/>
    <s v="Grétrystraat 63"/>
    <s v="Brussels"/>
    <m/>
    <x v="2"/>
    <n v="8.91"/>
  </r>
  <r>
    <n v="243"/>
    <n v="17"/>
    <x v="208"/>
    <d v="2011-12-01T00:00:00"/>
    <s v="1 Microsoft Way"/>
    <s v="Redmond"/>
    <s v="WA"/>
    <x v="4"/>
    <n v="13.86"/>
  </r>
  <r>
    <n v="244"/>
    <n v="31"/>
    <x v="209"/>
    <d v="2011-12-09T00:00:00"/>
    <s v="194A Chain Lake Drive"/>
    <s v="Halifax"/>
    <s v="NS"/>
    <x v="3"/>
    <n v="0.99"/>
  </r>
  <r>
    <n v="245"/>
    <n v="32"/>
    <x v="210"/>
    <d v="2011-12-22T00:00:00"/>
    <s v="696 Osborne Street"/>
    <s v="Winnipeg"/>
    <s v="MB"/>
    <x v="3"/>
    <n v="1.98"/>
  </r>
  <r>
    <n v="246"/>
    <n v="34"/>
    <x v="210"/>
    <d v="2011-12-22T00:00:00"/>
    <s v="Rua da Assunção 53"/>
    <s v="Lisbon"/>
    <m/>
    <x v="12"/>
    <n v="1.98"/>
  </r>
  <r>
    <n v="247"/>
    <n v="36"/>
    <x v="211"/>
    <d v="2011-12-23T00:00:00"/>
    <s v="Tauentzienstraße 8"/>
    <s v="Berlin"/>
    <m/>
    <x v="0"/>
    <n v="3.96"/>
  </r>
  <r>
    <n v="248"/>
    <n v="40"/>
    <x v="212"/>
    <d v="2011-12-24T00:00:00"/>
    <s v="8, Rue Hanovre"/>
    <s v="Paris"/>
    <m/>
    <x v="5"/>
    <n v="5.94"/>
  </r>
  <r>
    <n v="249"/>
    <n v="46"/>
    <x v="213"/>
    <d v="2011-12-27T00:00:00"/>
    <s v="3 Chatham Street"/>
    <s v="Dublin"/>
    <s v="Dublin"/>
    <x v="6"/>
    <n v="8.91"/>
  </r>
  <r>
    <n v="250"/>
    <n v="55"/>
    <x v="214"/>
    <d v="2012-01-01T00:00:00"/>
    <s v="421 Bourke Street"/>
    <s v="Sidney"/>
    <s v="NSW"/>
    <x v="8"/>
    <n v="13.86"/>
  </r>
  <r>
    <n v="251"/>
    <n v="10"/>
    <x v="215"/>
    <d v="2012-01-09T00:00:00"/>
    <s v="Rua Dr. Falcão Filho, 155"/>
    <s v="São Paulo"/>
    <s v="SP"/>
    <x v="11"/>
    <n v="0.99"/>
  </r>
  <r>
    <n v="252"/>
    <n v="11"/>
    <x v="216"/>
    <d v="2012-01-22T00:00:00"/>
    <s v="Av. Paulista, 2022"/>
    <s v="São Paulo"/>
    <s v="SP"/>
    <x v="11"/>
    <n v="1.98"/>
  </r>
  <r>
    <n v="253"/>
    <n v="13"/>
    <x v="216"/>
    <d v="2012-01-22T00:00:00"/>
    <s v="Qe 7 Bloco G"/>
    <s v="Brasília"/>
    <s v="DF"/>
    <x v="11"/>
    <n v="1.98"/>
  </r>
  <r>
    <n v="254"/>
    <n v="15"/>
    <x v="217"/>
    <d v="2012-01-23T00:00:00"/>
    <s v="700 W Pender Street"/>
    <s v="Vancouver"/>
    <s v="BC"/>
    <x v="3"/>
    <n v="3.96"/>
  </r>
  <r>
    <n v="255"/>
    <n v="19"/>
    <x v="218"/>
    <d v="2012-01-24T00:00:00"/>
    <s v="1 Infinite Loop"/>
    <s v="Cupertino"/>
    <s v="CA"/>
    <x v="4"/>
    <n v="5.94"/>
  </r>
  <r>
    <n v="256"/>
    <n v="25"/>
    <x v="219"/>
    <d v="2012-01-27T00:00:00"/>
    <s v="319 N. Frances Street"/>
    <s v="Madison"/>
    <s v="WI"/>
    <x v="4"/>
    <n v="8.91"/>
  </r>
  <r>
    <n v="257"/>
    <n v="34"/>
    <x v="220"/>
    <d v="2012-02-01T00:00:00"/>
    <s v="Rua da Assunção 53"/>
    <s v="Lisbon"/>
    <m/>
    <x v="12"/>
    <n v="13.86"/>
  </r>
  <r>
    <n v="258"/>
    <n v="48"/>
    <x v="221"/>
    <d v="2012-02-09T00:00:00"/>
    <s v="Lijnbaansgracht 120bg"/>
    <s v="Amsterdam"/>
    <s v="VV"/>
    <x v="13"/>
    <n v="0.99"/>
  </r>
  <r>
    <n v="259"/>
    <n v="49"/>
    <x v="222"/>
    <d v="2012-02-22T00:00:00"/>
    <s v="Ordynacka 10"/>
    <s v="Warsaw"/>
    <m/>
    <x v="20"/>
    <n v="1.98"/>
  </r>
  <r>
    <n v="260"/>
    <n v="51"/>
    <x v="222"/>
    <d v="2012-02-22T00:00:00"/>
    <s v="Celsiusg. 9"/>
    <s v="Stockholm"/>
    <m/>
    <x v="15"/>
    <n v="1.98"/>
  </r>
  <r>
    <n v="261"/>
    <n v="53"/>
    <x v="223"/>
    <d v="2012-02-23T00:00:00"/>
    <s v="113 Lupus St"/>
    <s v="London"/>
    <m/>
    <x v="7"/>
    <n v="3.96"/>
  </r>
  <r>
    <n v="262"/>
    <n v="57"/>
    <x v="224"/>
    <d v="2012-02-24T00:00:00"/>
    <s v="Calle Lira, 198"/>
    <s v="Santiago"/>
    <m/>
    <x v="9"/>
    <n v="5.94"/>
  </r>
  <r>
    <n v="263"/>
    <n v="4"/>
    <x v="225"/>
    <d v="2012-02-27T00:00:00"/>
    <s v="Ullevålsveien 14"/>
    <s v="Oslo"/>
    <m/>
    <x v="1"/>
    <n v="8.91"/>
  </r>
  <r>
    <n v="264"/>
    <n v="13"/>
    <x v="226"/>
    <d v="2012-03-03T00:00:00"/>
    <s v="Qe 7 Bloco G"/>
    <s v="Brasília"/>
    <s v="DF"/>
    <x v="11"/>
    <n v="13.86"/>
  </r>
  <r>
    <n v="265"/>
    <n v="27"/>
    <x v="227"/>
    <d v="2012-03-11T00:00:00"/>
    <s v="1033 N Park Ave"/>
    <s v="Tucson"/>
    <s v="AZ"/>
    <x v="4"/>
    <n v="0.99"/>
  </r>
  <r>
    <n v="266"/>
    <n v="28"/>
    <x v="228"/>
    <d v="2012-03-24T00:00:00"/>
    <s v="302 S 700 E"/>
    <s v="Salt Lake City"/>
    <s v="UT"/>
    <x v="4"/>
    <n v="1.98"/>
  </r>
  <r>
    <n v="267"/>
    <n v="30"/>
    <x v="228"/>
    <d v="2012-03-24T00:00:00"/>
    <s v="230 Elgin Street"/>
    <s v="Ottawa"/>
    <s v="ON"/>
    <x v="3"/>
    <n v="1.98"/>
  </r>
  <r>
    <n v="268"/>
    <n v="32"/>
    <x v="229"/>
    <d v="2012-03-25T00:00:00"/>
    <s v="696 Osborne Street"/>
    <s v="Winnipeg"/>
    <s v="MB"/>
    <x v="3"/>
    <n v="3.96"/>
  </r>
  <r>
    <n v="269"/>
    <n v="36"/>
    <x v="230"/>
    <d v="2012-03-26T00:00:00"/>
    <s v="Tauentzienstraße 8"/>
    <s v="Berlin"/>
    <m/>
    <x v="0"/>
    <n v="5.94"/>
  </r>
  <r>
    <n v="270"/>
    <n v="42"/>
    <x v="231"/>
    <d v="2012-03-29T00:00:00"/>
    <s v="9, Place Louis Barthou"/>
    <s v="Bordeaux"/>
    <m/>
    <x v="5"/>
    <n v="8.91"/>
  </r>
  <r>
    <n v="271"/>
    <n v="51"/>
    <x v="232"/>
    <d v="2012-04-03T00:00:00"/>
    <s v="Celsiusg. 9"/>
    <s v="Stockholm"/>
    <m/>
    <x v="15"/>
    <n v="13.86"/>
  </r>
  <r>
    <n v="272"/>
    <n v="6"/>
    <x v="233"/>
    <d v="2012-04-11T00:00:00"/>
    <s v="Rilská 3174/6"/>
    <s v="Prague"/>
    <m/>
    <x v="16"/>
    <n v="0.99"/>
  </r>
  <r>
    <n v="273"/>
    <n v="7"/>
    <x v="234"/>
    <d v="2012-04-24T00:00:00"/>
    <s v="Rotenturmstraße 4, 1010 Innere Stadt"/>
    <s v="Vienne"/>
    <m/>
    <x v="21"/>
    <n v="1.98"/>
  </r>
  <r>
    <n v="274"/>
    <n v="9"/>
    <x v="234"/>
    <d v="2012-04-24T00:00:00"/>
    <s v="Sønder Boulevard 51"/>
    <s v="Copenhagen"/>
    <m/>
    <x v="18"/>
    <n v="1.98"/>
  </r>
  <r>
    <n v="275"/>
    <n v="11"/>
    <x v="235"/>
    <d v="2012-04-25T00:00:00"/>
    <s v="Av. Paulista, 2022"/>
    <s v="São Paulo"/>
    <s v="SP"/>
    <x v="11"/>
    <n v="3.96"/>
  </r>
  <r>
    <n v="276"/>
    <n v="15"/>
    <x v="236"/>
    <d v="2012-04-26T00:00:00"/>
    <s v="700 W Pender Street"/>
    <s v="Vancouver"/>
    <s v="BC"/>
    <x v="3"/>
    <n v="5.94"/>
  </r>
  <r>
    <n v="277"/>
    <n v="21"/>
    <x v="237"/>
    <d v="2012-04-29T00:00:00"/>
    <s v="801 W 4th Street"/>
    <s v="Reno"/>
    <s v="NV"/>
    <x v="4"/>
    <n v="8.91"/>
  </r>
  <r>
    <n v="278"/>
    <n v="30"/>
    <x v="238"/>
    <d v="2012-05-04T00:00:00"/>
    <s v="230 Elgin Street"/>
    <s v="Ottawa"/>
    <s v="ON"/>
    <x v="3"/>
    <n v="13.86"/>
  </r>
  <r>
    <n v="279"/>
    <n v="44"/>
    <x v="239"/>
    <d v="2012-05-12T00:00:00"/>
    <s v="Porthaninkatu 9"/>
    <s v="Helsinki"/>
    <m/>
    <x v="17"/>
    <n v="0.99"/>
  </r>
  <r>
    <n v="280"/>
    <n v="45"/>
    <x v="240"/>
    <d v="2012-05-25T00:00:00"/>
    <s v="Erzsébet krt. 58."/>
    <s v="Budapest"/>
    <m/>
    <x v="22"/>
    <n v="1.98"/>
  </r>
  <r>
    <n v="281"/>
    <n v="47"/>
    <x v="240"/>
    <d v="2012-05-25T00:00:00"/>
    <s v="Via Degli Scipioni, 43"/>
    <s v="Rome"/>
    <s v="RM"/>
    <x v="19"/>
    <n v="1.98"/>
  </r>
  <r>
    <n v="282"/>
    <n v="49"/>
    <x v="241"/>
    <d v="2012-05-26T00:00:00"/>
    <s v="Ordynacka 10"/>
    <s v="Warsaw"/>
    <m/>
    <x v="20"/>
    <n v="3.96"/>
  </r>
  <r>
    <n v="283"/>
    <n v="53"/>
    <x v="242"/>
    <d v="2012-05-27T00:00:00"/>
    <s v="113 Lupus St"/>
    <s v="London"/>
    <m/>
    <x v="7"/>
    <n v="5.94"/>
  </r>
  <r>
    <n v="284"/>
    <n v="59"/>
    <x v="243"/>
    <d v="2012-05-30T00:00:00"/>
    <s v="3,Raj Bhavan Road"/>
    <s v="Bangalore"/>
    <m/>
    <x v="10"/>
    <n v="8.91"/>
  </r>
  <r>
    <n v="285"/>
    <n v="9"/>
    <x v="244"/>
    <d v="2012-06-04T00:00:00"/>
    <s v="Sønder Boulevard 51"/>
    <s v="Copenhagen"/>
    <m/>
    <x v="18"/>
    <n v="13.86"/>
  </r>
  <r>
    <n v="286"/>
    <n v="23"/>
    <x v="245"/>
    <d v="2012-06-12T00:00:00"/>
    <s v="69 Salem Street"/>
    <s v="Boston"/>
    <s v="MA"/>
    <x v="4"/>
    <n v="0.99"/>
  </r>
  <r>
    <n v="287"/>
    <n v="24"/>
    <x v="246"/>
    <d v="2012-06-25T00:00:00"/>
    <s v="162 E Superior Street"/>
    <s v="Chicago"/>
    <s v="IL"/>
    <x v="4"/>
    <n v="1.98"/>
  </r>
  <r>
    <n v="288"/>
    <n v="26"/>
    <x v="246"/>
    <d v="2012-06-25T00:00:00"/>
    <s v="2211 W Berry Street"/>
    <s v="Fort Worth"/>
    <s v="TX"/>
    <x v="4"/>
    <n v="1.98"/>
  </r>
  <r>
    <n v="289"/>
    <n v="28"/>
    <x v="247"/>
    <d v="2012-06-26T00:00:00"/>
    <s v="302 S 700 E"/>
    <s v="Salt Lake City"/>
    <s v="UT"/>
    <x v="4"/>
    <n v="3.96"/>
  </r>
  <r>
    <n v="290"/>
    <n v="32"/>
    <x v="248"/>
    <d v="2012-06-27T00:00:00"/>
    <s v="696 Osborne Street"/>
    <s v="Winnipeg"/>
    <s v="MB"/>
    <x v="3"/>
    <n v="5.94"/>
  </r>
  <r>
    <n v="291"/>
    <n v="38"/>
    <x v="249"/>
    <d v="2012-06-30T00:00:00"/>
    <s v="Barbarossastraße 19"/>
    <s v="Berlin"/>
    <m/>
    <x v="0"/>
    <n v="8.91"/>
  </r>
  <r>
    <n v="292"/>
    <n v="47"/>
    <x v="250"/>
    <d v="2012-07-05T00:00:00"/>
    <s v="Via Degli Scipioni, 43"/>
    <s v="Rome"/>
    <s v="RM"/>
    <x v="19"/>
    <n v="13.86"/>
  </r>
  <r>
    <n v="293"/>
    <n v="2"/>
    <x v="251"/>
    <d v="2012-07-13T00:00:00"/>
    <s v="Theodor-Heuss-Straße 34"/>
    <s v="Stuttgart"/>
    <m/>
    <x v="0"/>
    <n v="0.99"/>
  </r>
  <r>
    <n v="294"/>
    <n v="3"/>
    <x v="252"/>
    <d v="2012-07-26T00:00:00"/>
    <s v="1498 rue Bélanger"/>
    <s v="Montréal"/>
    <s v="QC"/>
    <x v="3"/>
    <n v="1.98"/>
  </r>
  <r>
    <n v="295"/>
    <n v="5"/>
    <x v="252"/>
    <d v="2012-07-26T00:00:00"/>
    <s v="Klanova 9/506"/>
    <s v="Prague"/>
    <m/>
    <x v="16"/>
    <n v="1.98"/>
  </r>
  <r>
    <n v="296"/>
    <n v="7"/>
    <x v="253"/>
    <d v="2012-07-27T00:00:00"/>
    <s v="Rotenturmstraße 4, 1010 Innere Stadt"/>
    <s v="Vienne"/>
    <m/>
    <x v="21"/>
    <n v="3.96"/>
  </r>
  <r>
    <n v="297"/>
    <n v="11"/>
    <x v="254"/>
    <d v="2012-07-28T00:00:00"/>
    <s v="Av. Paulista, 2022"/>
    <s v="São Paulo"/>
    <s v="SP"/>
    <x v="11"/>
    <n v="5.94"/>
  </r>
  <r>
    <n v="298"/>
    <n v="17"/>
    <x v="255"/>
    <d v="2012-07-31T00:00:00"/>
    <s v="1 Microsoft Way"/>
    <s v="Redmond"/>
    <s v="WA"/>
    <x v="4"/>
    <n v="10.91"/>
  </r>
  <r>
    <n v="299"/>
    <n v="26"/>
    <x v="256"/>
    <d v="2012-08-05T00:00:00"/>
    <s v="2211 W Berry Street"/>
    <s v="Fort Worth"/>
    <s v="TX"/>
    <x v="4"/>
    <n v="23.86"/>
  </r>
  <r>
    <n v="300"/>
    <n v="40"/>
    <x v="257"/>
    <d v="2012-08-13T00:00:00"/>
    <s v="8, Rue Hanovre"/>
    <s v="Paris"/>
    <m/>
    <x v="5"/>
    <n v="0.99"/>
  </r>
  <r>
    <n v="301"/>
    <n v="41"/>
    <x v="258"/>
    <d v="2012-08-26T00:00:00"/>
    <s v="11, Place Bellecour"/>
    <s v="Lyon"/>
    <m/>
    <x v="5"/>
    <n v="1.98"/>
  </r>
  <r>
    <n v="302"/>
    <n v="43"/>
    <x v="258"/>
    <d v="2012-08-26T00:00:00"/>
    <s v="68, Rue Jouvence"/>
    <s v="Dijon"/>
    <m/>
    <x v="5"/>
    <n v="1.98"/>
  </r>
  <r>
    <n v="303"/>
    <n v="45"/>
    <x v="259"/>
    <d v="2012-08-27T00:00:00"/>
    <s v="Erzsébet krt. 58."/>
    <s v="Budapest"/>
    <m/>
    <x v="22"/>
    <n v="3.96"/>
  </r>
  <r>
    <n v="304"/>
    <n v="49"/>
    <x v="260"/>
    <d v="2012-08-28T00:00:00"/>
    <s v="Ordynacka 10"/>
    <s v="Warsaw"/>
    <m/>
    <x v="20"/>
    <n v="5.94"/>
  </r>
  <r>
    <n v="305"/>
    <n v="55"/>
    <x v="261"/>
    <d v="2012-08-31T00:00:00"/>
    <s v="421 Bourke Street"/>
    <s v="Sidney"/>
    <s v="NSW"/>
    <x v="8"/>
    <n v="8.91"/>
  </r>
  <r>
    <n v="306"/>
    <n v="5"/>
    <x v="262"/>
    <d v="2012-09-05T00:00:00"/>
    <s v="Klanova 9/506"/>
    <s v="Prague"/>
    <m/>
    <x v="16"/>
    <n v="16.86"/>
  </r>
  <r>
    <n v="307"/>
    <n v="19"/>
    <x v="263"/>
    <d v="2012-09-13T00:00:00"/>
    <s v="1 Infinite Loop"/>
    <s v="Cupertino"/>
    <s v="CA"/>
    <x v="4"/>
    <n v="1.99"/>
  </r>
  <r>
    <n v="308"/>
    <n v="20"/>
    <x v="264"/>
    <d v="2012-09-26T00:00:00"/>
    <s v="541 Del Medio Avenue"/>
    <s v="Mountain View"/>
    <s v="CA"/>
    <x v="4"/>
    <n v="3.98"/>
  </r>
  <r>
    <n v="309"/>
    <n v="22"/>
    <x v="264"/>
    <d v="2012-09-26T00:00:00"/>
    <s v="120 S Orange Ave"/>
    <s v="Orlando"/>
    <s v="FL"/>
    <x v="4"/>
    <n v="3.98"/>
  </r>
  <r>
    <n v="310"/>
    <n v="24"/>
    <x v="265"/>
    <d v="2012-09-27T00:00:00"/>
    <s v="162 E Superior Street"/>
    <s v="Chicago"/>
    <s v="IL"/>
    <x v="4"/>
    <n v="7.96"/>
  </r>
  <r>
    <n v="311"/>
    <n v="28"/>
    <x v="266"/>
    <d v="2012-09-28T00:00:00"/>
    <s v="302 S 700 E"/>
    <s v="Salt Lake City"/>
    <s v="UT"/>
    <x v="4"/>
    <n v="11.94"/>
  </r>
  <r>
    <n v="312"/>
    <n v="34"/>
    <x v="267"/>
    <d v="2012-10-01T00:00:00"/>
    <s v="Rua da Assunção 53"/>
    <s v="Lisbon"/>
    <m/>
    <x v="12"/>
    <n v="10.91"/>
  </r>
  <r>
    <n v="313"/>
    <n v="43"/>
    <x v="268"/>
    <d v="2012-10-06T00:00:00"/>
    <s v="68, Rue Jouvence"/>
    <s v="Dijon"/>
    <m/>
    <x v="5"/>
    <n v="16.86"/>
  </r>
  <r>
    <n v="314"/>
    <n v="57"/>
    <x v="269"/>
    <d v="2012-10-14T00:00:00"/>
    <s v="Calle Lira, 198"/>
    <s v="Santiago"/>
    <m/>
    <x v="9"/>
    <n v="0.99"/>
  </r>
  <r>
    <n v="315"/>
    <n v="58"/>
    <x v="270"/>
    <d v="2012-10-27T00:00:00"/>
    <s v="12,Community Centre"/>
    <s v="Delhi"/>
    <m/>
    <x v="10"/>
    <n v="1.98"/>
  </r>
  <r>
    <n v="316"/>
    <n v="1"/>
    <x v="270"/>
    <d v="2012-10-27T00:00:00"/>
    <s v="Av. Brigadeiro Faria Lima, 2170"/>
    <s v="São José dos Campos"/>
    <s v="SP"/>
    <x v="11"/>
    <n v="1.98"/>
  </r>
  <r>
    <n v="317"/>
    <n v="3"/>
    <x v="271"/>
    <d v="2012-10-28T00:00:00"/>
    <s v="1498 rue Bélanger"/>
    <s v="Montréal"/>
    <s v="QC"/>
    <x v="3"/>
    <n v="3.96"/>
  </r>
  <r>
    <n v="318"/>
    <n v="7"/>
    <x v="272"/>
    <d v="2012-10-29T00:00:00"/>
    <s v="Rotenturmstraße 4, 1010 Innere Stadt"/>
    <s v="Vienne"/>
    <m/>
    <x v="21"/>
    <n v="5.94"/>
  </r>
  <r>
    <n v="319"/>
    <n v="13"/>
    <x v="273"/>
    <d v="2012-11-01T00:00:00"/>
    <s v="Qe 7 Bloco G"/>
    <s v="Brasília"/>
    <s v="DF"/>
    <x v="11"/>
    <n v="8.91"/>
  </r>
  <r>
    <n v="320"/>
    <n v="22"/>
    <x v="274"/>
    <d v="2012-11-06T00:00:00"/>
    <s v="120 S Orange Ave"/>
    <s v="Orlando"/>
    <s v="FL"/>
    <x v="4"/>
    <n v="13.86"/>
  </r>
  <r>
    <n v="321"/>
    <n v="36"/>
    <x v="275"/>
    <d v="2012-11-14T00:00:00"/>
    <s v="Tauentzienstraße 8"/>
    <s v="Berlin"/>
    <m/>
    <x v="0"/>
    <n v="0.99"/>
  </r>
  <r>
    <n v="322"/>
    <n v="37"/>
    <x v="276"/>
    <d v="2012-11-27T00:00:00"/>
    <s v="Berger Straße 10"/>
    <s v="Frankfurt"/>
    <m/>
    <x v="0"/>
    <n v="1.98"/>
  </r>
  <r>
    <n v="323"/>
    <n v="39"/>
    <x v="276"/>
    <d v="2012-11-27T00:00:00"/>
    <s v="4, Rue Milton"/>
    <s v="Paris"/>
    <m/>
    <x v="5"/>
    <n v="1.98"/>
  </r>
  <r>
    <n v="324"/>
    <n v="41"/>
    <x v="277"/>
    <d v="2012-11-28T00:00:00"/>
    <s v="11, Place Bellecour"/>
    <s v="Lyon"/>
    <m/>
    <x v="5"/>
    <n v="3.96"/>
  </r>
  <r>
    <n v="325"/>
    <n v="45"/>
    <x v="278"/>
    <d v="2012-11-29T00:00:00"/>
    <s v="Erzsébet krt. 58."/>
    <s v="Budapest"/>
    <m/>
    <x v="22"/>
    <n v="5.94"/>
  </r>
  <r>
    <n v="326"/>
    <n v="51"/>
    <x v="279"/>
    <d v="2012-12-02T00:00:00"/>
    <s v="Celsiusg. 9"/>
    <s v="Stockholm"/>
    <m/>
    <x v="15"/>
    <n v="8.91"/>
  </r>
  <r>
    <n v="327"/>
    <n v="1"/>
    <x v="280"/>
    <d v="2012-12-07T00:00:00"/>
    <s v="Av. Brigadeiro Faria Lima, 2170"/>
    <s v="São José dos Campos"/>
    <s v="SP"/>
    <x v="11"/>
    <n v="13.86"/>
  </r>
  <r>
    <n v="328"/>
    <n v="15"/>
    <x v="281"/>
    <d v="2012-12-15T00:00:00"/>
    <s v="700 W Pender Street"/>
    <s v="Vancouver"/>
    <s v="BC"/>
    <x v="3"/>
    <n v="0.99"/>
  </r>
  <r>
    <n v="329"/>
    <n v="16"/>
    <x v="282"/>
    <d v="2012-12-28T00:00:00"/>
    <s v="1600 Amphitheatre Parkway"/>
    <s v="Mountain View"/>
    <s v="CA"/>
    <x v="4"/>
    <n v="1.98"/>
  </r>
  <r>
    <n v="330"/>
    <n v="18"/>
    <x v="282"/>
    <d v="2012-12-28T00:00:00"/>
    <s v="627 Broadway"/>
    <s v="New York"/>
    <s v="NY"/>
    <x v="4"/>
    <n v="1.98"/>
  </r>
  <r>
    <n v="331"/>
    <n v="20"/>
    <x v="283"/>
    <d v="2012-12-29T00:00:00"/>
    <s v="541 Del Medio Avenue"/>
    <s v="Mountain View"/>
    <s v="CA"/>
    <x v="4"/>
    <n v="3.96"/>
  </r>
  <r>
    <n v="332"/>
    <n v="24"/>
    <x v="284"/>
    <d v="2012-12-30T00:00:00"/>
    <s v="162 E Superior Street"/>
    <s v="Chicago"/>
    <s v="IL"/>
    <x v="4"/>
    <n v="5.94"/>
  </r>
  <r>
    <n v="333"/>
    <n v="30"/>
    <x v="285"/>
    <d v="2013-01-02T00:00:00"/>
    <s v="230 Elgin Street"/>
    <s v="Ottawa"/>
    <s v="ON"/>
    <x v="3"/>
    <n v="8.91"/>
  </r>
  <r>
    <n v="334"/>
    <n v="39"/>
    <x v="286"/>
    <d v="2013-01-07T00:00:00"/>
    <s v="4, Rue Milton"/>
    <s v="Paris"/>
    <m/>
    <x v="5"/>
    <n v="13.86"/>
  </r>
  <r>
    <n v="335"/>
    <n v="53"/>
    <x v="287"/>
    <d v="2013-01-15T00:00:00"/>
    <s v="113 Lupus St"/>
    <s v="London"/>
    <m/>
    <x v="7"/>
    <n v="0.99"/>
  </r>
  <r>
    <n v="336"/>
    <n v="54"/>
    <x v="288"/>
    <d v="2013-01-28T00:00:00"/>
    <s v="110 Raeburn Pl"/>
    <s v="Edinburgh "/>
    <m/>
    <x v="7"/>
    <n v="1.98"/>
  </r>
  <r>
    <n v="337"/>
    <n v="56"/>
    <x v="288"/>
    <d v="2013-01-28T00:00:00"/>
    <s v="307 Macacha Güemes"/>
    <s v="Buenos Aires"/>
    <m/>
    <x v="23"/>
    <n v="1.98"/>
  </r>
  <r>
    <n v="338"/>
    <n v="58"/>
    <x v="289"/>
    <d v="2013-01-29T00:00:00"/>
    <s v="12,Community Centre"/>
    <s v="Delhi"/>
    <m/>
    <x v="10"/>
    <n v="3.96"/>
  </r>
  <r>
    <n v="339"/>
    <n v="3"/>
    <x v="290"/>
    <d v="2013-01-30T00:00:00"/>
    <s v="1498 rue Bélanger"/>
    <s v="Montréal"/>
    <s v="QC"/>
    <x v="3"/>
    <n v="5.94"/>
  </r>
  <r>
    <n v="340"/>
    <n v="9"/>
    <x v="291"/>
    <d v="2013-02-02T00:00:00"/>
    <s v="Sønder Boulevard 51"/>
    <s v="Copenhagen"/>
    <m/>
    <x v="18"/>
    <n v="8.91"/>
  </r>
  <r>
    <n v="341"/>
    <n v="18"/>
    <x v="292"/>
    <d v="2013-02-07T00:00:00"/>
    <s v="627 Broadway"/>
    <s v="New York"/>
    <s v="NY"/>
    <x v="4"/>
    <n v="13.86"/>
  </r>
  <r>
    <n v="342"/>
    <n v="32"/>
    <x v="293"/>
    <d v="2013-02-15T00:00:00"/>
    <s v="696 Osborne Street"/>
    <s v="Winnipeg"/>
    <s v="MB"/>
    <x v="3"/>
    <n v="0.99"/>
  </r>
  <r>
    <n v="343"/>
    <n v="33"/>
    <x v="294"/>
    <d v="2013-02-28T00:00:00"/>
    <s v="5112 48 Street"/>
    <s v="Yellowknife"/>
    <s v="NT"/>
    <x v="3"/>
    <n v="1.98"/>
  </r>
  <r>
    <n v="344"/>
    <n v="35"/>
    <x v="294"/>
    <d v="2013-02-28T00:00:00"/>
    <s v="Rua dos Campeões Europeus de Viena, 4350"/>
    <s v="Porto"/>
    <m/>
    <x v="12"/>
    <n v="1.98"/>
  </r>
  <r>
    <n v="345"/>
    <n v="37"/>
    <x v="295"/>
    <d v="2013-03-01T00:00:00"/>
    <s v="Berger Straße 10"/>
    <s v="Frankfurt"/>
    <m/>
    <x v="0"/>
    <n v="3.96"/>
  </r>
  <r>
    <n v="346"/>
    <n v="41"/>
    <x v="296"/>
    <d v="2013-03-02T00:00:00"/>
    <s v="11, Place Bellecour"/>
    <s v="Lyon"/>
    <m/>
    <x v="5"/>
    <n v="5.94"/>
  </r>
  <r>
    <n v="347"/>
    <n v="47"/>
    <x v="297"/>
    <d v="2013-03-05T00:00:00"/>
    <s v="Via Degli Scipioni, 43"/>
    <s v="Rome"/>
    <s v="RM"/>
    <x v="19"/>
    <n v="8.91"/>
  </r>
  <r>
    <n v="348"/>
    <n v="56"/>
    <x v="298"/>
    <d v="2013-03-10T00:00:00"/>
    <s v="307 Macacha Güemes"/>
    <s v="Buenos Aires"/>
    <m/>
    <x v="23"/>
    <n v="13.86"/>
  </r>
  <r>
    <n v="349"/>
    <n v="11"/>
    <x v="299"/>
    <d v="2013-03-18T00:00:00"/>
    <s v="Av. Paulista, 2022"/>
    <s v="São Paulo"/>
    <s v="SP"/>
    <x v="11"/>
    <n v="0.99"/>
  </r>
  <r>
    <n v="350"/>
    <n v="12"/>
    <x v="300"/>
    <d v="2013-03-31T00:00:00"/>
    <s v="Praça Pio X, 119"/>
    <s v="Rio de Janeiro"/>
    <s v="RJ"/>
    <x v="11"/>
    <n v="1.98"/>
  </r>
  <r>
    <n v="351"/>
    <n v="14"/>
    <x v="300"/>
    <d v="2013-03-31T00:00:00"/>
    <s v="8210 111 ST NW"/>
    <s v="Edmonton"/>
    <s v="AB"/>
    <x v="3"/>
    <n v="1.98"/>
  </r>
  <r>
    <n v="352"/>
    <n v="16"/>
    <x v="301"/>
    <d v="2013-04-01T00:00:00"/>
    <s v="1600 Amphitheatre Parkway"/>
    <s v="Mountain View"/>
    <s v="CA"/>
    <x v="4"/>
    <n v="3.96"/>
  </r>
  <r>
    <n v="353"/>
    <n v="20"/>
    <x v="302"/>
    <d v="2013-04-02T00:00:00"/>
    <s v="541 Del Medio Avenue"/>
    <s v="Mountain View"/>
    <s v="CA"/>
    <x v="4"/>
    <n v="5.94"/>
  </r>
  <r>
    <n v="354"/>
    <n v="26"/>
    <x v="303"/>
    <d v="2013-04-05T00:00:00"/>
    <s v="2211 W Berry Street"/>
    <s v="Fort Worth"/>
    <s v="TX"/>
    <x v="4"/>
    <n v="8.91"/>
  </r>
  <r>
    <n v="355"/>
    <n v="35"/>
    <x v="304"/>
    <d v="2013-04-10T00:00:00"/>
    <s v="Rua dos Campeões Europeus de Viena, 4350"/>
    <s v="Porto"/>
    <m/>
    <x v="12"/>
    <n v="13.86"/>
  </r>
  <r>
    <n v="356"/>
    <n v="49"/>
    <x v="305"/>
    <d v="2013-04-18T00:00:00"/>
    <s v="Ordynacka 10"/>
    <s v="Warsaw"/>
    <m/>
    <x v="20"/>
    <n v="0.99"/>
  </r>
  <r>
    <n v="357"/>
    <n v="50"/>
    <x v="306"/>
    <d v="2013-05-01T00:00:00"/>
    <s v="C/ San Bernardo 85"/>
    <s v="Madrid"/>
    <m/>
    <x v="14"/>
    <n v="1.98"/>
  </r>
  <r>
    <n v="358"/>
    <n v="52"/>
    <x v="306"/>
    <d v="2013-05-01T00:00:00"/>
    <s v="202 Hoxton Street"/>
    <s v="London"/>
    <m/>
    <x v="7"/>
    <n v="1.98"/>
  </r>
  <r>
    <n v="359"/>
    <n v="54"/>
    <x v="307"/>
    <d v="2013-05-02T00:00:00"/>
    <s v="110 Raeburn Pl"/>
    <s v="Edinburgh "/>
    <m/>
    <x v="7"/>
    <n v="3.96"/>
  </r>
  <r>
    <n v="360"/>
    <n v="58"/>
    <x v="308"/>
    <d v="2013-05-03T00:00:00"/>
    <s v="12,Community Centre"/>
    <s v="Delhi"/>
    <m/>
    <x v="10"/>
    <n v="5.94"/>
  </r>
  <r>
    <n v="361"/>
    <n v="5"/>
    <x v="309"/>
    <d v="2013-05-06T00:00:00"/>
    <s v="Klanova 9/506"/>
    <s v="Prague"/>
    <m/>
    <x v="16"/>
    <n v="8.91"/>
  </r>
  <r>
    <n v="362"/>
    <n v="14"/>
    <x v="310"/>
    <d v="2013-05-11T00:00:00"/>
    <s v="8210 111 ST NW"/>
    <s v="Edmonton"/>
    <s v="AB"/>
    <x v="3"/>
    <n v="13.86"/>
  </r>
  <r>
    <n v="363"/>
    <n v="28"/>
    <x v="311"/>
    <d v="2013-05-19T00:00:00"/>
    <s v="302 S 700 E"/>
    <s v="Salt Lake City"/>
    <s v="UT"/>
    <x v="4"/>
    <n v="0.99"/>
  </r>
  <r>
    <n v="364"/>
    <n v="29"/>
    <x v="312"/>
    <d v="2013-06-01T00:00:00"/>
    <s v="796 Dundas Street West"/>
    <s v="Toronto"/>
    <s v="ON"/>
    <x v="3"/>
    <n v="1.98"/>
  </r>
  <r>
    <n v="365"/>
    <n v="31"/>
    <x v="312"/>
    <d v="2013-06-01T00:00:00"/>
    <s v="194A Chain Lake Drive"/>
    <s v="Halifax"/>
    <s v="NS"/>
    <x v="3"/>
    <n v="1.98"/>
  </r>
  <r>
    <n v="366"/>
    <n v="33"/>
    <x v="313"/>
    <d v="2013-06-02T00:00:00"/>
    <s v="5112 48 Street"/>
    <s v="Yellowknife"/>
    <s v="NT"/>
    <x v="3"/>
    <n v="3.96"/>
  </r>
  <r>
    <n v="367"/>
    <n v="37"/>
    <x v="314"/>
    <d v="2013-06-03T00:00:00"/>
    <s v="Berger Straße 10"/>
    <s v="Frankfurt"/>
    <m/>
    <x v="0"/>
    <n v="5.94"/>
  </r>
  <r>
    <n v="368"/>
    <n v="43"/>
    <x v="315"/>
    <d v="2013-06-06T00:00:00"/>
    <s v="68, Rue Jouvence"/>
    <s v="Dijon"/>
    <m/>
    <x v="5"/>
    <n v="8.91"/>
  </r>
  <r>
    <n v="369"/>
    <n v="52"/>
    <x v="316"/>
    <d v="2013-06-11T00:00:00"/>
    <s v="202 Hoxton Street"/>
    <s v="London"/>
    <m/>
    <x v="7"/>
    <n v="13.86"/>
  </r>
  <r>
    <n v="370"/>
    <n v="7"/>
    <x v="317"/>
    <d v="2013-06-19T00:00:00"/>
    <s v="Rotenturmstraße 4, 1010 Innere Stadt"/>
    <s v="Vienne"/>
    <m/>
    <x v="21"/>
    <n v="0.99"/>
  </r>
  <r>
    <n v="371"/>
    <n v="8"/>
    <x v="318"/>
    <d v="2013-07-02T00:00:00"/>
    <s v="Grétrystraat 63"/>
    <s v="Brussels"/>
    <m/>
    <x v="2"/>
    <n v="1.98"/>
  </r>
  <r>
    <n v="372"/>
    <n v="10"/>
    <x v="318"/>
    <d v="2013-07-02T00:00:00"/>
    <s v="Rua Dr. Falcão Filho, 155"/>
    <s v="São Paulo"/>
    <s v="SP"/>
    <x v="11"/>
    <n v="1.98"/>
  </r>
  <r>
    <n v="373"/>
    <n v="12"/>
    <x v="319"/>
    <d v="2013-07-03T00:00:00"/>
    <s v="Praça Pio X, 119"/>
    <s v="Rio de Janeiro"/>
    <s v="RJ"/>
    <x v="11"/>
    <n v="3.96"/>
  </r>
  <r>
    <n v="374"/>
    <n v="16"/>
    <x v="320"/>
    <d v="2013-07-04T00:00:00"/>
    <s v="1600 Amphitheatre Parkway"/>
    <s v="Mountain View"/>
    <s v="CA"/>
    <x v="4"/>
    <n v="5.94"/>
  </r>
  <r>
    <n v="375"/>
    <n v="22"/>
    <x v="321"/>
    <d v="2013-07-07T00:00:00"/>
    <s v="120 S Orange Ave"/>
    <s v="Orlando"/>
    <s v="FL"/>
    <x v="4"/>
    <n v="8.91"/>
  </r>
  <r>
    <n v="376"/>
    <n v="31"/>
    <x v="322"/>
    <d v="2013-07-12T00:00:00"/>
    <s v="194A Chain Lake Drive"/>
    <s v="Halifax"/>
    <s v="NS"/>
    <x v="3"/>
    <n v="13.86"/>
  </r>
  <r>
    <n v="377"/>
    <n v="45"/>
    <x v="323"/>
    <d v="2013-07-20T00:00:00"/>
    <s v="Erzsébet krt. 58."/>
    <s v="Budapest"/>
    <m/>
    <x v="22"/>
    <n v="0.99"/>
  </r>
  <r>
    <n v="378"/>
    <n v="46"/>
    <x v="324"/>
    <d v="2013-08-02T00:00:00"/>
    <s v="3 Chatham Street"/>
    <s v="Dublin"/>
    <s v="Dublin"/>
    <x v="6"/>
    <n v="1.98"/>
  </r>
  <r>
    <n v="379"/>
    <n v="48"/>
    <x v="324"/>
    <d v="2013-08-02T00:00:00"/>
    <s v="Lijnbaansgracht 120bg"/>
    <s v="Amsterdam"/>
    <s v="VV"/>
    <x v="13"/>
    <n v="1.98"/>
  </r>
  <r>
    <n v="380"/>
    <n v="50"/>
    <x v="325"/>
    <d v="2013-08-03T00:00:00"/>
    <s v="C/ San Bernardo 85"/>
    <s v="Madrid"/>
    <m/>
    <x v="14"/>
    <n v="3.96"/>
  </r>
  <r>
    <n v="381"/>
    <n v="54"/>
    <x v="326"/>
    <d v="2013-08-04T00:00:00"/>
    <s v="110 Raeburn Pl"/>
    <s v="Edinburgh "/>
    <m/>
    <x v="7"/>
    <n v="5.94"/>
  </r>
  <r>
    <n v="382"/>
    <n v="1"/>
    <x v="327"/>
    <d v="2013-08-07T00:00:00"/>
    <s v="Av. Brigadeiro Faria Lima, 2170"/>
    <s v="São José dos Campos"/>
    <s v="SP"/>
    <x v="11"/>
    <n v="8.91"/>
  </r>
  <r>
    <n v="383"/>
    <n v="10"/>
    <x v="328"/>
    <d v="2013-08-12T00:00:00"/>
    <s v="Rua Dr. Falcão Filho, 155"/>
    <s v="São Paulo"/>
    <s v="SP"/>
    <x v="11"/>
    <n v="13.86"/>
  </r>
  <r>
    <n v="384"/>
    <n v="24"/>
    <x v="329"/>
    <d v="2013-08-20T00:00:00"/>
    <s v="162 E Superior Street"/>
    <s v="Chicago"/>
    <s v="IL"/>
    <x v="4"/>
    <n v="0.99"/>
  </r>
  <r>
    <n v="385"/>
    <n v="25"/>
    <x v="330"/>
    <d v="2013-09-02T00:00:00"/>
    <s v="319 N. Frances Street"/>
    <s v="Madison"/>
    <s v="WI"/>
    <x v="4"/>
    <n v="1.98"/>
  </r>
  <r>
    <n v="386"/>
    <n v="27"/>
    <x v="330"/>
    <d v="2013-09-02T00:00:00"/>
    <s v="1033 N Park Ave"/>
    <s v="Tucson"/>
    <s v="AZ"/>
    <x v="4"/>
    <n v="1.98"/>
  </r>
  <r>
    <n v="387"/>
    <n v="29"/>
    <x v="331"/>
    <d v="2013-09-03T00:00:00"/>
    <s v="796 Dundas Street West"/>
    <s v="Toronto"/>
    <s v="ON"/>
    <x v="3"/>
    <n v="3.96"/>
  </r>
  <r>
    <n v="388"/>
    <n v="33"/>
    <x v="332"/>
    <d v="2013-09-04T00:00:00"/>
    <s v="5112 48 Street"/>
    <s v="Yellowknife"/>
    <s v="NT"/>
    <x v="3"/>
    <n v="5.94"/>
  </r>
  <r>
    <n v="389"/>
    <n v="39"/>
    <x v="333"/>
    <d v="2013-09-07T00:00:00"/>
    <s v="4, Rue Milton"/>
    <s v="Paris"/>
    <m/>
    <x v="5"/>
    <n v="8.91"/>
  </r>
  <r>
    <n v="390"/>
    <n v="48"/>
    <x v="334"/>
    <d v="2013-09-12T00:00:00"/>
    <s v="Lijnbaansgracht 120bg"/>
    <s v="Amsterdam"/>
    <s v="VV"/>
    <x v="13"/>
    <n v="13.86"/>
  </r>
  <r>
    <n v="391"/>
    <n v="3"/>
    <x v="335"/>
    <d v="2013-09-20T00:00:00"/>
    <s v="1498 rue Bélanger"/>
    <s v="Montréal"/>
    <s v="QC"/>
    <x v="3"/>
    <n v="0.99"/>
  </r>
  <r>
    <n v="392"/>
    <n v="4"/>
    <x v="336"/>
    <d v="2013-10-03T00:00:00"/>
    <s v="Ullevålsveien 14"/>
    <s v="Oslo"/>
    <m/>
    <x v="1"/>
    <n v="1.98"/>
  </r>
  <r>
    <n v="393"/>
    <n v="6"/>
    <x v="336"/>
    <d v="2013-10-03T00:00:00"/>
    <s v="Rilská 3174/6"/>
    <s v="Prague"/>
    <m/>
    <x v="16"/>
    <n v="1.98"/>
  </r>
  <r>
    <n v="394"/>
    <n v="8"/>
    <x v="337"/>
    <d v="2013-10-04T00:00:00"/>
    <s v="Grétrystraat 63"/>
    <s v="Brussels"/>
    <m/>
    <x v="2"/>
    <n v="3.96"/>
  </r>
  <r>
    <n v="395"/>
    <n v="12"/>
    <x v="338"/>
    <d v="2013-10-05T00:00:00"/>
    <s v="Praça Pio X, 119"/>
    <s v="Rio de Janeiro"/>
    <s v="RJ"/>
    <x v="11"/>
    <n v="5.94"/>
  </r>
  <r>
    <n v="396"/>
    <n v="18"/>
    <x v="339"/>
    <d v="2013-10-08T00:00:00"/>
    <s v="627 Broadway"/>
    <s v="New York"/>
    <s v="NY"/>
    <x v="4"/>
    <n v="8.91"/>
  </r>
  <r>
    <n v="397"/>
    <n v="27"/>
    <x v="340"/>
    <d v="2013-10-13T00:00:00"/>
    <s v="1033 N Park Ave"/>
    <s v="Tucson"/>
    <s v="AZ"/>
    <x v="4"/>
    <n v="13.86"/>
  </r>
  <r>
    <n v="398"/>
    <n v="41"/>
    <x v="341"/>
    <d v="2013-10-21T00:00:00"/>
    <s v="11, Place Bellecour"/>
    <s v="Lyon"/>
    <m/>
    <x v="5"/>
    <n v="0.99"/>
  </r>
  <r>
    <n v="399"/>
    <n v="42"/>
    <x v="342"/>
    <d v="2013-11-03T00:00:00"/>
    <s v="9, Place Louis Barthou"/>
    <s v="Bordeaux"/>
    <m/>
    <x v="5"/>
    <n v="1.98"/>
  </r>
  <r>
    <n v="400"/>
    <n v="44"/>
    <x v="342"/>
    <d v="2013-11-03T00:00:00"/>
    <s v="Porthaninkatu 9"/>
    <s v="Helsinki"/>
    <m/>
    <x v="17"/>
    <n v="1.98"/>
  </r>
  <r>
    <n v="401"/>
    <n v="46"/>
    <x v="343"/>
    <d v="2013-11-04T00:00:00"/>
    <s v="3 Chatham Street"/>
    <s v="Dublin"/>
    <s v="Dublin"/>
    <x v="6"/>
    <n v="3.96"/>
  </r>
  <r>
    <n v="402"/>
    <n v="50"/>
    <x v="344"/>
    <d v="2013-11-05T00:00:00"/>
    <s v="C/ San Bernardo 85"/>
    <s v="Madrid"/>
    <m/>
    <x v="14"/>
    <n v="5.94"/>
  </r>
  <r>
    <n v="403"/>
    <n v="56"/>
    <x v="345"/>
    <d v="2013-11-08T00:00:00"/>
    <s v="307 Macacha Güemes"/>
    <s v="Buenos Aires"/>
    <m/>
    <x v="23"/>
    <n v="8.91"/>
  </r>
  <r>
    <n v="404"/>
    <n v="6"/>
    <x v="346"/>
    <d v="2013-11-13T00:00:00"/>
    <s v="Rilská 3174/6"/>
    <s v="Prague"/>
    <m/>
    <x v="16"/>
    <n v="25.86"/>
  </r>
  <r>
    <n v="405"/>
    <n v="20"/>
    <x v="347"/>
    <d v="2013-11-21T00:00:00"/>
    <s v="541 Del Medio Avenue"/>
    <s v="Mountain View"/>
    <s v="CA"/>
    <x v="4"/>
    <n v="0.99"/>
  </r>
  <r>
    <n v="406"/>
    <n v="21"/>
    <x v="348"/>
    <d v="2013-12-04T00:00:00"/>
    <s v="801 W 4th Street"/>
    <s v="Reno"/>
    <s v="NV"/>
    <x v="4"/>
    <n v="1.98"/>
  </r>
  <r>
    <n v="407"/>
    <n v="23"/>
    <x v="348"/>
    <d v="2013-12-04T00:00:00"/>
    <s v="69 Salem Street"/>
    <s v="Boston"/>
    <s v="MA"/>
    <x v="4"/>
    <n v="1.98"/>
  </r>
  <r>
    <n v="408"/>
    <n v="25"/>
    <x v="349"/>
    <d v="2013-12-05T00:00:00"/>
    <s v="319 N. Frances Street"/>
    <s v="Madison"/>
    <s v="WI"/>
    <x v="4"/>
    <n v="3.96"/>
  </r>
  <r>
    <n v="409"/>
    <n v="29"/>
    <x v="350"/>
    <d v="2013-12-06T00:00:00"/>
    <s v="796 Dundas Street West"/>
    <s v="Toronto"/>
    <s v="ON"/>
    <x v="3"/>
    <n v="5.94"/>
  </r>
  <r>
    <n v="410"/>
    <n v="35"/>
    <x v="351"/>
    <d v="2013-12-09T00:00:00"/>
    <s v="Rua dos Campeões Europeus de Viena, 4350"/>
    <s v="Porto"/>
    <m/>
    <x v="12"/>
    <n v="8.91"/>
  </r>
  <r>
    <n v="411"/>
    <n v="44"/>
    <x v="352"/>
    <d v="2013-12-14T00:00:00"/>
    <s v="Porthaninkatu 9"/>
    <s v="Helsinki"/>
    <m/>
    <x v="17"/>
    <n v="13.86"/>
  </r>
  <r>
    <n v="412"/>
    <n v="58"/>
    <x v="353"/>
    <d v="2013-12-22T00:00:00"/>
    <s v="12,Community Centre"/>
    <s v="Delhi"/>
    <m/>
    <x v="10"/>
    <n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B303FA-35FF-7F49-AB35-F163E918A8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31" firstHeaderRow="1" firstDataRow="4" firstDataCol="1" rowPageCount="1" colPageCount="1"/>
  <pivotFields count="12">
    <pivotField showAll="0"/>
    <pivotField showAll="0"/>
    <pivotField axis="axisCol" numFmtId="166"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umFmtId="22" showAll="0"/>
    <pivotField showAll="0"/>
    <pivotField showAll="0"/>
    <pivotField showAll="0"/>
    <pivotField axis="axisRow" showAll="0">
      <items count="25">
        <item x="23"/>
        <item x="8"/>
        <item x="21"/>
        <item x="2"/>
        <item x="11"/>
        <item x="3"/>
        <item x="9"/>
        <item x="16"/>
        <item x="18"/>
        <item x="17"/>
        <item x="5"/>
        <item x="0"/>
        <item x="22"/>
        <item x="10"/>
        <item x="6"/>
        <item x="19"/>
        <item x="13"/>
        <item x="1"/>
        <item x="20"/>
        <item x="12"/>
        <item x="14"/>
        <item x="15"/>
        <item x="7"/>
        <item x="4"/>
        <item t="default"/>
      </items>
    </pivotField>
    <pivotField dataField="1"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Page" multipleItemSelectionAllowed="1" showAll="0">
      <items count="8">
        <item h="1" sd="0" x="0"/>
        <item h="1" sd="0" x="1"/>
        <item sd="0" x="2"/>
        <item sd="0" x="3"/>
        <item h="1" sd="0" x="4"/>
        <item h="1" sd="0" x="5"/>
        <item h="1" sd="0" x="6"/>
        <item t="default"/>
      </items>
    </pivotField>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3">
    <field x="10"/>
    <field x="9"/>
    <field x="2"/>
  </colFields>
  <colItems count="5">
    <i>
      <x v="1"/>
    </i>
    <i>
      <x v="2"/>
    </i>
    <i>
      <x v="3"/>
    </i>
    <i>
      <x v="4"/>
    </i>
    <i t="grand">
      <x/>
    </i>
  </colItems>
  <pageFields count="1">
    <pageField fld="11" hier="-1"/>
  </pageFields>
  <dataFields count="1">
    <dataField name="Sum of Sales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abSelected="1" workbookViewId="0">
      <selection activeCell="B84" sqref="B84:L92"/>
    </sheetView>
  </sheetViews>
  <sheetFormatPr baseColWidth="10" defaultColWidth="14.5" defaultRowHeight="15" customHeight="1" x14ac:dyDescent="0.2"/>
  <cols>
    <col min="1" max="2" width="8.83203125" customWidth="1"/>
    <col min="3" max="3" width="3.1640625" customWidth="1"/>
    <col min="4" max="12" width="8.83203125" customWidth="1"/>
    <col min="13" max="13" width="255.6640625" customWidth="1"/>
    <col min="14" max="29" width="8.83203125" customWidth="1"/>
  </cols>
  <sheetData>
    <row r="1" spans="1:29" ht="14.25" customHeight="1" x14ac:dyDescent="0.2">
      <c r="A1" s="1"/>
      <c r="B1" s="2"/>
      <c r="C1" s="2"/>
      <c r="D1" s="2"/>
      <c r="E1" s="2"/>
      <c r="F1" s="2"/>
      <c r="G1" s="2"/>
      <c r="H1" s="2"/>
      <c r="I1" s="2"/>
      <c r="J1" s="2"/>
      <c r="K1" s="2"/>
      <c r="L1" s="2"/>
      <c r="M1" s="59"/>
      <c r="N1" s="59"/>
      <c r="O1" s="59"/>
      <c r="P1" s="59"/>
      <c r="Q1" s="1"/>
      <c r="R1" s="1"/>
      <c r="S1" s="1"/>
      <c r="T1" s="1"/>
      <c r="U1" s="1"/>
      <c r="V1" s="1"/>
      <c r="W1" s="1"/>
      <c r="X1" s="1"/>
      <c r="Y1" s="1"/>
      <c r="Z1" s="1"/>
      <c r="AA1" s="1"/>
      <c r="AB1" s="1"/>
      <c r="AC1" s="1"/>
    </row>
    <row r="2" spans="1:29" ht="105.75" customHeight="1" x14ac:dyDescent="0.2">
      <c r="A2" s="1"/>
      <c r="B2" s="62" t="s">
        <v>0</v>
      </c>
      <c r="C2" s="63"/>
      <c r="D2" s="63"/>
      <c r="E2" s="63"/>
      <c r="F2" s="63"/>
      <c r="G2" s="63"/>
      <c r="H2" s="63"/>
      <c r="I2" s="63"/>
      <c r="J2" s="63"/>
      <c r="K2" s="63"/>
      <c r="L2" s="64"/>
      <c r="M2" s="60"/>
      <c r="N2" s="60"/>
      <c r="O2" s="60"/>
      <c r="P2" s="60"/>
      <c r="Q2" s="1"/>
      <c r="R2" s="1"/>
      <c r="S2" s="1"/>
      <c r="T2" s="1"/>
      <c r="U2" s="1"/>
      <c r="V2" s="1"/>
      <c r="W2" s="1"/>
      <c r="X2" s="1"/>
      <c r="Y2" s="1"/>
      <c r="Z2" s="1"/>
      <c r="AA2" s="1"/>
      <c r="AB2" s="1"/>
      <c r="AC2" s="1"/>
    </row>
    <row r="3" spans="1:29" ht="14.25" customHeight="1" x14ac:dyDescent="0.2">
      <c r="A3" s="1"/>
      <c r="B3" s="3"/>
      <c r="C3" s="3"/>
      <c r="D3" s="3"/>
      <c r="E3" s="3"/>
      <c r="F3" s="3"/>
      <c r="G3" s="3"/>
      <c r="H3" s="3"/>
      <c r="I3" s="3"/>
      <c r="J3" s="3"/>
      <c r="K3" s="3"/>
      <c r="L3" s="3"/>
      <c r="M3" s="60"/>
      <c r="N3" s="60"/>
      <c r="O3" s="60"/>
      <c r="P3" s="60"/>
      <c r="Q3" s="1"/>
      <c r="R3" s="1"/>
      <c r="S3" s="1"/>
      <c r="T3" s="1"/>
      <c r="U3" s="1"/>
      <c r="V3" s="1"/>
      <c r="W3" s="1"/>
      <c r="X3" s="1"/>
      <c r="Y3" s="1"/>
      <c r="Z3" s="1"/>
      <c r="AA3" s="1"/>
      <c r="AB3" s="1"/>
      <c r="AC3" s="1"/>
    </row>
    <row r="4" spans="1:29" ht="24" x14ac:dyDescent="0.3">
      <c r="A4" s="1"/>
      <c r="B4" s="65" t="s">
        <v>4792</v>
      </c>
      <c r="C4" s="47"/>
      <c r="D4" s="47"/>
      <c r="E4" s="47"/>
      <c r="F4" s="47"/>
      <c r="G4" s="47"/>
      <c r="H4" s="47"/>
      <c r="I4" s="47"/>
      <c r="J4" s="47"/>
      <c r="K4" s="47"/>
      <c r="L4" s="48"/>
      <c r="M4" s="60"/>
      <c r="N4" s="60"/>
      <c r="O4" s="60"/>
      <c r="P4" s="60"/>
      <c r="Q4" s="1"/>
      <c r="R4" s="1"/>
      <c r="S4" s="1"/>
      <c r="T4" s="1"/>
      <c r="U4" s="1"/>
      <c r="V4" s="1"/>
      <c r="W4" s="1"/>
      <c r="X4" s="1"/>
      <c r="Y4" s="1"/>
      <c r="Z4" s="1"/>
      <c r="AA4" s="1"/>
      <c r="AB4" s="1"/>
      <c r="AC4" s="1"/>
    </row>
    <row r="5" spans="1:29" ht="14.25" customHeight="1" x14ac:dyDescent="0.2">
      <c r="A5" s="1"/>
      <c r="B5" s="3"/>
      <c r="C5" s="2"/>
      <c r="D5" s="2"/>
      <c r="E5" s="2"/>
      <c r="F5" s="2"/>
      <c r="G5" s="2"/>
      <c r="H5" s="2"/>
      <c r="I5" s="2"/>
      <c r="J5" s="2"/>
      <c r="K5" s="2"/>
      <c r="L5" s="2"/>
      <c r="M5" s="60"/>
      <c r="N5" s="60"/>
      <c r="O5" s="60"/>
      <c r="P5" s="60"/>
      <c r="Q5" s="1"/>
      <c r="R5" s="1"/>
      <c r="S5" s="1"/>
      <c r="T5" s="1"/>
      <c r="U5" s="1"/>
      <c r="V5" s="1"/>
      <c r="W5" s="1"/>
      <c r="X5" s="1"/>
      <c r="Y5" s="1"/>
      <c r="Z5" s="1"/>
      <c r="AA5" s="1"/>
      <c r="AB5" s="1"/>
      <c r="AC5" s="1"/>
    </row>
    <row r="6" spans="1:29" ht="21" x14ac:dyDescent="0.25">
      <c r="A6" s="1"/>
      <c r="B6" s="66" t="s">
        <v>1</v>
      </c>
      <c r="C6" s="47"/>
      <c r="D6" s="47"/>
      <c r="E6" s="47"/>
      <c r="F6" s="47"/>
      <c r="G6" s="47"/>
      <c r="H6" s="47"/>
      <c r="I6" s="47"/>
      <c r="J6" s="47"/>
      <c r="K6" s="47"/>
      <c r="L6" s="48"/>
      <c r="M6" s="60"/>
      <c r="N6" s="60"/>
      <c r="O6" s="60"/>
      <c r="P6" s="60"/>
      <c r="Q6" s="1"/>
      <c r="R6" s="1"/>
      <c r="S6" s="1"/>
      <c r="T6" s="1"/>
      <c r="U6" s="1"/>
      <c r="V6" s="1"/>
      <c r="W6" s="1"/>
      <c r="X6" s="1"/>
      <c r="Y6" s="1"/>
      <c r="Z6" s="1"/>
      <c r="AA6" s="1"/>
      <c r="AB6" s="1"/>
      <c r="AC6" s="1"/>
    </row>
    <row r="7" spans="1:29" ht="16.5" customHeight="1" x14ac:dyDescent="0.2">
      <c r="A7" s="1"/>
      <c r="B7" s="3"/>
      <c r="C7" s="2"/>
      <c r="D7" s="2"/>
      <c r="E7" s="2"/>
      <c r="F7" s="2"/>
      <c r="G7" s="2"/>
      <c r="H7" s="2"/>
      <c r="I7" s="2"/>
      <c r="J7" s="2"/>
      <c r="K7" s="2"/>
      <c r="L7" s="2"/>
      <c r="M7" s="60"/>
      <c r="N7" s="60"/>
      <c r="O7" s="60"/>
      <c r="P7" s="60"/>
      <c r="Q7" s="1"/>
      <c r="R7" s="1"/>
      <c r="S7" s="1"/>
      <c r="T7" s="1"/>
      <c r="U7" s="1"/>
      <c r="V7" s="1"/>
      <c r="W7" s="1"/>
      <c r="X7" s="1"/>
      <c r="Y7" s="1"/>
      <c r="Z7" s="1"/>
      <c r="AA7" s="1"/>
      <c r="AB7" s="1"/>
      <c r="AC7" s="1"/>
    </row>
    <row r="8" spans="1:29" ht="123.75" customHeight="1" x14ac:dyDescent="0.2">
      <c r="A8" s="1"/>
      <c r="B8" s="68" t="s">
        <v>2</v>
      </c>
      <c r="C8" s="69"/>
      <c r="D8" s="69"/>
      <c r="E8" s="69"/>
      <c r="F8" s="69"/>
      <c r="G8" s="69"/>
      <c r="H8" s="69"/>
      <c r="I8" s="69"/>
      <c r="J8" s="69"/>
      <c r="K8" s="69"/>
      <c r="L8" s="70"/>
      <c r="M8" s="60"/>
      <c r="N8" s="60"/>
      <c r="O8" s="60"/>
      <c r="P8" s="60"/>
      <c r="Q8" s="1"/>
      <c r="R8" s="1"/>
      <c r="S8" s="1"/>
      <c r="T8" s="1"/>
      <c r="U8" s="1"/>
      <c r="V8" s="1"/>
      <c r="W8" s="1"/>
      <c r="X8" s="1"/>
      <c r="Y8" s="1"/>
      <c r="Z8" s="1"/>
      <c r="AA8" s="1"/>
      <c r="AB8" s="1"/>
      <c r="AC8" s="1"/>
    </row>
    <row r="9" spans="1:29" ht="14.25" customHeight="1" x14ac:dyDescent="0.2">
      <c r="A9" s="1"/>
      <c r="B9" s="3"/>
      <c r="C9" s="3"/>
      <c r="D9" s="3"/>
      <c r="E9" s="3"/>
      <c r="F9" s="3"/>
      <c r="G9" s="3"/>
      <c r="H9" s="3"/>
      <c r="I9" s="3"/>
      <c r="J9" s="3"/>
      <c r="K9" s="3"/>
      <c r="L9" s="3"/>
      <c r="M9" s="60"/>
      <c r="N9" s="60"/>
      <c r="O9" s="60"/>
      <c r="P9" s="60"/>
      <c r="Q9" s="1"/>
      <c r="R9" s="1"/>
      <c r="S9" s="1"/>
      <c r="T9" s="1"/>
      <c r="U9" s="1"/>
      <c r="V9" s="1"/>
      <c r="W9" s="1"/>
      <c r="X9" s="1"/>
      <c r="Y9" s="1"/>
      <c r="Z9" s="1"/>
      <c r="AA9" s="1"/>
      <c r="AB9" s="1"/>
      <c r="AC9" s="1"/>
    </row>
    <row r="10" spans="1:29" ht="47.25" customHeight="1" x14ac:dyDescent="0.2">
      <c r="A10" s="1"/>
      <c r="B10" s="71" t="s">
        <v>3</v>
      </c>
      <c r="C10" s="47"/>
      <c r="D10" s="47"/>
      <c r="E10" s="47"/>
      <c r="F10" s="47"/>
      <c r="G10" s="47"/>
      <c r="H10" s="47"/>
      <c r="I10" s="47"/>
      <c r="J10" s="47"/>
      <c r="K10" s="47"/>
      <c r="L10" s="48"/>
      <c r="M10" s="60"/>
      <c r="N10" s="60"/>
      <c r="O10" s="60"/>
      <c r="P10" s="60"/>
      <c r="Q10" s="1"/>
      <c r="R10" s="1"/>
      <c r="S10" s="1"/>
      <c r="T10" s="1"/>
      <c r="U10" s="1"/>
      <c r="V10" s="1"/>
      <c r="W10" s="1"/>
      <c r="X10" s="1"/>
      <c r="Y10" s="1"/>
      <c r="Z10" s="1"/>
      <c r="AA10" s="1"/>
      <c r="AB10" s="1"/>
      <c r="AC10" s="1"/>
    </row>
    <row r="11" spans="1:29" ht="14.25" customHeight="1" x14ac:dyDescent="0.2">
      <c r="A11" s="1"/>
      <c r="B11" s="3"/>
      <c r="C11" s="3"/>
      <c r="D11" s="3"/>
      <c r="E11" s="3"/>
      <c r="F11" s="3"/>
      <c r="G11" s="3"/>
      <c r="H11" s="3"/>
      <c r="I11" s="3"/>
      <c r="J11" s="3"/>
      <c r="K11" s="3"/>
      <c r="L11" s="3"/>
      <c r="M11" s="60"/>
      <c r="N11" s="60"/>
      <c r="O11" s="60"/>
      <c r="P11" s="60"/>
      <c r="Q11" s="1"/>
      <c r="R11" s="1"/>
      <c r="S11" s="1"/>
      <c r="T11" s="1"/>
      <c r="U11" s="1"/>
      <c r="V11" s="1"/>
      <c r="W11" s="1"/>
      <c r="X11" s="1"/>
      <c r="Y11" s="1"/>
      <c r="Z11" s="1"/>
      <c r="AA11" s="1"/>
      <c r="AB11" s="1"/>
      <c r="AC11" s="1"/>
    </row>
    <row r="12" spans="1:29" ht="229.5" customHeight="1" x14ac:dyDescent="0.2">
      <c r="A12" s="1"/>
      <c r="B12" s="46" t="s">
        <v>4786</v>
      </c>
      <c r="C12" s="47"/>
      <c r="D12" s="47"/>
      <c r="E12" s="47"/>
      <c r="F12" s="47"/>
      <c r="G12" s="47"/>
      <c r="H12" s="47"/>
      <c r="I12" s="47"/>
      <c r="J12" s="47"/>
      <c r="K12" s="47"/>
      <c r="L12" s="48"/>
      <c r="M12" s="60"/>
      <c r="N12" s="60"/>
      <c r="O12" s="60"/>
      <c r="P12" s="60"/>
      <c r="Q12" s="1"/>
      <c r="R12" s="1"/>
      <c r="S12" s="1"/>
      <c r="T12" s="1"/>
      <c r="U12" s="1"/>
      <c r="V12" s="1"/>
      <c r="W12" s="1"/>
      <c r="X12" s="1"/>
      <c r="Y12" s="1"/>
      <c r="Z12" s="1"/>
      <c r="AA12" s="1"/>
      <c r="AB12" s="1"/>
      <c r="AC12" s="1"/>
    </row>
    <row r="13" spans="1:29" ht="14.25" customHeight="1" x14ac:dyDescent="0.2">
      <c r="A13" s="1"/>
      <c r="B13" s="3"/>
      <c r="C13" s="3"/>
      <c r="D13" s="3"/>
      <c r="E13" s="3"/>
      <c r="F13" s="3"/>
      <c r="G13" s="3"/>
      <c r="H13" s="3"/>
      <c r="I13" s="3"/>
      <c r="J13" s="3"/>
      <c r="K13" s="3"/>
      <c r="L13" s="3"/>
      <c r="M13" s="60"/>
      <c r="N13" s="60"/>
      <c r="O13" s="60"/>
      <c r="P13" s="60"/>
      <c r="Q13" s="1"/>
      <c r="R13" s="1"/>
      <c r="S13" s="1"/>
      <c r="T13" s="1"/>
      <c r="U13" s="1"/>
      <c r="V13" s="1"/>
      <c r="W13" s="1"/>
      <c r="X13" s="1"/>
      <c r="Y13" s="1"/>
      <c r="Z13" s="1"/>
      <c r="AA13" s="1"/>
      <c r="AB13" s="1"/>
      <c r="AC13" s="1"/>
    </row>
    <row r="14" spans="1:29" ht="23.25" customHeight="1" x14ac:dyDescent="0.2">
      <c r="A14" s="1"/>
      <c r="B14" s="49" t="s">
        <v>4</v>
      </c>
      <c r="C14" s="50"/>
      <c r="D14" s="50"/>
      <c r="E14" s="50"/>
      <c r="F14" s="50"/>
      <c r="G14" s="50"/>
      <c r="H14" s="50"/>
      <c r="I14" s="50"/>
      <c r="J14" s="50"/>
      <c r="K14" s="50"/>
      <c r="L14" s="51"/>
      <c r="M14" s="60"/>
      <c r="N14" s="60"/>
      <c r="O14" s="60"/>
      <c r="P14" s="60"/>
      <c r="Q14" s="1"/>
      <c r="R14" s="1"/>
      <c r="S14" s="1"/>
      <c r="T14" s="1"/>
      <c r="U14" s="1"/>
      <c r="V14" s="1"/>
      <c r="W14" s="1"/>
      <c r="X14" s="1"/>
      <c r="Y14" s="1"/>
      <c r="Z14" s="1"/>
      <c r="AA14" s="1"/>
      <c r="AB14" s="1"/>
      <c r="AC14" s="1"/>
    </row>
    <row r="15" spans="1:29" ht="25.5" customHeight="1" x14ac:dyDescent="0.2">
      <c r="A15" s="1"/>
      <c r="B15" s="52"/>
      <c r="C15" s="53"/>
      <c r="D15" s="53"/>
      <c r="E15" s="53"/>
      <c r="F15" s="53"/>
      <c r="G15" s="53"/>
      <c r="H15" s="53"/>
      <c r="I15" s="53"/>
      <c r="J15" s="53"/>
      <c r="K15" s="53"/>
      <c r="L15" s="54"/>
      <c r="M15" s="60"/>
      <c r="N15" s="60"/>
      <c r="O15" s="60"/>
      <c r="P15" s="60"/>
      <c r="Q15" s="1"/>
      <c r="R15" s="1"/>
      <c r="S15" s="1"/>
      <c r="T15" s="1"/>
      <c r="U15" s="1"/>
      <c r="V15" s="1"/>
      <c r="W15" s="1"/>
      <c r="X15" s="1"/>
      <c r="Y15" s="1"/>
      <c r="Z15" s="1"/>
      <c r="AA15" s="1"/>
      <c r="AB15" s="1"/>
      <c r="AC15" s="1"/>
    </row>
    <row r="16" spans="1:29" ht="42" customHeight="1" x14ac:dyDescent="0.2">
      <c r="A16" s="1"/>
      <c r="B16" s="52"/>
      <c r="C16" s="53"/>
      <c r="D16" s="53"/>
      <c r="E16" s="53"/>
      <c r="F16" s="53"/>
      <c r="G16" s="53"/>
      <c r="H16" s="53"/>
      <c r="I16" s="53"/>
      <c r="J16" s="53"/>
      <c r="K16" s="53"/>
      <c r="L16" s="54"/>
      <c r="M16" s="60"/>
      <c r="N16" s="60"/>
      <c r="O16" s="60"/>
      <c r="P16" s="60"/>
      <c r="Q16" s="1"/>
      <c r="R16" s="1"/>
      <c r="S16" s="1"/>
      <c r="T16" s="1"/>
      <c r="U16" s="1"/>
      <c r="V16" s="1"/>
      <c r="W16" s="1"/>
      <c r="X16" s="1"/>
      <c r="Y16" s="1"/>
      <c r="Z16" s="1"/>
      <c r="AA16" s="1"/>
      <c r="AB16" s="1"/>
      <c r="AC16" s="1"/>
    </row>
    <row r="17" spans="1:29" ht="24" hidden="1" customHeight="1" x14ac:dyDescent="0.2">
      <c r="A17" s="1"/>
      <c r="B17" s="52"/>
      <c r="C17" s="53"/>
      <c r="D17" s="53"/>
      <c r="E17" s="53"/>
      <c r="F17" s="53"/>
      <c r="G17" s="53"/>
      <c r="H17" s="53"/>
      <c r="I17" s="53"/>
      <c r="J17" s="53"/>
      <c r="K17" s="53"/>
      <c r="L17" s="54"/>
      <c r="M17" s="60"/>
      <c r="N17" s="60"/>
      <c r="O17" s="60"/>
      <c r="P17" s="60"/>
      <c r="Q17" s="1"/>
      <c r="R17" s="1"/>
      <c r="S17" s="1"/>
      <c r="T17" s="1"/>
      <c r="U17" s="1"/>
      <c r="V17" s="1"/>
      <c r="W17" s="1"/>
      <c r="X17" s="1"/>
      <c r="Y17" s="1"/>
      <c r="Z17" s="1"/>
      <c r="AA17" s="1"/>
      <c r="AB17" s="1"/>
      <c r="AC17" s="1"/>
    </row>
    <row r="18" spans="1:29" ht="27" hidden="1" customHeight="1" x14ac:dyDescent="0.2">
      <c r="A18" s="1"/>
      <c r="B18" s="52"/>
      <c r="C18" s="53"/>
      <c r="D18" s="53"/>
      <c r="E18" s="53"/>
      <c r="F18" s="53"/>
      <c r="G18" s="53"/>
      <c r="H18" s="53"/>
      <c r="I18" s="53"/>
      <c r="J18" s="53"/>
      <c r="K18" s="53"/>
      <c r="L18" s="54"/>
      <c r="M18" s="60"/>
      <c r="N18" s="60"/>
      <c r="O18" s="60"/>
      <c r="P18" s="60"/>
      <c r="Q18" s="1"/>
      <c r="R18" s="1"/>
      <c r="S18" s="1"/>
      <c r="T18" s="1"/>
      <c r="U18" s="1"/>
      <c r="V18" s="1"/>
      <c r="W18" s="1"/>
      <c r="X18" s="1"/>
      <c r="Y18" s="1"/>
      <c r="Z18" s="1"/>
      <c r="AA18" s="1"/>
      <c r="AB18" s="1"/>
      <c r="AC18" s="1"/>
    </row>
    <row r="19" spans="1:29" ht="24" hidden="1" customHeight="1" x14ac:dyDescent="0.2">
      <c r="A19" s="1"/>
      <c r="B19" s="52"/>
      <c r="C19" s="53"/>
      <c r="D19" s="53"/>
      <c r="E19" s="53"/>
      <c r="F19" s="53"/>
      <c r="G19" s="53"/>
      <c r="H19" s="53"/>
      <c r="I19" s="53"/>
      <c r="J19" s="53"/>
      <c r="K19" s="53"/>
      <c r="L19" s="54"/>
      <c r="M19" s="60"/>
      <c r="N19" s="60"/>
      <c r="O19" s="60"/>
      <c r="P19" s="60"/>
      <c r="Q19" s="1"/>
      <c r="R19" s="1"/>
      <c r="S19" s="1"/>
      <c r="T19" s="1"/>
      <c r="U19" s="1"/>
      <c r="V19" s="1"/>
      <c r="W19" s="1"/>
      <c r="X19" s="1"/>
      <c r="Y19" s="1"/>
      <c r="Z19" s="1"/>
      <c r="AA19" s="1"/>
      <c r="AB19" s="1"/>
      <c r="AC19" s="1"/>
    </row>
    <row r="20" spans="1:29" ht="27.75" hidden="1" customHeight="1" x14ac:dyDescent="0.2">
      <c r="A20" s="1"/>
      <c r="B20" s="55"/>
      <c r="C20" s="56"/>
      <c r="D20" s="56"/>
      <c r="E20" s="56"/>
      <c r="F20" s="56"/>
      <c r="G20" s="56"/>
      <c r="H20" s="56"/>
      <c r="I20" s="56"/>
      <c r="J20" s="56"/>
      <c r="K20" s="56"/>
      <c r="L20" s="57"/>
      <c r="M20" s="60"/>
      <c r="N20" s="60"/>
      <c r="O20" s="60"/>
      <c r="P20" s="60"/>
      <c r="Q20" s="1"/>
      <c r="R20" s="1"/>
      <c r="S20" s="1"/>
      <c r="T20" s="1"/>
      <c r="U20" s="1"/>
      <c r="V20" s="1"/>
      <c r="W20" s="1"/>
      <c r="X20" s="1"/>
      <c r="Y20" s="1"/>
      <c r="Z20" s="1"/>
      <c r="AA20" s="1"/>
      <c r="AB20" s="1"/>
      <c r="AC20" s="1"/>
    </row>
    <row r="21" spans="1:29" ht="14.25" customHeight="1" x14ac:dyDescent="0.2">
      <c r="A21" s="1"/>
      <c r="B21" s="1" t="s">
        <v>5</v>
      </c>
      <c r="C21" s="1"/>
      <c r="D21" s="1"/>
      <c r="E21" s="1"/>
      <c r="F21" s="1"/>
      <c r="G21" s="1"/>
      <c r="H21" s="1"/>
      <c r="I21" s="1">
        <v>10</v>
      </c>
      <c r="J21" s="1"/>
      <c r="K21" s="1"/>
      <c r="L21" s="1"/>
      <c r="M21" s="60"/>
      <c r="N21" s="60"/>
      <c r="O21" s="60"/>
      <c r="P21" s="60"/>
      <c r="Q21" s="1"/>
      <c r="R21" s="1"/>
      <c r="S21" s="1"/>
      <c r="T21" s="1"/>
      <c r="U21" s="1"/>
      <c r="V21" s="1"/>
      <c r="W21" s="1"/>
      <c r="X21" s="1"/>
      <c r="Y21" s="1"/>
      <c r="Z21" s="1"/>
      <c r="AA21" s="1"/>
      <c r="AB21" s="1"/>
      <c r="AC21" s="1"/>
    </row>
    <row r="22" spans="1:29" ht="14.25" customHeight="1" x14ac:dyDescent="0.2">
      <c r="A22" s="1"/>
      <c r="B22" s="1"/>
      <c r="C22" s="1"/>
      <c r="D22" s="1"/>
      <c r="E22" s="1"/>
      <c r="F22" s="1"/>
      <c r="G22" s="1"/>
      <c r="H22" s="1"/>
      <c r="I22" s="1"/>
      <c r="J22" s="1"/>
      <c r="K22" s="1"/>
      <c r="L22" s="1"/>
      <c r="M22" s="60"/>
      <c r="N22" s="60"/>
      <c r="O22" s="60"/>
      <c r="P22" s="60"/>
      <c r="Q22" s="1"/>
      <c r="R22" s="1"/>
      <c r="S22" s="1"/>
      <c r="T22" s="1"/>
      <c r="U22" s="1"/>
      <c r="V22" s="1"/>
      <c r="W22" s="1"/>
      <c r="X22" s="1"/>
      <c r="Y22" s="1"/>
      <c r="Z22" s="1"/>
      <c r="AA22" s="1"/>
      <c r="AB22" s="1"/>
      <c r="AC22" s="1"/>
    </row>
    <row r="23" spans="1:29" ht="14.25" customHeight="1" x14ac:dyDescent="0.2">
      <c r="A23" s="1"/>
      <c r="B23" s="1" t="s">
        <v>6</v>
      </c>
      <c r="C23" s="1"/>
      <c r="D23" s="1"/>
      <c r="E23" s="1"/>
      <c r="F23" s="1"/>
      <c r="G23" s="1"/>
      <c r="H23" s="1"/>
      <c r="I23" s="1">
        <v>4</v>
      </c>
      <c r="J23" s="1"/>
      <c r="K23" s="1"/>
      <c r="L23" s="1"/>
      <c r="M23" s="60"/>
      <c r="N23" s="60"/>
      <c r="O23" s="60"/>
      <c r="P23" s="60"/>
      <c r="Q23" s="1"/>
      <c r="R23" s="1"/>
      <c r="S23" s="1"/>
      <c r="T23" s="1"/>
      <c r="U23" s="1"/>
      <c r="V23" s="1"/>
      <c r="W23" s="1"/>
      <c r="X23" s="1"/>
      <c r="Y23" s="1"/>
      <c r="Z23" s="1"/>
      <c r="AA23" s="1"/>
      <c r="AB23" s="1"/>
      <c r="AC23" s="1"/>
    </row>
    <row r="24" spans="1:29" ht="14.25" customHeight="1" x14ac:dyDescent="0.2">
      <c r="A24" s="1"/>
      <c r="B24" s="1"/>
      <c r="C24" s="1"/>
      <c r="D24" s="1"/>
      <c r="E24" s="1"/>
      <c r="F24" s="1"/>
      <c r="G24" s="1"/>
      <c r="H24" s="1"/>
      <c r="I24" s="1"/>
      <c r="J24" s="1"/>
      <c r="K24" s="1"/>
      <c r="L24" s="1"/>
      <c r="M24" s="60"/>
      <c r="N24" s="60"/>
      <c r="O24" s="60"/>
      <c r="P24" s="60"/>
      <c r="Q24" s="1"/>
      <c r="R24" s="1"/>
      <c r="S24" s="1"/>
      <c r="T24" s="1"/>
      <c r="U24" s="1"/>
      <c r="V24" s="1"/>
      <c r="W24" s="1"/>
      <c r="X24" s="1"/>
      <c r="Y24" s="1"/>
      <c r="Z24" s="1"/>
      <c r="AA24" s="1"/>
      <c r="AB24" s="1"/>
      <c r="AC24" s="1"/>
    </row>
    <row r="25" spans="1:29" ht="14.25" customHeight="1" x14ac:dyDescent="0.2">
      <c r="A25" s="1"/>
      <c r="B25" s="1" t="s">
        <v>7</v>
      </c>
      <c r="C25" s="1"/>
      <c r="D25" s="1"/>
      <c r="E25" s="1"/>
      <c r="F25" s="1"/>
      <c r="G25" s="1"/>
      <c r="H25" s="1"/>
      <c r="I25" s="1">
        <v>8</v>
      </c>
      <c r="J25" s="1"/>
      <c r="K25" s="1"/>
      <c r="L25" s="1"/>
      <c r="M25" s="60"/>
      <c r="N25" s="60"/>
      <c r="O25" s="60"/>
      <c r="P25" s="60"/>
      <c r="Q25" s="1"/>
      <c r="R25" s="1"/>
      <c r="S25" s="1"/>
      <c r="T25" s="1"/>
      <c r="U25" s="1"/>
      <c r="V25" s="1"/>
      <c r="W25" s="1"/>
      <c r="X25" s="1"/>
      <c r="Y25" s="1"/>
      <c r="Z25" s="1"/>
      <c r="AA25" s="1"/>
      <c r="AB25" s="1"/>
      <c r="AC25" s="1"/>
    </row>
    <row r="26" spans="1:29" ht="14.25" customHeight="1" x14ac:dyDescent="0.2">
      <c r="A26" s="1"/>
      <c r="B26" s="1"/>
      <c r="C26" s="1"/>
      <c r="D26" s="1"/>
      <c r="E26" s="1"/>
      <c r="F26" s="1"/>
      <c r="G26" s="1"/>
      <c r="H26" s="1"/>
      <c r="I26" s="1"/>
      <c r="J26" s="1"/>
      <c r="K26" s="1"/>
      <c r="L26" s="1"/>
      <c r="M26" s="60"/>
      <c r="N26" s="60"/>
      <c r="O26" s="60"/>
      <c r="P26" s="60"/>
      <c r="Q26" s="1"/>
      <c r="R26" s="1"/>
      <c r="S26" s="1"/>
      <c r="T26" s="1"/>
      <c r="U26" s="1"/>
      <c r="V26" s="1"/>
      <c r="W26" s="1"/>
      <c r="X26" s="1"/>
      <c r="Y26" s="1"/>
      <c r="Z26" s="1"/>
      <c r="AA26" s="1"/>
      <c r="AB26" s="1"/>
      <c r="AC26" s="1"/>
    </row>
    <row r="27" spans="1:29" ht="14.25" customHeight="1" x14ac:dyDescent="0.2">
      <c r="A27" s="1"/>
      <c r="B27" s="1" t="s">
        <v>8</v>
      </c>
      <c r="C27" s="1"/>
      <c r="D27" s="1"/>
      <c r="E27" s="1"/>
      <c r="F27" s="1"/>
      <c r="G27" s="1"/>
      <c r="H27" s="1"/>
      <c r="I27" s="1">
        <v>8</v>
      </c>
      <c r="J27" s="1"/>
      <c r="K27" s="1"/>
      <c r="L27" s="1"/>
      <c r="M27" s="60"/>
      <c r="N27" s="60"/>
      <c r="O27" s="60"/>
      <c r="P27" s="60"/>
      <c r="Q27" s="1"/>
      <c r="R27" s="1"/>
      <c r="S27" s="1"/>
      <c r="T27" s="1"/>
      <c r="U27" s="1"/>
      <c r="V27" s="1"/>
      <c r="W27" s="1"/>
      <c r="X27" s="1"/>
      <c r="Y27" s="1"/>
      <c r="Z27" s="1"/>
      <c r="AA27" s="1"/>
      <c r="AB27" s="1"/>
      <c r="AC27" s="1"/>
    </row>
    <row r="28" spans="1:29" ht="14.25" customHeight="1" x14ac:dyDescent="0.2">
      <c r="A28" s="1"/>
      <c r="B28" s="1"/>
      <c r="C28" s="1"/>
      <c r="D28" s="1"/>
      <c r="E28" s="1"/>
      <c r="F28" s="1"/>
      <c r="G28" s="1"/>
      <c r="H28" s="1"/>
      <c r="I28" s="1"/>
      <c r="J28" s="1"/>
      <c r="K28" s="1"/>
      <c r="L28" s="1"/>
      <c r="M28" s="60"/>
      <c r="N28" s="60"/>
      <c r="O28" s="60"/>
      <c r="P28" s="60"/>
      <c r="Q28" s="1"/>
      <c r="R28" s="1"/>
      <c r="S28" s="1"/>
      <c r="T28" s="1"/>
      <c r="U28" s="1"/>
      <c r="V28" s="1"/>
      <c r="W28" s="1"/>
      <c r="X28" s="1"/>
      <c r="Y28" s="1"/>
      <c r="Z28" s="1"/>
      <c r="AA28" s="1"/>
      <c r="AB28" s="1"/>
      <c r="AC28" s="1"/>
    </row>
    <row r="29" spans="1:29" ht="14.25" customHeight="1" x14ac:dyDescent="0.2">
      <c r="A29" s="1"/>
      <c r="B29" s="1" t="s">
        <v>9</v>
      </c>
      <c r="C29" s="1"/>
      <c r="D29" s="1"/>
      <c r="E29" s="1"/>
      <c r="F29" s="1"/>
      <c r="G29" s="1"/>
      <c r="H29" s="1"/>
      <c r="I29" s="1">
        <v>10</v>
      </c>
      <c r="J29" s="1"/>
      <c r="K29" s="1"/>
      <c r="L29" s="1"/>
      <c r="M29" s="60"/>
      <c r="N29" s="60"/>
      <c r="O29" s="60"/>
      <c r="P29" s="60"/>
      <c r="Q29" s="1"/>
      <c r="R29" s="1"/>
      <c r="S29" s="1"/>
      <c r="T29" s="1"/>
      <c r="U29" s="1"/>
      <c r="V29" s="1"/>
      <c r="W29" s="1"/>
      <c r="X29" s="1"/>
      <c r="Y29" s="1"/>
      <c r="Z29" s="1"/>
      <c r="AA29" s="1"/>
      <c r="AB29" s="1"/>
      <c r="AC29" s="1"/>
    </row>
    <row r="30" spans="1:29" ht="14.25" customHeight="1" x14ac:dyDescent="0.2">
      <c r="A30" s="1"/>
      <c r="B30" s="1"/>
      <c r="C30" s="1"/>
      <c r="D30" s="1"/>
      <c r="E30" s="1"/>
      <c r="F30" s="1"/>
      <c r="G30" s="1"/>
      <c r="H30" s="1"/>
      <c r="I30" s="1"/>
      <c r="J30" s="1"/>
      <c r="K30" s="1"/>
      <c r="L30" s="1"/>
      <c r="M30" s="60"/>
      <c r="N30" s="60"/>
      <c r="O30" s="60"/>
      <c r="P30" s="60"/>
      <c r="Q30" s="1"/>
      <c r="R30" s="1"/>
      <c r="S30" s="1"/>
      <c r="T30" s="1"/>
      <c r="U30" s="1"/>
      <c r="V30" s="1"/>
      <c r="W30" s="1"/>
      <c r="X30" s="1"/>
      <c r="Y30" s="1"/>
      <c r="Z30" s="1"/>
      <c r="AA30" s="1"/>
      <c r="AB30" s="1"/>
      <c r="AC30" s="1"/>
    </row>
    <row r="31" spans="1:29" ht="14.25" customHeight="1" x14ac:dyDescent="0.2">
      <c r="A31" s="1"/>
      <c r="B31" s="4" t="s">
        <v>10</v>
      </c>
      <c r="C31" s="1"/>
      <c r="D31" s="1"/>
      <c r="E31" s="1"/>
      <c r="F31" s="4"/>
      <c r="G31" s="1"/>
      <c r="H31" s="1"/>
      <c r="I31" s="4">
        <f>SUM(I21:I30)</f>
        <v>40</v>
      </c>
      <c r="J31" s="1"/>
      <c r="K31" s="1"/>
      <c r="L31" s="1"/>
      <c r="M31" s="60"/>
      <c r="N31" s="60"/>
      <c r="O31" s="60"/>
      <c r="P31" s="60"/>
      <c r="Q31" s="1"/>
      <c r="R31" s="1"/>
      <c r="S31" s="1"/>
      <c r="T31" s="1"/>
      <c r="U31" s="1"/>
      <c r="V31" s="1"/>
      <c r="W31" s="1"/>
      <c r="X31" s="1"/>
      <c r="Y31" s="1"/>
      <c r="Z31" s="1"/>
      <c r="AA31" s="1"/>
      <c r="AB31" s="1"/>
      <c r="AC31" s="1"/>
    </row>
    <row r="32" spans="1:29" ht="14.25" customHeight="1" x14ac:dyDescent="0.2">
      <c r="A32" s="5"/>
      <c r="B32" s="5"/>
      <c r="C32" s="5"/>
      <c r="D32" s="5"/>
      <c r="E32" s="5"/>
      <c r="F32" s="5"/>
      <c r="G32" s="5"/>
      <c r="H32" s="5"/>
      <c r="I32" s="5"/>
      <c r="J32" s="5"/>
      <c r="K32" s="5"/>
      <c r="L32" s="5"/>
      <c r="M32" s="60"/>
      <c r="N32" s="60"/>
      <c r="O32" s="60"/>
      <c r="P32" s="60"/>
      <c r="Q32" s="1"/>
      <c r="R32" s="1"/>
      <c r="S32" s="1"/>
      <c r="T32" s="1"/>
      <c r="U32" s="1"/>
      <c r="V32" s="1"/>
      <c r="W32" s="1"/>
      <c r="X32" s="1"/>
      <c r="Y32" s="1"/>
      <c r="Z32" s="1"/>
      <c r="AA32" s="1"/>
      <c r="AB32" s="1"/>
      <c r="AC32" s="1"/>
    </row>
    <row r="33" spans="1:29" ht="21" x14ac:dyDescent="0.25">
      <c r="A33" s="5"/>
      <c r="B33" s="58" t="s">
        <v>11</v>
      </c>
      <c r="C33" s="47"/>
      <c r="D33" s="47"/>
      <c r="E33" s="47"/>
      <c r="F33" s="47"/>
      <c r="G33" s="47"/>
      <c r="H33" s="47"/>
      <c r="I33" s="47"/>
      <c r="J33" s="47"/>
      <c r="K33" s="47"/>
      <c r="L33" s="48"/>
      <c r="M33" s="60"/>
      <c r="N33" s="60"/>
      <c r="O33" s="60"/>
      <c r="P33" s="60"/>
      <c r="Q33" s="1"/>
      <c r="R33" s="1"/>
      <c r="S33" s="1"/>
      <c r="T33" s="1"/>
      <c r="U33" s="1"/>
      <c r="V33" s="1"/>
      <c r="W33" s="1"/>
      <c r="X33" s="1"/>
      <c r="Y33" s="1"/>
      <c r="Z33" s="1"/>
      <c r="AA33" s="1"/>
      <c r="AB33" s="1"/>
      <c r="AC33" s="1"/>
    </row>
    <row r="34" spans="1:29" ht="18" customHeight="1" x14ac:dyDescent="0.2">
      <c r="A34" s="1"/>
      <c r="B34" s="5"/>
      <c r="C34" s="5"/>
      <c r="D34" s="5"/>
      <c r="E34" s="5"/>
      <c r="F34" s="5"/>
      <c r="G34" s="5"/>
      <c r="H34" s="5"/>
      <c r="I34" s="5"/>
      <c r="J34" s="5"/>
      <c r="K34" s="5"/>
      <c r="L34" s="5"/>
      <c r="M34" s="60"/>
      <c r="N34" s="60"/>
      <c r="O34" s="60"/>
      <c r="P34" s="60"/>
      <c r="Q34" s="1"/>
      <c r="R34" s="1"/>
      <c r="S34" s="1"/>
      <c r="T34" s="1"/>
      <c r="U34" s="1"/>
      <c r="V34" s="1"/>
      <c r="W34" s="1"/>
      <c r="X34" s="1"/>
      <c r="Y34" s="1"/>
      <c r="Z34" s="1"/>
      <c r="AA34" s="1"/>
      <c r="AB34" s="1"/>
      <c r="AC34" s="1"/>
    </row>
    <row r="35" spans="1:29" ht="18.75" customHeight="1" x14ac:dyDescent="0.2">
      <c r="A35" s="1"/>
      <c r="B35" s="67" t="s">
        <v>4787</v>
      </c>
      <c r="C35" s="50"/>
      <c r="D35" s="50"/>
      <c r="E35" s="50"/>
      <c r="F35" s="50"/>
      <c r="G35" s="50"/>
      <c r="H35" s="50"/>
      <c r="I35" s="50"/>
      <c r="J35" s="50"/>
      <c r="K35" s="50"/>
      <c r="L35" s="51"/>
      <c r="M35" s="60"/>
      <c r="N35" s="60"/>
      <c r="O35" s="60"/>
      <c r="P35" s="60"/>
      <c r="Q35" s="1"/>
      <c r="R35" s="1"/>
      <c r="S35" s="1"/>
      <c r="T35" s="1"/>
      <c r="U35" s="1"/>
      <c r="V35" s="1"/>
      <c r="W35" s="1"/>
      <c r="X35" s="1"/>
      <c r="Y35" s="1"/>
      <c r="Z35" s="1"/>
      <c r="AA35" s="1"/>
      <c r="AB35" s="1"/>
      <c r="AC35" s="1"/>
    </row>
    <row r="36" spans="1:29" ht="14.25" customHeight="1" x14ac:dyDescent="0.2">
      <c r="A36" s="1"/>
      <c r="B36" s="52"/>
      <c r="C36" s="53"/>
      <c r="D36" s="53"/>
      <c r="E36" s="53"/>
      <c r="F36" s="53"/>
      <c r="G36" s="53"/>
      <c r="H36" s="53"/>
      <c r="I36" s="53"/>
      <c r="J36" s="53"/>
      <c r="K36" s="53"/>
      <c r="L36" s="54"/>
      <c r="M36" s="60"/>
      <c r="N36" s="60"/>
      <c r="O36" s="60"/>
      <c r="P36" s="60"/>
      <c r="Q36" s="1"/>
      <c r="R36" s="1"/>
      <c r="S36" s="1"/>
      <c r="T36" s="1"/>
      <c r="U36" s="1"/>
      <c r="V36" s="1"/>
      <c r="W36" s="1"/>
      <c r="X36" s="1"/>
      <c r="Y36" s="1"/>
      <c r="Z36" s="1"/>
      <c r="AA36" s="1"/>
      <c r="AB36" s="1"/>
      <c r="AC36" s="1"/>
    </row>
    <row r="37" spans="1:29" ht="14.25" customHeight="1" x14ac:dyDescent="0.2">
      <c r="A37" s="1"/>
      <c r="B37" s="52"/>
      <c r="C37" s="53"/>
      <c r="D37" s="53"/>
      <c r="E37" s="53"/>
      <c r="F37" s="53"/>
      <c r="G37" s="53"/>
      <c r="H37" s="53"/>
      <c r="I37" s="53"/>
      <c r="J37" s="53"/>
      <c r="K37" s="53"/>
      <c r="L37" s="54"/>
      <c r="M37" s="60"/>
      <c r="N37" s="60"/>
      <c r="O37" s="60"/>
      <c r="P37" s="60"/>
      <c r="Q37" s="1"/>
      <c r="R37" s="1"/>
      <c r="S37" s="1"/>
      <c r="T37" s="1"/>
      <c r="U37" s="1"/>
      <c r="V37" s="1"/>
      <c r="W37" s="1"/>
      <c r="X37" s="1"/>
      <c r="Y37" s="1"/>
      <c r="Z37" s="1"/>
      <c r="AA37" s="1"/>
      <c r="AB37" s="1"/>
      <c r="AC37" s="1"/>
    </row>
    <row r="38" spans="1:29" ht="14.25" customHeight="1" x14ac:dyDescent="0.2">
      <c r="A38" s="1"/>
      <c r="B38" s="52"/>
      <c r="C38" s="53"/>
      <c r="D38" s="53"/>
      <c r="E38" s="53"/>
      <c r="F38" s="53"/>
      <c r="G38" s="53"/>
      <c r="H38" s="53"/>
      <c r="I38" s="53"/>
      <c r="J38" s="53"/>
      <c r="K38" s="53"/>
      <c r="L38" s="54"/>
      <c r="M38" s="60"/>
      <c r="N38" s="60"/>
      <c r="O38" s="60"/>
      <c r="P38" s="60"/>
      <c r="Q38" s="1"/>
      <c r="R38" s="1"/>
      <c r="S38" s="1"/>
      <c r="T38" s="1"/>
      <c r="U38" s="1"/>
      <c r="V38" s="1"/>
      <c r="W38" s="1"/>
      <c r="X38" s="1"/>
      <c r="Y38" s="1"/>
      <c r="Z38" s="1"/>
      <c r="AA38" s="1"/>
      <c r="AB38" s="1"/>
      <c r="AC38" s="1"/>
    </row>
    <row r="39" spans="1:29" ht="14.25" customHeight="1" x14ac:dyDescent="0.2">
      <c r="A39" s="1"/>
      <c r="B39" s="52"/>
      <c r="C39" s="53"/>
      <c r="D39" s="53"/>
      <c r="E39" s="53"/>
      <c r="F39" s="53"/>
      <c r="G39" s="53"/>
      <c r="H39" s="53"/>
      <c r="I39" s="53"/>
      <c r="J39" s="53"/>
      <c r="K39" s="53"/>
      <c r="L39" s="54"/>
      <c r="M39" s="60"/>
      <c r="N39" s="60"/>
      <c r="O39" s="60"/>
      <c r="P39" s="60"/>
      <c r="Q39" s="1"/>
      <c r="R39" s="1"/>
      <c r="S39" s="1"/>
      <c r="T39" s="1"/>
      <c r="U39" s="1"/>
      <c r="V39" s="1"/>
      <c r="W39" s="1"/>
      <c r="X39" s="1"/>
      <c r="Y39" s="1"/>
      <c r="Z39" s="1"/>
      <c r="AA39" s="1"/>
      <c r="AB39" s="1"/>
      <c r="AC39" s="1"/>
    </row>
    <row r="40" spans="1:29" ht="14.25" customHeight="1" x14ac:dyDescent="0.2">
      <c r="A40" s="1"/>
      <c r="B40" s="52"/>
      <c r="C40" s="53"/>
      <c r="D40" s="53"/>
      <c r="E40" s="53"/>
      <c r="F40" s="53"/>
      <c r="G40" s="53"/>
      <c r="H40" s="53"/>
      <c r="I40" s="53"/>
      <c r="J40" s="53"/>
      <c r="K40" s="53"/>
      <c r="L40" s="54"/>
      <c r="M40" s="60"/>
      <c r="N40" s="60"/>
      <c r="O40" s="60"/>
      <c r="P40" s="60"/>
      <c r="Q40" s="1"/>
      <c r="R40" s="1"/>
      <c r="S40" s="1"/>
      <c r="T40" s="1"/>
      <c r="U40" s="1"/>
      <c r="V40" s="1"/>
      <c r="W40" s="1"/>
      <c r="X40" s="1"/>
      <c r="Y40" s="1"/>
      <c r="Z40" s="1"/>
      <c r="AA40" s="1"/>
      <c r="AB40" s="1"/>
      <c r="AC40" s="1"/>
    </row>
    <row r="41" spans="1:29" ht="14.25" customHeight="1" x14ac:dyDescent="0.2">
      <c r="A41" s="1"/>
      <c r="B41" s="52"/>
      <c r="C41" s="53"/>
      <c r="D41" s="53"/>
      <c r="E41" s="53"/>
      <c r="F41" s="53"/>
      <c r="G41" s="53"/>
      <c r="H41" s="53"/>
      <c r="I41" s="53"/>
      <c r="J41" s="53"/>
      <c r="K41" s="53"/>
      <c r="L41" s="54"/>
      <c r="M41" s="60"/>
      <c r="N41" s="60"/>
      <c r="O41" s="60"/>
      <c r="P41" s="60"/>
      <c r="Q41" s="1"/>
      <c r="R41" s="1"/>
      <c r="S41" s="1"/>
      <c r="T41" s="1"/>
      <c r="U41" s="1"/>
      <c r="V41" s="1"/>
      <c r="W41" s="1"/>
      <c r="X41" s="1"/>
      <c r="Y41" s="1"/>
      <c r="Z41" s="1"/>
      <c r="AA41" s="1"/>
      <c r="AB41" s="1"/>
      <c r="AC41" s="1"/>
    </row>
    <row r="42" spans="1:29" ht="14.25" customHeight="1" x14ac:dyDescent="0.2">
      <c r="A42" s="1"/>
      <c r="B42" s="52"/>
      <c r="C42" s="53"/>
      <c r="D42" s="53"/>
      <c r="E42" s="53"/>
      <c r="F42" s="53"/>
      <c r="G42" s="53"/>
      <c r="H42" s="53"/>
      <c r="I42" s="53"/>
      <c r="J42" s="53"/>
      <c r="K42" s="53"/>
      <c r="L42" s="54"/>
      <c r="M42" s="60"/>
      <c r="N42" s="60"/>
      <c r="O42" s="60"/>
      <c r="P42" s="60"/>
      <c r="Q42" s="1"/>
      <c r="R42" s="1"/>
      <c r="S42" s="1"/>
      <c r="T42" s="1"/>
      <c r="U42" s="1"/>
      <c r="V42" s="1"/>
      <c r="W42" s="1"/>
      <c r="X42" s="1"/>
      <c r="Y42" s="1"/>
      <c r="Z42" s="1"/>
      <c r="AA42" s="1"/>
      <c r="AB42" s="1"/>
      <c r="AC42" s="1"/>
    </row>
    <row r="43" spans="1:29" ht="14.25" customHeight="1" x14ac:dyDescent="0.2">
      <c r="A43" s="1"/>
      <c r="B43" s="52"/>
      <c r="C43" s="53"/>
      <c r="D43" s="53"/>
      <c r="E43" s="53"/>
      <c r="F43" s="53"/>
      <c r="G43" s="53"/>
      <c r="H43" s="53"/>
      <c r="I43" s="53"/>
      <c r="J43" s="53"/>
      <c r="K43" s="53"/>
      <c r="L43" s="54"/>
      <c r="M43" s="60"/>
      <c r="N43" s="60"/>
      <c r="O43" s="60"/>
      <c r="P43" s="60"/>
      <c r="Q43" s="1"/>
      <c r="R43" s="1"/>
      <c r="S43" s="1"/>
      <c r="T43" s="1"/>
      <c r="U43" s="1"/>
      <c r="V43" s="1"/>
      <c r="W43" s="1"/>
      <c r="X43" s="1"/>
      <c r="Y43" s="1"/>
      <c r="Z43" s="1"/>
      <c r="AA43" s="1"/>
      <c r="AB43" s="1"/>
      <c r="AC43" s="1"/>
    </row>
    <row r="44" spans="1:29" ht="14.25" customHeight="1" x14ac:dyDescent="0.2">
      <c r="A44" s="1"/>
      <c r="B44" s="52"/>
      <c r="C44" s="53"/>
      <c r="D44" s="53"/>
      <c r="E44" s="53"/>
      <c r="F44" s="53"/>
      <c r="G44" s="53"/>
      <c r="H44" s="53"/>
      <c r="I44" s="53"/>
      <c r="J44" s="53"/>
      <c r="K44" s="53"/>
      <c r="L44" s="54"/>
      <c r="M44" s="60"/>
      <c r="N44" s="60"/>
      <c r="O44" s="60"/>
      <c r="P44" s="60"/>
      <c r="Q44" s="1"/>
      <c r="R44" s="1"/>
      <c r="S44" s="1"/>
      <c r="T44" s="1"/>
      <c r="U44" s="1"/>
      <c r="V44" s="1"/>
      <c r="W44" s="1"/>
      <c r="X44" s="1"/>
      <c r="Y44" s="1"/>
      <c r="Z44" s="1"/>
      <c r="AA44" s="1"/>
      <c r="AB44" s="1"/>
      <c r="AC44" s="1"/>
    </row>
    <row r="45" spans="1:29" ht="14.25" customHeight="1" x14ac:dyDescent="0.2">
      <c r="A45" s="1"/>
      <c r="B45" s="52"/>
      <c r="C45" s="53"/>
      <c r="D45" s="53"/>
      <c r="E45" s="53"/>
      <c r="F45" s="53"/>
      <c r="G45" s="53"/>
      <c r="H45" s="53"/>
      <c r="I45" s="53"/>
      <c r="J45" s="53"/>
      <c r="K45" s="53"/>
      <c r="L45" s="54"/>
      <c r="M45" s="60"/>
      <c r="N45" s="60"/>
      <c r="O45" s="60"/>
      <c r="P45" s="60"/>
      <c r="Q45" s="1"/>
      <c r="R45" s="1"/>
      <c r="S45" s="1"/>
      <c r="T45" s="1"/>
      <c r="U45" s="1"/>
      <c r="V45" s="1"/>
      <c r="W45" s="1"/>
      <c r="X45" s="1"/>
      <c r="Y45" s="1"/>
      <c r="Z45" s="1"/>
      <c r="AA45" s="1"/>
      <c r="AB45" s="1"/>
      <c r="AC45" s="1"/>
    </row>
    <row r="46" spans="1:29" ht="14.25" customHeight="1" x14ac:dyDescent="0.2">
      <c r="A46" s="1"/>
      <c r="B46" s="52"/>
      <c r="C46" s="53"/>
      <c r="D46" s="53"/>
      <c r="E46" s="53"/>
      <c r="F46" s="53"/>
      <c r="G46" s="53"/>
      <c r="H46" s="53"/>
      <c r="I46" s="53"/>
      <c r="J46" s="53"/>
      <c r="K46" s="53"/>
      <c r="L46" s="54"/>
      <c r="M46" s="60"/>
      <c r="N46" s="60"/>
      <c r="O46" s="60"/>
      <c r="P46" s="60"/>
      <c r="Q46" s="1"/>
      <c r="R46" s="1"/>
      <c r="S46" s="1"/>
      <c r="T46" s="1"/>
      <c r="U46" s="1"/>
      <c r="V46" s="1"/>
      <c r="W46" s="1"/>
      <c r="X46" s="1"/>
      <c r="Y46" s="1"/>
      <c r="Z46" s="1"/>
      <c r="AA46" s="1"/>
      <c r="AB46" s="1"/>
      <c r="AC46" s="1"/>
    </row>
    <row r="47" spans="1:29" ht="14.25" customHeight="1" x14ac:dyDescent="0.2">
      <c r="A47" s="1"/>
      <c r="B47" s="52"/>
      <c r="C47" s="53"/>
      <c r="D47" s="53"/>
      <c r="E47" s="53"/>
      <c r="F47" s="53"/>
      <c r="G47" s="53"/>
      <c r="H47" s="53"/>
      <c r="I47" s="53"/>
      <c r="J47" s="53"/>
      <c r="K47" s="53"/>
      <c r="L47" s="54"/>
      <c r="M47" s="60"/>
      <c r="N47" s="60"/>
      <c r="O47" s="60"/>
      <c r="P47" s="60"/>
      <c r="Q47" s="1"/>
      <c r="R47" s="1"/>
      <c r="S47" s="1"/>
      <c r="T47" s="1"/>
      <c r="U47" s="1"/>
      <c r="V47" s="1"/>
      <c r="W47" s="1"/>
      <c r="X47" s="1"/>
      <c r="Y47" s="1"/>
      <c r="Z47" s="1"/>
      <c r="AA47" s="1"/>
      <c r="AB47" s="1"/>
      <c r="AC47" s="1"/>
    </row>
    <row r="48" spans="1:29" x14ac:dyDescent="0.2">
      <c r="A48" s="1"/>
      <c r="B48" s="55"/>
      <c r="C48" s="56"/>
      <c r="D48" s="56"/>
      <c r="E48" s="56"/>
      <c r="F48" s="56"/>
      <c r="G48" s="56"/>
      <c r="H48" s="56"/>
      <c r="I48" s="56"/>
      <c r="J48" s="56"/>
      <c r="K48" s="56"/>
      <c r="L48" s="57"/>
      <c r="M48" s="60"/>
      <c r="N48" s="60"/>
      <c r="O48" s="60"/>
      <c r="P48" s="60"/>
      <c r="Q48" s="1"/>
      <c r="R48" s="1"/>
      <c r="S48" s="1"/>
      <c r="T48" s="1"/>
      <c r="U48" s="1"/>
      <c r="V48" s="1"/>
      <c r="W48" s="1"/>
      <c r="X48" s="1"/>
      <c r="Y48" s="1"/>
      <c r="Z48" s="1"/>
      <c r="AA48" s="1"/>
      <c r="AB48" s="1"/>
      <c r="AC48" s="1"/>
    </row>
    <row r="49" spans="1:29" ht="18" customHeight="1" x14ac:dyDescent="0.2">
      <c r="A49" s="1"/>
      <c r="B49" s="67" t="s">
        <v>4788</v>
      </c>
      <c r="C49" s="50"/>
      <c r="D49" s="50"/>
      <c r="E49" s="50"/>
      <c r="F49" s="50"/>
      <c r="G49" s="50"/>
      <c r="H49" s="50"/>
      <c r="I49" s="50"/>
      <c r="J49" s="50"/>
      <c r="K49" s="50"/>
      <c r="L49" s="51"/>
      <c r="M49" s="60"/>
      <c r="N49" s="60"/>
      <c r="O49" s="60"/>
      <c r="P49" s="60"/>
      <c r="Q49" s="1"/>
      <c r="R49" s="1"/>
      <c r="S49" s="1"/>
      <c r="T49" s="1"/>
      <c r="U49" s="1"/>
      <c r="V49" s="1"/>
      <c r="W49" s="1"/>
      <c r="X49" s="1"/>
      <c r="Y49" s="1"/>
      <c r="Z49" s="1"/>
      <c r="AA49" s="1"/>
      <c r="AB49" s="1"/>
      <c r="AC49" s="1"/>
    </row>
    <row r="50" spans="1:29" ht="18" customHeight="1" x14ac:dyDescent="0.2">
      <c r="A50" s="1"/>
      <c r="B50" s="52"/>
      <c r="C50" s="53"/>
      <c r="D50" s="53"/>
      <c r="E50" s="53"/>
      <c r="F50" s="53"/>
      <c r="G50" s="53"/>
      <c r="H50" s="53"/>
      <c r="I50" s="53"/>
      <c r="J50" s="53"/>
      <c r="K50" s="53"/>
      <c r="L50" s="54"/>
      <c r="M50" s="60"/>
      <c r="N50" s="60"/>
      <c r="O50" s="60"/>
      <c r="P50" s="60"/>
      <c r="Q50" s="1"/>
      <c r="R50" s="1"/>
      <c r="S50" s="1"/>
      <c r="T50" s="1"/>
      <c r="U50" s="1"/>
      <c r="V50" s="1"/>
      <c r="W50" s="1"/>
      <c r="X50" s="1"/>
      <c r="Y50" s="1"/>
      <c r="Z50" s="1"/>
      <c r="AA50" s="1"/>
      <c r="AB50" s="1"/>
      <c r="AC50" s="1"/>
    </row>
    <row r="51" spans="1:29" ht="18" customHeight="1" x14ac:dyDescent="0.2">
      <c r="A51" s="1"/>
      <c r="B51" s="52"/>
      <c r="C51" s="53"/>
      <c r="D51" s="53"/>
      <c r="E51" s="53"/>
      <c r="F51" s="53"/>
      <c r="G51" s="53"/>
      <c r="H51" s="53"/>
      <c r="I51" s="53"/>
      <c r="J51" s="53"/>
      <c r="K51" s="53"/>
      <c r="L51" s="54"/>
      <c r="M51" s="60"/>
      <c r="N51" s="60"/>
      <c r="O51" s="60"/>
      <c r="P51" s="60"/>
      <c r="Q51" s="1"/>
      <c r="R51" s="1"/>
      <c r="S51" s="1"/>
      <c r="T51" s="1"/>
      <c r="U51" s="1"/>
      <c r="V51" s="1"/>
      <c r="W51" s="1"/>
      <c r="X51" s="1"/>
      <c r="Y51" s="1"/>
      <c r="Z51" s="1"/>
      <c r="AA51" s="1"/>
      <c r="AB51" s="1"/>
      <c r="AC51" s="1"/>
    </row>
    <row r="52" spans="1:29" ht="18" customHeight="1" x14ac:dyDescent="0.2">
      <c r="A52" s="1"/>
      <c r="B52" s="52"/>
      <c r="C52" s="53"/>
      <c r="D52" s="53"/>
      <c r="E52" s="53"/>
      <c r="F52" s="53"/>
      <c r="G52" s="53"/>
      <c r="H52" s="53"/>
      <c r="I52" s="53"/>
      <c r="J52" s="53"/>
      <c r="K52" s="53"/>
      <c r="L52" s="54"/>
      <c r="M52" s="60"/>
      <c r="N52" s="60"/>
      <c r="O52" s="60"/>
      <c r="P52" s="60"/>
      <c r="Q52" s="1"/>
      <c r="R52" s="1"/>
      <c r="S52" s="1"/>
      <c r="T52" s="1"/>
      <c r="U52" s="1"/>
      <c r="V52" s="1"/>
      <c r="W52" s="1"/>
      <c r="X52" s="1"/>
      <c r="Y52" s="1"/>
      <c r="Z52" s="1"/>
      <c r="AA52" s="1"/>
      <c r="AB52" s="1"/>
      <c r="AC52" s="1"/>
    </row>
    <row r="53" spans="1:29" ht="18" customHeight="1" x14ac:dyDescent="0.2">
      <c r="A53" s="1"/>
      <c r="B53" s="52"/>
      <c r="C53" s="53"/>
      <c r="D53" s="53"/>
      <c r="E53" s="53"/>
      <c r="F53" s="53"/>
      <c r="G53" s="53"/>
      <c r="H53" s="53"/>
      <c r="I53" s="53"/>
      <c r="J53" s="53"/>
      <c r="K53" s="53"/>
      <c r="L53" s="54"/>
      <c r="M53" s="60"/>
      <c r="N53" s="60"/>
      <c r="O53" s="60"/>
      <c r="P53" s="60"/>
      <c r="Q53" s="1"/>
      <c r="R53" s="1"/>
      <c r="S53" s="1"/>
      <c r="T53" s="1"/>
      <c r="U53" s="1"/>
      <c r="V53" s="1"/>
      <c r="W53" s="1"/>
      <c r="X53" s="1"/>
      <c r="Y53" s="1"/>
      <c r="Z53" s="1"/>
      <c r="AA53" s="1"/>
      <c r="AB53" s="1"/>
      <c r="AC53" s="1"/>
    </row>
    <row r="54" spans="1:29" ht="18" customHeight="1" x14ac:dyDescent="0.2">
      <c r="A54" s="1"/>
      <c r="B54" s="52"/>
      <c r="C54" s="53"/>
      <c r="D54" s="53"/>
      <c r="E54" s="53"/>
      <c r="F54" s="53"/>
      <c r="G54" s="53"/>
      <c r="H54" s="53"/>
      <c r="I54" s="53"/>
      <c r="J54" s="53"/>
      <c r="K54" s="53"/>
      <c r="L54" s="54"/>
      <c r="M54" s="60"/>
      <c r="N54" s="60"/>
      <c r="O54" s="60"/>
      <c r="P54" s="60"/>
      <c r="Q54" s="1"/>
      <c r="R54" s="1"/>
      <c r="S54" s="1"/>
      <c r="T54" s="1"/>
      <c r="U54" s="1"/>
      <c r="V54" s="1"/>
      <c r="W54" s="1"/>
      <c r="X54" s="1"/>
      <c r="Y54" s="1"/>
      <c r="Z54" s="1"/>
      <c r="AA54" s="1"/>
      <c r="AB54" s="1"/>
      <c r="AC54" s="1"/>
    </row>
    <row r="55" spans="1:29" ht="18" customHeight="1" x14ac:dyDescent="0.2">
      <c r="A55" s="1"/>
      <c r="B55" s="52"/>
      <c r="C55" s="53"/>
      <c r="D55" s="53"/>
      <c r="E55" s="53"/>
      <c r="F55" s="53"/>
      <c r="G55" s="53"/>
      <c r="H55" s="53"/>
      <c r="I55" s="53"/>
      <c r="J55" s="53"/>
      <c r="K55" s="53"/>
      <c r="L55" s="54"/>
      <c r="M55" s="60"/>
      <c r="N55" s="60"/>
      <c r="O55" s="60"/>
      <c r="P55" s="60"/>
      <c r="Q55" s="1"/>
      <c r="R55" s="1"/>
      <c r="S55" s="1"/>
      <c r="T55" s="1"/>
      <c r="U55" s="1"/>
      <c r="V55" s="1"/>
      <c r="W55" s="1"/>
      <c r="X55" s="1"/>
      <c r="Y55" s="1"/>
      <c r="Z55" s="1"/>
      <c r="AA55" s="1"/>
      <c r="AB55" s="1"/>
      <c r="AC55" s="1"/>
    </row>
    <row r="56" spans="1:29" ht="18" customHeight="1" x14ac:dyDescent="0.2">
      <c r="A56" s="1"/>
      <c r="B56" s="52"/>
      <c r="C56" s="53"/>
      <c r="D56" s="53"/>
      <c r="E56" s="53"/>
      <c r="F56" s="53"/>
      <c r="G56" s="53"/>
      <c r="H56" s="53"/>
      <c r="I56" s="53"/>
      <c r="J56" s="53"/>
      <c r="K56" s="53"/>
      <c r="L56" s="54"/>
      <c r="M56" s="60"/>
      <c r="N56" s="60"/>
      <c r="O56" s="60"/>
      <c r="P56" s="60"/>
      <c r="Q56" s="1"/>
      <c r="R56" s="1"/>
      <c r="S56" s="1"/>
      <c r="T56" s="1"/>
      <c r="U56" s="1"/>
      <c r="V56" s="1"/>
      <c r="W56" s="1"/>
      <c r="X56" s="1"/>
      <c r="Y56" s="1"/>
      <c r="Z56" s="1"/>
      <c r="AA56" s="1"/>
      <c r="AB56" s="1"/>
      <c r="AC56" s="1"/>
    </row>
    <row r="57" spans="1:29" ht="4.5" customHeight="1" x14ac:dyDescent="0.2">
      <c r="A57" s="1"/>
      <c r="B57" s="55"/>
      <c r="C57" s="56"/>
      <c r="D57" s="56"/>
      <c r="E57" s="56"/>
      <c r="F57" s="56"/>
      <c r="G57" s="56"/>
      <c r="H57" s="56"/>
      <c r="I57" s="56"/>
      <c r="J57" s="56"/>
      <c r="K57" s="56"/>
      <c r="L57" s="57"/>
      <c r="M57" s="60"/>
      <c r="N57" s="60"/>
      <c r="O57" s="60"/>
      <c r="P57" s="60"/>
      <c r="Q57" s="1"/>
      <c r="R57" s="1"/>
      <c r="S57" s="1"/>
      <c r="T57" s="1"/>
      <c r="U57" s="1"/>
      <c r="V57" s="1"/>
      <c r="W57" s="1"/>
      <c r="X57" s="1"/>
      <c r="Y57" s="1"/>
      <c r="Z57" s="1"/>
      <c r="AA57" s="1"/>
      <c r="AB57" s="1"/>
      <c r="AC57" s="1"/>
    </row>
    <row r="58" spans="1:29" ht="18" customHeight="1" x14ac:dyDescent="0.2">
      <c r="A58" s="1"/>
      <c r="B58" s="67" t="s">
        <v>12</v>
      </c>
      <c r="C58" s="50"/>
      <c r="D58" s="50"/>
      <c r="E58" s="50"/>
      <c r="F58" s="50"/>
      <c r="G58" s="50"/>
      <c r="H58" s="50"/>
      <c r="I58" s="50"/>
      <c r="J58" s="50"/>
      <c r="K58" s="50"/>
      <c r="L58" s="51"/>
      <c r="M58" s="60"/>
      <c r="N58" s="60"/>
      <c r="O58" s="60"/>
      <c r="P58" s="60"/>
      <c r="Q58" s="1"/>
      <c r="R58" s="1"/>
      <c r="S58" s="1"/>
      <c r="T58" s="1"/>
      <c r="U58" s="1"/>
      <c r="V58" s="1"/>
      <c r="W58" s="1"/>
      <c r="X58" s="1"/>
      <c r="Y58" s="1"/>
      <c r="Z58" s="1"/>
      <c r="AA58" s="1"/>
      <c r="AB58" s="1"/>
      <c r="AC58" s="1"/>
    </row>
    <row r="59" spans="1:29" ht="18" customHeight="1" x14ac:dyDescent="0.2">
      <c r="A59" s="1"/>
      <c r="B59" s="52"/>
      <c r="C59" s="53"/>
      <c r="D59" s="53"/>
      <c r="E59" s="53"/>
      <c r="F59" s="53"/>
      <c r="G59" s="53"/>
      <c r="H59" s="53"/>
      <c r="I59" s="53"/>
      <c r="J59" s="53"/>
      <c r="K59" s="53"/>
      <c r="L59" s="54"/>
      <c r="M59" s="60"/>
      <c r="N59" s="60"/>
      <c r="O59" s="60"/>
      <c r="P59" s="60"/>
      <c r="Q59" s="1"/>
      <c r="R59" s="1"/>
      <c r="S59" s="1"/>
      <c r="T59" s="1"/>
      <c r="U59" s="1"/>
      <c r="V59" s="1"/>
      <c r="W59" s="1"/>
      <c r="X59" s="1"/>
      <c r="Y59" s="1"/>
      <c r="Z59" s="1"/>
      <c r="AA59" s="1"/>
      <c r="AB59" s="1"/>
      <c r="AC59" s="1"/>
    </row>
    <row r="60" spans="1:29" ht="6.75" customHeight="1" x14ac:dyDescent="0.2">
      <c r="A60" s="1"/>
      <c r="B60" s="52"/>
      <c r="C60" s="53"/>
      <c r="D60" s="53"/>
      <c r="E60" s="53"/>
      <c r="F60" s="53"/>
      <c r="G60" s="53"/>
      <c r="H60" s="53"/>
      <c r="I60" s="53"/>
      <c r="J60" s="53"/>
      <c r="K60" s="53"/>
      <c r="L60" s="54"/>
      <c r="M60" s="60"/>
      <c r="N60" s="60"/>
      <c r="O60" s="60"/>
      <c r="P60" s="60"/>
      <c r="Q60" s="1"/>
      <c r="R60" s="1"/>
      <c r="S60" s="1"/>
      <c r="T60" s="1"/>
      <c r="U60" s="1"/>
      <c r="V60" s="1"/>
      <c r="W60" s="1"/>
      <c r="X60" s="1"/>
      <c r="Y60" s="1"/>
      <c r="Z60" s="1"/>
      <c r="AA60" s="1"/>
      <c r="AB60" s="1"/>
      <c r="AC60" s="1"/>
    </row>
    <row r="61" spans="1:29" ht="18" customHeight="1" x14ac:dyDescent="0.2">
      <c r="A61" s="1"/>
      <c r="B61" s="52"/>
      <c r="C61" s="53"/>
      <c r="D61" s="53"/>
      <c r="E61" s="53"/>
      <c r="F61" s="53"/>
      <c r="G61" s="53"/>
      <c r="H61" s="53"/>
      <c r="I61" s="53"/>
      <c r="J61" s="53"/>
      <c r="K61" s="53"/>
      <c r="L61" s="54"/>
      <c r="M61" s="60"/>
      <c r="N61" s="60"/>
      <c r="O61" s="60"/>
      <c r="P61" s="60"/>
      <c r="Q61" s="1"/>
      <c r="R61" s="1"/>
      <c r="S61" s="1"/>
      <c r="T61" s="1"/>
      <c r="U61" s="1"/>
      <c r="V61" s="1"/>
      <c r="W61" s="1"/>
      <c r="X61" s="1"/>
      <c r="Y61" s="1"/>
      <c r="Z61" s="1"/>
      <c r="AA61" s="1"/>
      <c r="AB61" s="1"/>
      <c r="AC61" s="1"/>
    </row>
    <row r="62" spans="1:29" ht="18" customHeight="1" x14ac:dyDescent="0.2">
      <c r="A62" s="1"/>
      <c r="B62" s="52"/>
      <c r="C62" s="53"/>
      <c r="D62" s="53"/>
      <c r="E62" s="53"/>
      <c r="F62" s="53"/>
      <c r="G62" s="53"/>
      <c r="H62" s="53"/>
      <c r="I62" s="53"/>
      <c r="J62" s="53"/>
      <c r="K62" s="53"/>
      <c r="L62" s="54"/>
      <c r="M62" s="60"/>
      <c r="N62" s="60"/>
      <c r="O62" s="60"/>
      <c r="P62" s="60"/>
      <c r="Q62" s="1"/>
      <c r="R62" s="1"/>
      <c r="S62" s="1"/>
      <c r="T62" s="1"/>
      <c r="U62" s="1"/>
      <c r="V62" s="1"/>
      <c r="W62" s="1"/>
      <c r="X62" s="1"/>
      <c r="Y62" s="1"/>
      <c r="Z62" s="1"/>
      <c r="AA62" s="1"/>
      <c r="AB62" s="1"/>
      <c r="AC62" s="1"/>
    </row>
    <row r="63" spans="1:29" ht="18" customHeight="1" x14ac:dyDescent="0.2">
      <c r="A63" s="1"/>
      <c r="B63" s="52"/>
      <c r="C63" s="53"/>
      <c r="D63" s="53"/>
      <c r="E63" s="53"/>
      <c r="F63" s="53"/>
      <c r="G63" s="53"/>
      <c r="H63" s="53"/>
      <c r="I63" s="53"/>
      <c r="J63" s="53"/>
      <c r="K63" s="53"/>
      <c r="L63" s="54"/>
      <c r="M63" s="60"/>
      <c r="N63" s="60"/>
      <c r="O63" s="60"/>
      <c r="P63" s="60"/>
      <c r="Q63" s="1"/>
      <c r="R63" s="1"/>
      <c r="S63" s="1"/>
      <c r="T63" s="1"/>
      <c r="U63" s="1"/>
      <c r="V63" s="1"/>
      <c r="W63" s="1"/>
      <c r="X63" s="1"/>
      <c r="Y63" s="1"/>
      <c r="Z63" s="1"/>
      <c r="AA63" s="1"/>
      <c r="AB63" s="1"/>
      <c r="AC63" s="1"/>
    </row>
    <row r="64" spans="1:29" ht="18" customHeight="1" x14ac:dyDescent="0.2">
      <c r="A64" s="1"/>
      <c r="B64" s="52"/>
      <c r="C64" s="53"/>
      <c r="D64" s="53"/>
      <c r="E64" s="53"/>
      <c r="F64" s="53"/>
      <c r="G64" s="53"/>
      <c r="H64" s="53"/>
      <c r="I64" s="53"/>
      <c r="J64" s="53"/>
      <c r="K64" s="53"/>
      <c r="L64" s="54"/>
      <c r="M64" s="60"/>
      <c r="N64" s="60"/>
      <c r="O64" s="60"/>
      <c r="P64" s="60"/>
      <c r="Q64" s="1"/>
      <c r="R64" s="1"/>
      <c r="S64" s="1"/>
      <c r="T64" s="1"/>
      <c r="U64" s="1"/>
      <c r="V64" s="1"/>
      <c r="W64" s="1"/>
      <c r="X64" s="1"/>
      <c r="Y64" s="1"/>
      <c r="Z64" s="1"/>
      <c r="AA64" s="1"/>
      <c r="AB64" s="1"/>
      <c r="AC64" s="1"/>
    </row>
    <row r="65" spans="1:29" ht="18" customHeight="1" x14ac:dyDescent="0.2">
      <c r="A65" s="1"/>
      <c r="B65" s="52"/>
      <c r="C65" s="53"/>
      <c r="D65" s="53"/>
      <c r="E65" s="53"/>
      <c r="F65" s="53"/>
      <c r="G65" s="53"/>
      <c r="H65" s="53"/>
      <c r="I65" s="53"/>
      <c r="J65" s="53"/>
      <c r="K65" s="53"/>
      <c r="L65" s="54"/>
      <c r="M65" s="60"/>
      <c r="N65" s="60"/>
      <c r="O65" s="60"/>
      <c r="P65" s="60"/>
      <c r="Q65" s="1"/>
      <c r="R65" s="1"/>
      <c r="S65" s="1"/>
      <c r="T65" s="1"/>
      <c r="U65" s="1"/>
      <c r="V65" s="1"/>
      <c r="W65" s="1"/>
      <c r="X65" s="1"/>
      <c r="Y65" s="1"/>
      <c r="Z65" s="1"/>
      <c r="AA65" s="1"/>
      <c r="AB65" s="1"/>
      <c r="AC65" s="1"/>
    </row>
    <row r="66" spans="1:29" ht="3" customHeight="1" x14ac:dyDescent="0.2">
      <c r="A66" s="1"/>
      <c r="B66" s="52"/>
      <c r="C66" s="53"/>
      <c r="D66" s="53"/>
      <c r="E66" s="53"/>
      <c r="F66" s="53"/>
      <c r="G66" s="53"/>
      <c r="H66" s="53"/>
      <c r="I66" s="53"/>
      <c r="J66" s="53"/>
      <c r="K66" s="53"/>
      <c r="L66" s="54"/>
      <c r="M66" s="60"/>
      <c r="N66" s="60"/>
      <c r="O66" s="60"/>
      <c r="P66" s="60"/>
      <c r="Q66" s="1"/>
      <c r="R66" s="1"/>
      <c r="S66" s="1"/>
      <c r="T66" s="1"/>
      <c r="U66" s="1"/>
      <c r="V66" s="1"/>
      <c r="W66" s="1"/>
      <c r="X66" s="1"/>
      <c r="Y66" s="1"/>
      <c r="Z66" s="1"/>
      <c r="AA66" s="1"/>
      <c r="AB66" s="1"/>
      <c r="AC66" s="1"/>
    </row>
    <row r="67" spans="1:29" ht="18" customHeight="1" x14ac:dyDescent="0.2">
      <c r="A67" s="1"/>
      <c r="B67" s="52"/>
      <c r="C67" s="53"/>
      <c r="D67" s="53"/>
      <c r="E67" s="53"/>
      <c r="F67" s="53"/>
      <c r="G67" s="53"/>
      <c r="H67" s="53"/>
      <c r="I67" s="53"/>
      <c r="J67" s="53"/>
      <c r="K67" s="53"/>
      <c r="L67" s="54"/>
      <c r="M67" s="60"/>
      <c r="N67" s="60"/>
      <c r="O67" s="60"/>
      <c r="P67" s="60"/>
      <c r="Q67" s="1"/>
      <c r="R67" s="1"/>
      <c r="S67" s="1"/>
      <c r="T67" s="1"/>
      <c r="U67" s="1"/>
      <c r="V67" s="1"/>
      <c r="W67" s="1"/>
      <c r="X67" s="1"/>
      <c r="Y67" s="1"/>
      <c r="Z67" s="1"/>
      <c r="AA67" s="1"/>
      <c r="AB67" s="1"/>
      <c r="AC67" s="1"/>
    </row>
    <row r="68" spans="1:29" ht="18" customHeight="1" x14ac:dyDescent="0.2">
      <c r="A68" s="1"/>
      <c r="B68" s="52"/>
      <c r="C68" s="53"/>
      <c r="D68" s="53"/>
      <c r="E68" s="53"/>
      <c r="F68" s="53"/>
      <c r="G68" s="53"/>
      <c r="H68" s="53"/>
      <c r="I68" s="53"/>
      <c r="J68" s="53"/>
      <c r="K68" s="53"/>
      <c r="L68" s="54"/>
      <c r="M68" s="60"/>
      <c r="N68" s="60"/>
      <c r="O68" s="60"/>
      <c r="P68" s="60"/>
      <c r="Q68" s="1"/>
      <c r="R68" s="1"/>
      <c r="S68" s="1"/>
      <c r="T68" s="1"/>
      <c r="U68" s="1"/>
      <c r="V68" s="1"/>
      <c r="W68" s="1"/>
      <c r="X68" s="1"/>
      <c r="Y68" s="1"/>
      <c r="Z68" s="1"/>
      <c r="AA68" s="1"/>
      <c r="AB68" s="1"/>
      <c r="AC68" s="1"/>
    </row>
    <row r="69" spans="1:29" ht="18" hidden="1" customHeight="1" x14ac:dyDescent="0.2">
      <c r="A69" s="1"/>
      <c r="B69" s="52"/>
      <c r="C69" s="53"/>
      <c r="D69" s="53"/>
      <c r="E69" s="53"/>
      <c r="F69" s="53"/>
      <c r="G69" s="53"/>
      <c r="H69" s="53"/>
      <c r="I69" s="53"/>
      <c r="J69" s="53"/>
      <c r="K69" s="53"/>
      <c r="L69" s="54"/>
      <c r="M69" s="60"/>
      <c r="N69" s="60"/>
      <c r="O69" s="60"/>
      <c r="P69" s="60"/>
      <c r="Q69" s="1"/>
      <c r="R69" s="1"/>
      <c r="S69" s="1"/>
      <c r="T69" s="1"/>
      <c r="U69" s="1"/>
      <c r="V69" s="1"/>
      <c r="W69" s="1"/>
      <c r="X69" s="1"/>
      <c r="Y69" s="1"/>
      <c r="Z69" s="1"/>
      <c r="AA69" s="1"/>
      <c r="AB69" s="1"/>
      <c r="AC69" s="1"/>
    </row>
    <row r="70" spans="1:29" ht="18" customHeight="1" x14ac:dyDescent="0.2">
      <c r="A70" s="1"/>
      <c r="B70" s="52"/>
      <c r="C70" s="53"/>
      <c r="D70" s="53"/>
      <c r="E70" s="53"/>
      <c r="F70" s="53"/>
      <c r="G70" s="53"/>
      <c r="H70" s="53"/>
      <c r="I70" s="53"/>
      <c r="J70" s="53"/>
      <c r="K70" s="53"/>
      <c r="L70" s="54"/>
      <c r="M70" s="60"/>
      <c r="N70" s="60"/>
      <c r="O70" s="60"/>
      <c r="P70" s="60"/>
      <c r="Q70" s="1"/>
      <c r="R70" s="1"/>
      <c r="S70" s="1"/>
      <c r="T70" s="1"/>
      <c r="U70" s="1"/>
      <c r="V70" s="1"/>
      <c r="W70" s="1"/>
      <c r="X70" s="1"/>
      <c r="Y70" s="1"/>
      <c r="Z70" s="1"/>
      <c r="AA70" s="1"/>
      <c r="AB70" s="1"/>
      <c r="AC70" s="1"/>
    </row>
    <row r="71" spans="1:29" ht="12" customHeight="1" x14ac:dyDescent="0.2">
      <c r="A71" s="1"/>
      <c r="B71" s="55"/>
      <c r="C71" s="56"/>
      <c r="D71" s="56"/>
      <c r="E71" s="56"/>
      <c r="F71" s="56"/>
      <c r="G71" s="56"/>
      <c r="H71" s="56"/>
      <c r="I71" s="56"/>
      <c r="J71" s="56"/>
      <c r="K71" s="56"/>
      <c r="L71" s="57"/>
      <c r="M71" s="60"/>
      <c r="N71" s="60"/>
      <c r="O71" s="60"/>
      <c r="P71" s="60"/>
      <c r="Q71" s="1"/>
      <c r="R71" s="1"/>
      <c r="S71" s="1"/>
      <c r="T71" s="1"/>
      <c r="U71" s="1"/>
      <c r="V71" s="1"/>
      <c r="W71" s="1"/>
      <c r="X71" s="1"/>
      <c r="Y71" s="1"/>
      <c r="Z71" s="1"/>
      <c r="AA71" s="1"/>
      <c r="AB71" s="1"/>
      <c r="AC71" s="1"/>
    </row>
    <row r="72" spans="1:29" ht="15.75" customHeight="1" x14ac:dyDescent="0.2">
      <c r="A72" s="1"/>
      <c r="B72" s="1"/>
      <c r="C72" s="1"/>
      <c r="D72" s="1"/>
      <c r="E72" s="1"/>
      <c r="F72" s="1"/>
      <c r="G72" s="1"/>
      <c r="H72" s="1"/>
      <c r="I72" s="1"/>
      <c r="J72" s="1"/>
      <c r="K72" s="1"/>
      <c r="L72" s="1"/>
      <c r="M72" s="60"/>
      <c r="N72" s="60"/>
      <c r="O72" s="60"/>
      <c r="P72" s="60"/>
      <c r="Q72" s="1"/>
      <c r="R72" s="1"/>
      <c r="S72" s="1"/>
      <c r="T72" s="1"/>
      <c r="U72" s="1"/>
      <c r="V72" s="1"/>
      <c r="W72" s="1"/>
      <c r="X72" s="1"/>
      <c r="Y72" s="1"/>
      <c r="Z72" s="1"/>
      <c r="AA72" s="1"/>
      <c r="AB72" s="1"/>
      <c r="AC72" s="1"/>
    </row>
    <row r="73" spans="1:29" ht="42.75" customHeight="1" x14ac:dyDescent="0.2">
      <c r="A73" s="1"/>
      <c r="B73" s="67" t="s">
        <v>4789</v>
      </c>
      <c r="C73" s="50"/>
      <c r="D73" s="50"/>
      <c r="E73" s="50"/>
      <c r="F73" s="50"/>
      <c r="G73" s="50"/>
      <c r="H73" s="50"/>
      <c r="I73" s="50"/>
      <c r="J73" s="50"/>
      <c r="K73" s="50"/>
      <c r="L73" s="51"/>
      <c r="M73" s="60"/>
      <c r="N73" s="60"/>
      <c r="O73" s="60"/>
      <c r="P73" s="60"/>
      <c r="Q73" s="1"/>
      <c r="R73" s="1"/>
      <c r="S73" s="1"/>
      <c r="T73" s="1"/>
      <c r="U73" s="1"/>
      <c r="V73" s="1"/>
      <c r="W73" s="1"/>
      <c r="X73" s="1"/>
      <c r="Y73" s="1"/>
      <c r="Z73" s="1"/>
      <c r="AA73" s="1"/>
      <c r="AB73" s="1"/>
      <c r="AC73" s="1"/>
    </row>
    <row r="74" spans="1:29" ht="14.25" customHeight="1" x14ac:dyDescent="0.2">
      <c r="A74" s="1"/>
      <c r="B74" s="52"/>
      <c r="C74" s="53"/>
      <c r="D74" s="53"/>
      <c r="E74" s="53"/>
      <c r="F74" s="53"/>
      <c r="G74" s="53"/>
      <c r="H74" s="53"/>
      <c r="I74" s="53"/>
      <c r="J74" s="53"/>
      <c r="K74" s="53"/>
      <c r="L74" s="54"/>
      <c r="M74" s="60"/>
      <c r="N74" s="60"/>
      <c r="O74" s="60"/>
      <c r="P74" s="60"/>
      <c r="Q74" s="1"/>
      <c r="R74" s="1"/>
      <c r="S74" s="1"/>
      <c r="T74" s="1"/>
      <c r="U74" s="1"/>
      <c r="V74" s="1"/>
      <c r="W74" s="1"/>
      <c r="X74" s="1"/>
      <c r="Y74" s="1"/>
      <c r="Z74" s="1"/>
      <c r="AA74" s="1"/>
      <c r="AB74" s="1"/>
      <c r="AC74" s="1"/>
    </row>
    <row r="75" spans="1:29" ht="14.25" customHeight="1" x14ac:dyDescent="0.2">
      <c r="A75" s="1"/>
      <c r="B75" s="52"/>
      <c r="C75" s="53"/>
      <c r="D75" s="53"/>
      <c r="E75" s="53"/>
      <c r="F75" s="53"/>
      <c r="G75" s="53"/>
      <c r="H75" s="53"/>
      <c r="I75" s="53"/>
      <c r="J75" s="53"/>
      <c r="K75" s="53"/>
      <c r="L75" s="54"/>
      <c r="M75" s="60"/>
      <c r="N75" s="60"/>
      <c r="O75" s="60"/>
      <c r="P75" s="60"/>
      <c r="Q75" s="1"/>
      <c r="R75" s="1"/>
      <c r="S75" s="1"/>
      <c r="T75" s="1"/>
      <c r="U75" s="1"/>
      <c r="V75" s="1"/>
      <c r="W75" s="1"/>
      <c r="X75" s="1"/>
      <c r="Y75" s="1"/>
      <c r="Z75" s="1"/>
      <c r="AA75" s="1"/>
      <c r="AB75" s="1"/>
      <c r="AC75" s="1"/>
    </row>
    <row r="76" spans="1:29" ht="14.25" customHeight="1" x14ac:dyDescent="0.2">
      <c r="A76" s="1"/>
      <c r="B76" s="52"/>
      <c r="C76" s="53"/>
      <c r="D76" s="53"/>
      <c r="E76" s="53"/>
      <c r="F76" s="53"/>
      <c r="G76" s="53"/>
      <c r="H76" s="53"/>
      <c r="I76" s="53"/>
      <c r="J76" s="53"/>
      <c r="K76" s="53"/>
      <c r="L76" s="54"/>
      <c r="M76" s="60"/>
      <c r="N76" s="60"/>
      <c r="O76" s="60"/>
      <c r="P76" s="60"/>
      <c r="Q76" s="1"/>
      <c r="R76" s="1"/>
      <c r="S76" s="1"/>
      <c r="T76" s="1"/>
      <c r="U76" s="1"/>
      <c r="V76" s="1"/>
      <c r="W76" s="1"/>
      <c r="X76" s="1"/>
      <c r="Y76" s="1"/>
      <c r="Z76" s="1"/>
      <c r="AA76" s="1"/>
      <c r="AB76" s="1"/>
      <c r="AC76" s="1"/>
    </row>
    <row r="77" spans="1:29" ht="14.25" customHeight="1" x14ac:dyDescent="0.2">
      <c r="A77" s="1"/>
      <c r="B77" s="52"/>
      <c r="C77" s="53"/>
      <c r="D77" s="53"/>
      <c r="E77" s="53"/>
      <c r="F77" s="53"/>
      <c r="G77" s="53"/>
      <c r="H77" s="53"/>
      <c r="I77" s="53"/>
      <c r="J77" s="53"/>
      <c r="K77" s="53"/>
      <c r="L77" s="54"/>
      <c r="M77" s="60"/>
      <c r="N77" s="60"/>
      <c r="O77" s="60"/>
      <c r="P77" s="60"/>
      <c r="Q77" s="1"/>
      <c r="R77" s="1"/>
      <c r="S77" s="1"/>
      <c r="T77" s="1"/>
      <c r="U77" s="1"/>
      <c r="V77" s="1"/>
      <c r="W77" s="1"/>
      <c r="X77" s="1"/>
      <c r="Y77" s="1"/>
      <c r="Z77" s="1"/>
      <c r="AA77" s="1"/>
      <c r="AB77" s="1"/>
      <c r="AC77" s="1"/>
    </row>
    <row r="78" spans="1:29" ht="14.25" customHeight="1" x14ac:dyDescent="0.2">
      <c r="A78" s="1"/>
      <c r="B78" s="52"/>
      <c r="C78" s="53"/>
      <c r="D78" s="53"/>
      <c r="E78" s="53"/>
      <c r="F78" s="53"/>
      <c r="G78" s="53"/>
      <c r="H78" s="53"/>
      <c r="I78" s="53"/>
      <c r="J78" s="53"/>
      <c r="K78" s="53"/>
      <c r="L78" s="54"/>
      <c r="M78" s="60"/>
      <c r="N78" s="60"/>
      <c r="O78" s="60"/>
      <c r="P78" s="60"/>
      <c r="Q78" s="1"/>
      <c r="R78" s="1"/>
      <c r="S78" s="1"/>
      <c r="T78" s="1"/>
      <c r="U78" s="1"/>
      <c r="V78" s="1"/>
      <c r="W78" s="1"/>
      <c r="X78" s="1"/>
      <c r="Y78" s="1"/>
      <c r="Z78" s="1"/>
      <c r="AA78" s="1"/>
      <c r="AB78" s="1"/>
      <c r="AC78" s="1"/>
    </row>
    <row r="79" spans="1:29" ht="14.25" customHeight="1" x14ac:dyDescent="0.2">
      <c r="A79" s="1"/>
      <c r="B79" s="52"/>
      <c r="C79" s="53"/>
      <c r="D79" s="53"/>
      <c r="E79" s="53"/>
      <c r="F79" s="53"/>
      <c r="G79" s="53"/>
      <c r="H79" s="53"/>
      <c r="I79" s="53"/>
      <c r="J79" s="53"/>
      <c r="K79" s="53"/>
      <c r="L79" s="54"/>
      <c r="M79" s="60"/>
      <c r="N79" s="60"/>
      <c r="O79" s="60"/>
      <c r="P79" s="60"/>
      <c r="Q79" s="1"/>
      <c r="R79" s="1"/>
      <c r="S79" s="1"/>
      <c r="T79" s="1"/>
      <c r="U79" s="1"/>
      <c r="V79" s="1"/>
      <c r="W79" s="1"/>
      <c r="X79" s="1"/>
      <c r="Y79" s="1"/>
      <c r="Z79" s="1"/>
      <c r="AA79" s="1"/>
      <c r="AB79" s="1"/>
      <c r="AC79" s="1"/>
    </row>
    <row r="80" spans="1:29" ht="14.25" customHeight="1" x14ac:dyDescent="0.2">
      <c r="A80" s="1"/>
      <c r="B80" s="52"/>
      <c r="C80" s="53"/>
      <c r="D80" s="53"/>
      <c r="E80" s="53"/>
      <c r="F80" s="53"/>
      <c r="G80" s="53"/>
      <c r="H80" s="53"/>
      <c r="I80" s="53"/>
      <c r="J80" s="53"/>
      <c r="K80" s="53"/>
      <c r="L80" s="54"/>
      <c r="M80" s="60"/>
      <c r="N80" s="60"/>
      <c r="O80" s="60"/>
      <c r="P80" s="60"/>
      <c r="Q80" s="1"/>
      <c r="R80" s="1"/>
      <c r="S80" s="1"/>
      <c r="T80" s="1"/>
      <c r="U80" s="1"/>
      <c r="V80" s="1"/>
      <c r="W80" s="1"/>
      <c r="X80" s="1"/>
      <c r="Y80" s="1"/>
      <c r="Z80" s="1"/>
      <c r="AA80" s="1"/>
      <c r="AB80" s="1"/>
      <c r="AC80" s="1"/>
    </row>
    <row r="81" spans="1:29" ht="42.75" customHeight="1" x14ac:dyDescent="0.2">
      <c r="A81" s="1"/>
      <c r="B81" s="52"/>
      <c r="C81" s="53"/>
      <c r="D81" s="53"/>
      <c r="E81" s="53"/>
      <c r="F81" s="53"/>
      <c r="G81" s="53"/>
      <c r="H81" s="53"/>
      <c r="I81" s="53"/>
      <c r="J81" s="53"/>
      <c r="K81" s="53"/>
      <c r="L81" s="54"/>
      <c r="M81" s="60"/>
      <c r="N81" s="60"/>
      <c r="O81" s="60"/>
      <c r="P81" s="60"/>
      <c r="Q81" s="1"/>
      <c r="R81" s="1"/>
      <c r="S81" s="1"/>
      <c r="T81" s="1"/>
      <c r="U81" s="1"/>
      <c r="V81" s="1"/>
      <c r="W81" s="1"/>
      <c r="X81" s="1"/>
      <c r="Y81" s="1"/>
      <c r="Z81" s="1"/>
      <c r="AA81" s="1"/>
      <c r="AB81" s="1"/>
      <c r="AC81" s="1"/>
    </row>
    <row r="82" spans="1:29" ht="14.25" hidden="1" customHeight="1" x14ac:dyDescent="0.2">
      <c r="A82" s="1"/>
      <c r="B82" s="52"/>
      <c r="C82" s="53"/>
      <c r="D82" s="53"/>
      <c r="E82" s="53"/>
      <c r="F82" s="53"/>
      <c r="G82" s="53"/>
      <c r="H82" s="53"/>
      <c r="I82" s="53"/>
      <c r="J82" s="53"/>
      <c r="K82" s="53"/>
      <c r="L82" s="54"/>
      <c r="M82" s="60"/>
      <c r="N82" s="60"/>
      <c r="O82" s="60"/>
      <c r="P82" s="60"/>
      <c r="Q82" s="1"/>
      <c r="R82" s="1"/>
      <c r="S82" s="1"/>
      <c r="T82" s="1"/>
      <c r="U82" s="1"/>
      <c r="V82" s="1"/>
      <c r="W82" s="1"/>
      <c r="X82" s="1"/>
      <c r="Y82" s="1"/>
      <c r="Z82" s="1"/>
      <c r="AA82" s="1"/>
      <c r="AB82" s="1"/>
      <c r="AC82" s="1"/>
    </row>
    <row r="83" spans="1:29" ht="9.75" hidden="1" customHeight="1" x14ac:dyDescent="0.2">
      <c r="A83" s="1"/>
      <c r="B83" s="55"/>
      <c r="C83" s="56"/>
      <c r="D83" s="56"/>
      <c r="E83" s="56"/>
      <c r="F83" s="56"/>
      <c r="G83" s="56"/>
      <c r="H83" s="56"/>
      <c r="I83" s="56"/>
      <c r="J83" s="56"/>
      <c r="K83" s="56"/>
      <c r="L83" s="57"/>
      <c r="M83" s="60"/>
      <c r="N83" s="60"/>
      <c r="O83" s="60"/>
      <c r="P83" s="60"/>
      <c r="Q83" s="1"/>
      <c r="R83" s="1"/>
      <c r="S83" s="1"/>
      <c r="T83" s="1"/>
      <c r="U83" s="1"/>
      <c r="V83" s="1"/>
      <c r="W83" s="1"/>
      <c r="X83" s="1"/>
      <c r="Y83" s="1"/>
      <c r="Z83" s="1"/>
      <c r="AA83" s="1"/>
      <c r="AB83" s="1"/>
      <c r="AC83" s="1"/>
    </row>
    <row r="84" spans="1:29" ht="14.25" customHeight="1" x14ac:dyDescent="0.2">
      <c r="A84" s="1"/>
      <c r="B84" s="67" t="s">
        <v>13</v>
      </c>
      <c r="C84" s="50"/>
      <c r="D84" s="50"/>
      <c r="E84" s="50"/>
      <c r="F84" s="50"/>
      <c r="G84" s="50"/>
      <c r="H84" s="50"/>
      <c r="I84" s="50"/>
      <c r="J84" s="50"/>
      <c r="K84" s="50"/>
      <c r="L84" s="51"/>
      <c r="M84" s="60"/>
      <c r="N84" s="60"/>
      <c r="O84" s="60"/>
      <c r="P84" s="60"/>
      <c r="Q84" s="1"/>
      <c r="R84" s="1"/>
      <c r="S84" s="1"/>
      <c r="T84" s="1"/>
      <c r="U84" s="1"/>
      <c r="V84" s="1"/>
      <c r="W84" s="1"/>
      <c r="X84" s="1"/>
      <c r="Y84" s="1"/>
      <c r="Z84" s="1"/>
      <c r="AA84" s="1"/>
      <c r="AB84" s="1"/>
      <c r="AC84" s="1"/>
    </row>
    <row r="85" spans="1:29" ht="14.25" customHeight="1" x14ac:dyDescent="0.2">
      <c r="A85" s="1"/>
      <c r="B85" s="52"/>
      <c r="C85" s="53"/>
      <c r="D85" s="53"/>
      <c r="E85" s="53"/>
      <c r="F85" s="53"/>
      <c r="G85" s="53"/>
      <c r="H85" s="53"/>
      <c r="I85" s="53"/>
      <c r="J85" s="53"/>
      <c r="K85" s="53"/>
      <c r="L85" s="54"/>
      <c r="M85" s="60"/>
      <c r="N85" s="60"/>
      <c r="O85" s="60"/>
      <c r="P85" s="60"/>
      <c r="Q85" s="1"/>
      <c r="R85" s="1"/>
      <c r="S85" s="1"/>
      <c r="T85" s="1"/>
      <c r="U85" s="1"/>
      <c r="V85" s="1"/>
      <c r="W85" s="1"/>
      <c r="X85" s="1"/>
      <c r="Y85" s="1"/>
      <c r="Z85" s="1"/>
      <c r="AA85" s="1"/>
      <c r="AB85" s="1"/>
      <c r="AC85" s="1"/>
    </row>
    <row r="86" spans="1:29" ht="14.25" customHeight="1" x14ac:dyDescent="0.2">
      <c r="A86" s="1"/>
      <c r="B86" s="52"/>
      <c r="C86" s="53"/>
      <c r="D86" s="53"/>
      <c r="E86" s="53"/>
      <c r="F86" s="53"/>
      <c r="G86" s="53"/>
      <c r="H86" s="53"/>
      <c r="I86" s="53"/>
      <c r="J86" s="53"/>
      <c r="K86" s="53"/>
      <c r="L86" s="54"/>
      <c r="M86" s="60"/>
      <c r="N86" s="60"/>
      <c r="O86" s="60"/>
      <c r="P86" s="60"/>
      <c r="Q86" s="1"/>
      <c r="R86" s="1"/>
      <c r="S86" s="1"/>
      <c r="T86" s="1"/>
      <c r="U86" s="1"/>
      <c r="V86" s="1"/>
      <c r="W86" s="1"/>
      <c r="X86" s="1"/>
      <c r="Y86" s="1"/>
      <c r="Z86" s="1"/>
      <c r="AA86" s="1"/>
      <c r="AB86" s="1"/>
      <c r="AC86" s="1"/>
    </row>
    <row r="87" spans="1:29" ht="14.25" customHeight="1" x14ac:dyDescent="0.2">
      <c r="A87" s="1"/>
      <c r="B87" s="52"/>
      <c r="C87" s="53"/>
      <c r="D87" s="53"/>
      <c r="E87" s="53"/>
      <c r="F87" s="53"/>
      <c r="G87" s="53"/>
      <c r="H87" s="53"/>
      <c r="I87" s="53"/>
      <c r="J87" s="53"/>
      <c r="K87" s="53"/>
      <c r="L87" s="54"/>
      <c r="M87" s="60"/>
      <c r="N87" s="60"/>
      <c r="O87" s="60"/>
      <c r="P87" s="60"/>
      <c r="Q87" s="1"/>
      <c r="R87" s="1"/>
      <c r="S87" s="1"/>
      <c r="T87" s="1"/>
      <c r="U87" s="1"/>
      <c r="V87" s="1"/>
      <c r="W87" s="1"/>
      <c r="X87" s="1"/>
      <c r="Y87" s="1"/>
      <c r="Z87" s="1"/>
      <c r="AA87" s="1"/>
      <c r="AB87" s="1"/>
      <c r="AC87" s="1"/>
    </row>
    <row r="88" spans="1:29" ht="14.25" customHeight="1" x14ac:dyDescent="0.2">
      <c r="A88" s="1"/>
      <c r="B88" s="52"/>
      <c r="C88" s="53"/>
      <c r="D88" s="53"/>
      <c r="E88" s="53"/>
      <c r="F88" s="53"/>
      <c r="G88" s="53"/>
      <c r="H88" s="53"/>
      <c r="I88" s="53"/>
      <c r="J88" s="53"/>
      <c r="K88" s="53"/>
      <c r="L88" s="54"/>
      <c r="M88" s="60"/>
      <c r="N88" s="60"/>
      <c r="O88" s="60"/>
      <c r="P88" s="60"/>
      <c r="Q88" s="1"/>
      <c r="R88" s="1"/>
      <c r="S88" s="1"/>
      <c r="T88" s="1"/>
      <c r="U88" s="1"/>
      <c r="V88" s="1"/>
      <c r="W88" s="1"/>
      <c r="X88" s="1"/>
      <c r="Y88" s="1"/>
      <c r="Z88" s="1"/>
      <c r="AA88" s="1"/>
      <c r="AB88" s="1"/>
      <c r="AC88" s="1"/>
    </row>
    <row r="89" spans="1:29" ht="14.25" customHeight="1" x14ac:dyDescent="0.2">
      <c r="A89" s="1"/>
      <c r="B89" s="52"/>
      <c r="C89" s="53"/>
      <c r="D89" s="53"/>
      <c r="E89" s="53"/>
      <c r="F89" s="53"/>
      <c r="G89" s="53"/>
      <c r="H89" s="53"/>
      <c r="I89" s="53"/>
      <c r="J89" s="53"/>
      <c r="K89" s="53"/>
      <c r="L89" s="54"/>
      <c r="M89" s="60"/>
      <c r="N89" s="60"/>
      <c r="O89" s="60"/>
      <c r="P89" s="60"/>
      <c r="Q89" s="1"/>
      <c r="R89" s="1"/>
      <c r="S89" s="1"/>
      <c r="T89" s="1"/>
      <c r="U89" s="1"/>
      <c r="V89" s="1"/>
      <c r="W89" s="1"/>
      <c r="X89" s="1"/>
      <c r="Y89" s="1"/>
      <c r="Z89" s="1"/>
      <c r="AA89" s="1"/>
      <c r="AB89" s="1"/>
      <c r="AC89" s="1"/>
    </row>
    <row r="90" spans="1:29" ht="14.25" customHeight="1" x14ac:dyDescent="0.2">
      <c r="A90" s="1"/>
      <c r="B90" s="52"/>
      <c r="C90" s="53"/>
      <c r="D90" s="53"/>
      <c r="E90" s="53"/>
      <c r="F90" s="53"/>
      <c r="G90" s="53"/>
      <c r="H90" s="53"/>
      <c r="I90" s="53"/>
      <c r="J90" s="53"/>
      <c r="K90" s="53"/>
      <c r="L90" s="54"/>
      <c r="M90" s="60"/>
      <c r="N90" s="60"/>
      <c r="O90" s="60"/>
      <c r="P90" s="60"/>
      <c r="Q90" s="1"/>
      <c r="R90" s="1"/>
      <c r="S90" s="1"/>
      <c r="T90" s="1"/>
      <c r="U90" s="1"/>
      <c r="V90" s="1"/>
      <c r="W90" s="1"/>
      <c r="X90" s="1"/>
      <c r="Y90" s="1"/>
      <c r="Z90" s="1"/>
      <c r="AA90" s="1"/>
      <c r="AB90" s="1"/>
      <c r="AC90" s="1"/>
    </row>
    <row r="91" spans="1:29" ht="14.25" customHeight="1" x14ac:dyDescent="0.2">
      <c r="A91" s="1"/>
      <c r="B91" s="52"/>
      <c r="C91" s="53"/>
      <c r="D91" s="53"/>
      <c r="E91" s="53"/>
      <c r="F91" s="53"/>
      <c r="G91" s="53"/>
      <c r="H91" s="53"/>
      <c r="I91" s="53"/>
      <c r="J91" s="53"/>
      <c r="K91" s="53"/>
      <c r="L91" s="54"/>
      <c r="M91" s="60"/>
      <c r="N91" s="60"/>
      <c r="O91" s="60"/>
      <c r="P91" s="60"/>
      <c r="Q91" s="1"/>
      <c r="R91" s="1"/>
      <c r="S91" s="1"/>
      <c r="T91" s="1"/>
      <c r="U91" s="1"/>
      <c r="V91" s="1"/>
      <c r="W91" s="1"/>
      <c r="X91" s="1"/>
      <c r="Y91" s="1"/>
      <c r="Z91" s="1"/>
      <c r="AA91" s="1"/>
      <c r="AB91" s="1"/>
      <c r="AC91" s="1"/>
    </row>
    <row r="92" spans="1:29" ht="124.5" customHeight="1" x14ac:dyDescent="0.2">
      <c r="A92" s="1"/>
      <c r="B92" s="55"/>
      <c r="C92" s="56"/>
      <c r="D92" s="56"/>
      <c r="E92" s="56"/>
      <c r="F92" s="56"/>
      <c r="G92" s="56"/>
      <c r="H92" s="56"/>
      <c r="I92" s="56"/>
      <c r="J92" s="56"/>
      <c r="K92" s="56"/>
      <c r="L92" s="57"/>
      <c r="M92" s="60"/>
      <c r="N92" s="60"/>
      <c r="O92" s="60"/>
      <c r="P92" s="60"/>
      <c r="Q92" s="1"/>
      <c r="R92" s="1"/>
      <c r="S92" s="1"/>
      <c r="T92" s="1"/>
      <c r="U92" s="1"/>
      <c r="V92" s="1"/>
      <c r="W92" s="1"/>
      <c r="X92" s="1"/>
      <c r="Y92" s="1"/>
      <c r="Z92" s="1"/>
      <c r="AA92" s="1"/>
      <c r="AB92" s="1"/>
      <c r="AC92" s="1"/>
    </row>
    <row r="93" spans="1:29" ht="14.25" customHeight="1" x14ac:dyDescent="0.2">
      <c r="A93" s="1"/>
      <c r="B93" s="1"/>
      <c r="C93" s="1"/>
      <c r="D93" s="1"/>
      <c r="E93" s="1"/>
      <c r="F93" s="1"/>
      <c r="G93" s="1"/>
      <c r="H93" s="1"/>
      <c r="I93" s="1"/>
      <c r="J93" s="1"/>
      <c r="K93" s="1"/>
      <c r="L93" s="1"/>
      <c r="M93" s="60"/>
      <c r="N93" s="60"/>
      <c r="O93" s="60"/>
      <c r="P93" s="60"/>
      <c r="Q93" s="1"/>
      <c r="R93" s="1"/>
      <c r="S93" s="1"/>
      <c r="T93" s="1"/>
      <c r="U93" s="1"/>
      <c r="V93" s="1"/>
      <c r="W93" s="1"/>
      <c r="X93" s="1"/>
      <c r="Y93" s="1"/>
      <c r="Z93" s="1"/>
      <c r="AA93" s="1"/>
      <c r="AB93" s="1"/>
      <c r="AC93" s="1"/>
    </row>
    <row r="94" spans="1:29" ht="13.5" customHeight="1" x14ac:dyDescent="0.2">
      <c r="A94" s="1"/>
      <c r="B94" s="67" t="s">
        <v>14</v>
      </c>
      <c r="C94" s="50"/>
      <c r="D94" s="50"/>
      <c r="E94" s="50"/>
      <c r="F94" s="50"/>
      <c r="G94" s="50"/>
      <c r="H94" s="50"/>
      <c r="I94" s="50"/>
      <c r="J94" s="50"/>
      <c r="K94" s="50"/>
      <c r="L94" s="51"/>
      <c r="M94" s="60"/>
      <c r="N94" s="60"/>
      <c r="O94" s="60"/>
      <c r="P94" s="60"/>
      <c r="Q94" s="1"/>
      <c r="R94" s="1"/>
      <c r="S94" s="1"/>
      <c r="T94" s="1"/>
      <c r="U94" s="1"/>
      <c r="V94" s="1"/>
      <c r="W94" s="1"/>
      <c r="X94" s="1"/>
      <c r="Y94" s="1"/>
      <c r="Z94" s="1"/>
      <c r="AA94" s="1"/>
      <c r="AB94" s="1"/>
      <c r="AC94" s="1"/>
    </row>
    <row r="95" spans="1:29" ht="13.5" customHeight="1" x14ac:dyDescent="0.2">
      <c r="A95" s="1"/>
      <c r="B95" s="52"/>
      <c r="C95" s="53"/>
      <c r="D95" s="53"/>
      <c r="E95" s="53"/>
      <c r="F95" s="53"/>
      <c r="G95" s="53"/>
      <c r="H95" s="53"/>
      <c r="I95" s="53"/>
      <c r="J95" s="53"/>
      <c r="K95" s="53"/>
      <c r="L95" s="54"/>
      <c r="M95" s="60"/>
      <c r="N95" s="60"/>
      <c r="O95" s="60"/>
      <c r="P95" s="60"/>
      <c r="Q95" s="1"/>
      <c r="R95" s="1"/>
      <c r="S95" s="1"/>
      <c r="T95" s="1"/>
      <c r="U95" s="1"/>
      <c r="V95" s="1"/>
      <c r="W95" s="1"/>
      <c r="X95" s="1"/>
      <c r="Y95" s="1"/>
      <c r="Z95" s="1"/>
      <c r="AA95" s="1"/>
      <c r="AB95" s="1"/>
      <c r="AC95" s="1"/>
    </row>
    <row r="96" spans="1:29" ht="13.5" customHeight="1" x14ac:dyDescent="0.2">
      <c r="A96" s="1"/>
      <c r="B96" s="52"/>
      <c r="C96" s="53"/>
      <c r="D96" s="53"/>
      <c r="E96" s="53"/>
      <c r="F96" s="53"/>
      <c r="G96" s="53"/>
      <c r="H96" s="53"/>
      <c r="I96" s="53"/>
      <c r="J96" s="53"/>
      <c r="K96" s="53"/>
      <c r="L96" s="54"/>
      <c r="M96" s="60"/>
      <c r="N96" s="60"/>
      <c r="O96" s="60"/>
      <c r="P96" s="60"/>
      <c r="Q96" s="1"/>
      <c r="R96" s="1"/>
      <c r="S96" s="1"/>
      <c r="T96" s="1"/>
      <c r="U96" s="1"/>
      <c r="V96" s="1"/>
      <c r="W96" s="1"/>
      <c r="X96" s="1"/>
      <c r="Y96" s="1"/>
      <c r="Z96" s="1"/>
      <c r="AA96" s="1"/>
      <c r="AB96" s="1"/>
      <c r="AC96" s="1"/>
    </row>
    <row r="97" spans="1:29" ht="13.5" customHeight="1" x14ac:dyDescent="0.2">
      <c r="A97" s="1"/>
      <c r="B97" s="52"/>
      <c r="C97" s="53"/>
      <c r="D97" s="53"/>
      <c r="E97" s="53"/>
      <c r="F97" s="53"/>
      <c r="G97" s="53"/>
      <c r="H97" s="53"/>
      <c r="I97" s="53"/>
      <c r="J97" s="53"/>
      <c r="K97" s="53"/>
      <c r="L97" s="54"/>
      <c r="M97" s="60"/>
      <c r="N97" s="60"/>
      <c r="O97" s="60"/>
      <c r="P97" s="60"/>
      <c r="Q97" s="1"/>
      <c r="R97" s="1"/>
      <c r="S97" s="1"/>
      <c r="T97" s="1"/>
      <c r="U97" s="1"/>
      <c r="V97" s="1"/>
      <c r="W97" s="1"/>
      <c r="X97" s="1"/>
      <c r="Y97" s="1"/>
      <c r="Z97" s="1"/>
      <c r="AA97" s="1"/>
      <c r="AB97" s="1"/>
      <c r="AC97" s="1"/>
    </row>
    <row r="98" spans="1:29" ht="13.5" customHeight="1" x14ac:dyDescent="0.2">
      <c r="A98" s="1"/>
      <c r="B98" s="52"/>
      <c r="C98" s="53"/>
      <c r="D98" s="53"/>
      <c r="E98" s="53"/>
      <c r="F98" s="53"/>
      <c r="G98" s="53"/>
      <c r="H98" s="53"/>
      <c r="I98" s="53"/>
      <c r="J98" s="53"/>
      <c r="K98" s="53"/>
      <c r="L98" s="54"/>
      <c r="M98" s="60"/>
      <c r="N98" s="60"/>
      <c r="O98" s="60"/>
      <c r="P98" s="60"/>
      <c r="Q98" s="1"/>
      <c r="R98" s="1"/>
      <c r="S98" s="1"/>
      <c r="T98" s="1"/>
      <c r="U98" s="1"/>
      <c r="V98" s="1"/>
      <c r="W98" s="1"/>
      <c r="X98" s="1"/>
      <c r="Y98" s="1"/>
      <c r="Z98" s="1"/>
      <c r="AA98" s="1"/>
      <c r="AB98" s="1"/>
      <c r="AC98" s="1"/>
    </row>
    <row r="99" spans="1:29" ht="13.5" customHeight="1" x14ac:dyDescent="0.2">
      <c r="A99" s="1"/>
      <c r="B99" s="55"/>
      <c r="C99" s="56"/>
      <c r="D99" s="56"/>
      <c r="E99" s="56"/>
      <c r="F99" s="56"/>
      <c r="G99" s="56"/>
      <c r="H99" s="56"/>
      <c r="I99" s="56"/>
      <c r="J99" s="56"/>
      <c r="K99" s="56"/>
      <c r="L99" s="57"/>
      <c r="M99" s="61"/>
      <c r="N99" s="61"/>
      <c r="O99" s="61"/>
      <c r="P99" s="61"/>
      <c r="Q99" s="1"/>
      <c r="R99" s="1"/>
      <c r="S99" s="1"/>
      <c r="T99" s="1"/>
      <c r="U99" s="1"/>
      <c r="V99" s="1"/>
      <c r="W99" s="1"/>
      <c r="X99" s="1"/>
      <c r="Y99" s="1"/>
      <c r="Z99" s="1"/>
      <c r="AA99" s="1"/>
      <c r="AB99" s="1"/>
      <c r="AC99" s="1"/>
    </row>
    <row r="100" spans="1:29" ht="14.25" customHeight="1" x14ac:dyDescent="0.2">
      <c r="A100" s="1"/>
      <c r="B100" s="1"/>
      <c r="C100" s="1"/>
      <c r="D100" s="1"/>
      <c r="E100" s="1"/>
      <c r="F100" s="1"/>
      <c r="G100" s="1"/>
      <c r="H100" s="1"/>
      <c r="I100" s="1"/>
      <c r="J100" s="1"/>
      <c r="K100" s="1"/>
      <c r="L100" s="1"/>
      <c r="M100" s="5"/>
      <c r="N100" s="5"/>
      <c r="O100" s="5"/>
      <c r="P100" s="5"/>
      <c r="Q100" s="1"/>
      <c r="R100" s="1"/>
      <c r="S100" s="1"/>
      <c r="T100" s="1"/>
      <c r="U100" s="1"/>
      <c r="V100" s="1"/>
      <c r="W100" s="1"/>
      <c r="X100" s="1"/>
      <c r="Y100" s="1"/>
      <c r="Z100" s="1"/>
      <c r="AA100" s="1"/>
      <c r="AB100" s="1"/>
      <c r="AC100" s="1"/>
    </row>
    <row r="101" spans="1:29" ht="14.25" customHeight="1" x14ac:dyDescent="0.2">
      <c r="A101" s="1"/>
      <c r="B101" s="1"/>
      <c r="C101" s="1"/>
      <c r="D101" s="1"/>
      <c r="E101" s="1"/>
      <c r="F101" s="1"/>
      <c r="G101" s="1"/>
      <c r="H101" s="1"/>
      <c r="I101" s="1"/>
      <c r="J101" s="1"/>
      <c r="K101" s="1"/>
      <c r="L101" s="1"/>
      <c r="M101" s="5"/>
      <c r="N101" s="5"/>
      <c r="O101" s="5"/>
      <c r="P101" s="5"/>
      <c r="Q101" s="1"/>
      <c r="R101" s="1"/>
      <c r="S101" s="1"/>
      <c r="T101" s="1"/>
      <c r="U101" s="1"/>
      <c r="V101" s="1"/>
      <c r="W101" s="1"/>
      <c r="X101" s="1"/>
      <c r="Y101" s="1"/>
      <c r="Z101" s="1"/>
      <c r="AA101" s="1"/>
      <c r="AB101" s="1"/>
      <c r="AC101" s="1"/>
    </row>
    <row r="102" spans="1:29" ht="14.25" customHeight="1" x14ac:dyDescent="0.2">
      <c r="A102" s="1"/>
      <c r="B102" s="1"/>
      <c r="C102" s="1"/>
      <c r="D102" s="1"/>
      <c r="E102" s="1"/>
      <c r="F102" s="1"/>
      <c r="G102" s="1"/>
      <c r="H102" s="1"/>
      <c r="I102" s="1"/>
      <c r="J102" s="1"/>
      <c r="K102" s="1"/>
      <c r="L102" s="1"/>
      <c r="M102" s="5"/>
      <c r="N102" s="5"/>
      <c r="O102" s="5"/>
      <c r="P102" s="5"/>
      <c r="Q102" s="1"/>
      <c r="R102" s="1"/>
      <c r="S102" s="1"/>
      <c r="T102" s="1"/>
      <c r="U102" s="1"/>
      <c r="V102" s="1"/>
      <c r="W102" s="1"/>
      <c r="X102" s="1"/>
      <c r="Y102" s="1"/>
      <c r="Z102" s="1"/>
      <c r="AA102" s="1"/>
      <c r="AB102" s="1"/>
      <c r="AC102" s="1"/>
    </row>
    <row r="103" spans="1:29" ht="14.25" customHeight="1" x14ac:dyDescent="0.2">
      <c r="A103" s="1"/>
      <c r="B103" s="1"/>
      <c r="C103" s="1"/>
      <c r="D103" s="1"/>
      <c r="E103" s="1"/>
      <c r="F103" s="1"/>
      <c r="G103" s="1"/>
      <c r="H103" s="1"/>
      <c r="I103" s="1"/>
      <c r="J103" s="1"/>
      <c r="K103" s="1"/>
      <c r="L103" s="1"/>
      <c r="M103" s="5"/>
      <c r="N103" s="5"/>
      <c r="O103" s="5"/>
      <c r="P103" s="5"/>
      <c r="Q103" s="1"/>
      <c r="R103" s="1"/>
      <c r="S103" s="1"/>
      <c r="T103" s="1"/>
      <c r="U103" s="1"/>
      <c r="V103" s="1"/>
      <c r="W103" s="1"/>
      <c r="X103" s="1"/>
      <c r="Y103" s="1"/>
      <c r="Z103" s="1"/>
      <c r="AA103" s="1"/>
      <c r="AB103" s="1"/>
      <c r="AC103" s="1"/>
    </row>
    <row r="104" spans="1:29" ht="14.25" customHeight="1" x14ac:dyDescent="0.2">
      <c r="A104" s="1"/>
      <c r="B104" s="1"/>
      <c r="C104" s="1"/>
      <c r="D104" s="1"/>
      <c r="E104" s="1"/>
      <c r="F104" s="1"/>
      <c r="G104" s="1"/>
      <c r="H104" s="1"/>
      <c r="I104" s="1"/>
      <c r="J104" s="1"/>
      <c r="K104" s="1"/>
      <c r="L104" s="1"/>
      <c r="M104" s="5"/>
      <c r="N104" s="5"/>
      <c r="O104" s="5"/>
      <c r="P104" s="5"/>
      <c r="Q104" s="1"/>
      <c r="R104" s="1"/>
      <c r="S104" s="1"/>
      <c r="T104" s="1"/>
      <c r="U104" s="1"/>
      <c r="V104" s="1"/>
      <c r="W104" s="1"/>
      <c r="X104" s="1"/>
      <c r="Y104" s="1"/>
      <c r="Z104" s="1"/>
      <c r="AA104" s="1"/>
      <c r="AB104" s="1"/>
      <c r="AC104" s="1"/>
    </row>
    <row r="105" spans="1:29" ht="14.25" customHeight="1" x14ac:dyDescent="0.2">
      <c r="A105" s="1"/>
      <c r="B105" s="1"/>
      <c r="C105" s="1"/>
      <c r="D105" s="1"/>
      <c r="E105" s="1"/>
      <c r="F105" s="1"/>
      <c r="G105" s="1"/>
      <c r="H105" s="1"/>
      <c r="I105" s="1"/>
      <c r="J105" s="1"/>
      <c r="K105" s="1"/>
      <c r="L105" s="1"/>
      <c r="M105" s="5"/>
      <c r="N105" s="5"/>
      <c r="O105" s="5"/>
      <c r="P105" s="5"/>
      <c r="Q105" s="1"/>
      <c r="R105" s="1"/>
      <c r="S105" s="1"/>
      <c r="T105" s="1"/>
      <c r="U105" s="1"/>
      <c r="V105" s="1"/>
      <c r="W105" s="1"/>
      <c r="X105" s="1"/>
      <c r="Y105" s="1"/>
      <c r="Z105" s="1"/>
      <c r="AA105" s="1"/>
      <c r="AB105" s="1"/>
      <c r="AC105" s="1"/>
    </row>
    <row r="106" spans="1:29" ht="14.25" customHeight="1" x14ac:dyDescent="0.2">
      <c r="A106" s="1"/>
      <c r="B106" s="1"/>
      <c r="C106" s="1"/>
      <c r="D106" s="1"/>
      <c r="E106" s="1"/>
      <c r="F106" s="1"/>
      <c r="G106" s="1"/>
      <c r="H106" s="1"/>
      <c r="I106" s="1"/>
      <c r="J106" s="1"/>
      <c r="K106" s="1"/>
      <c r="L106" s="1"/>
      <c r="M106" s="5"/>
      <c r="N106" s="5"/>
      <c r="O106" s="5"/>
      <c r="P106" s="5"/>
      <c r="Q106" s="1"/>
      <c r="R106" s="1"/>
      <c r="S106" s="1"/>
      <c r="T106" s="1"/>
      <c r="U106" s="1"/>
      <c r="V106" s="1"/>
      <c r="W106" s="1"/>
      <c r="X106" s="1"/>
      <c r="Y106" s="1"/>
      <c r="Z106" s="1"/>
      <c r="AA106" s="1"/>
      <c r="AB106" s="1"/>
      <c r="AC106" s="1"/>
    </row>
    <row r="107" spans="1:29" ht="14.25" customHeight="1" x14ac:dyDescent="0.2">
      <c r="A107" s="1"/>
      <c r="B107" s="1"/>
      <c r="C107" s="1"/>
      <c r="D107" s="1"/>
      <c r="E107" s="1"/>
      <c r="F107" s="1"/>
      <c r="G107" s="1"/>
      <c r="H107" s="1"/>
      <c r="I107" s="1"/>
      <c r="J107" s="1"/>
      <c r="K107" s="1"/>
      <c r="L107" s="1"/>
      <c r="M107" s="5"/>
      <c r="N107" s="5"/>
      <c r="O107" s="5"/>
      <c r="P107" s="5"/>
      <c r="Q107" s="1"/>
      <c r="R107" s="1"/>
      <c r="S107" s="1"/>
      <c r="T107" s="1"/>
      <c r="U107" s="1"/>
      <c r="V107" s="1"/>
      <c r="W107" s="1"/>
      <c r="X107" s="1"/>
      <c r="Y107" s="1"/>
      <c r="Z107" s="1"/>
      <c r="AA107" s="1"/>
      <c r="AB107" s="1"/>
      <c r="AC107" s="1"/>
    </row>
    <row r="108" spans="1:29" ht="14.25" customHeight="1" x14ac:dyDescent="0.2">
      <c r="A108" s="1"/>
      <c r="B108" s="1"/>
      <c r="C108" s="1"/>
      <c r="D108" s="1"/>
      <c r="E108" s="1"/>
      <c r="F108" s="1"/>
      <c r="G108" s="1"/>
      <c r="H108" s="1"/>
      <c r="I108" s="1"/>
      <c r="J108" s="1"/>
      <c r="K108" s="1"/>
      <c r="L108" s="1"/>
      <c r="M108" s="5"/>
      <c r="N108" s="5"/>
      <c r="O108" s="5"/>
      <c r="P108" s="5"/>
      <c r="Q108" s="1"/>
      <c r="R108" s="1"/>
      <c r="S108" s="1"/>
      <c r="T108" s="1"/>
      <c r="U108" s="1"/>
      <c r="V108" s="1"/>
      <c r="W108" s="1"/>
      <c r="X108" s="1"/>
      <c r="Y108" s="1"/>
      <c r="Z108" s="1"/>
      <c r="AA108" s="1"/>
      <c r="AB108" s="1"/>
      <c r="AC108" s="1"/>
    </row>
    <row r="109" spans="1:29" ht="14.25" customHeight="1" x14ac:dyDescent="0.2">
      <c r="A109" s="1"/>
      <c r="B109" s="1"/>
      <c r="C109" s="1"/>
      <c r="D109" s="1"/>
      <c r="E109" s="1"/>
      <c r="F109" s="1"/>
      <c r="G109" s="1"/>
      <c r="H109" s="1"/>
      <c r="I109" s="1"/>
      <c r="J109" s="1"/>
      <c r="K109" s="1"/>
      <c r="L109" s="1"/>
      <c r="M109" s="5"/>
      <c r="N109" s="5"/>
      <c r="O109" s="5"/>
      <c r="P109" s="5"/>
      <c r="Q109" s="1"/>
      <c r="R109" s="1"/>
      <c r="S109" s="1"/>
      <c r="T109" s="1"/>
      <c r="U109" s="1"/>
      <c r="V109" s="1"/>
      <c r="W109" s="1"/>
      <c r="X109" s="1"/>
      <c r="Y109" s="1"/>
      <c r="Z109" s="1"/>
      <c r="AA109" s="1"/>
      <c r="AB109" s="1"/>
      <c r="AC109" s="1"/>
    </row>
    <row r="110" spans="1:29" ht="14.25" customHeight="1" x14ac:dyDescent="0.2">
      <c r="A110" s="1"/>
      <c r="B110" s="1"/>
      <c r="C110" s="1"/>
      <c r="D110" s="1"/>
      <c r="E110" s="1"/>
      <c r="F110" s="1"/>
      <c r="G110" s="1"/>
      <c r="H110" s="1"/>
      <c r="I110" s="1"/>
      <c r="J110" s="1"/>
      <c r="K110" s="1"/>
      <c r="L110" s="1"/>
      <c r="M110" s="5"/>
      <c r="N110" s="5"/>
      <c r="O110" s="5"/>
      <c r="P110" s="5"/>
      <c r="Q110" s="1"/>
      <c r="R110" s="1"/>
      <c r="S110" s="1"/>
      <c r="T110" s="1"/>
      <c r="U110" s="1"/>
      <c r="V110" s="1"/>
      <c r="W110" s="1"/>
      <c r="X110" s="1"/>
      <c r="Y110" s="1"/>
      <c r="Z110" s="1"/>
      <c r="AA110" s="1"/>
      <c r="AB110" s="1"/>
      <c r="AC110" s="1"/>
    </row>
    <row r="111" spans="1:29" ht="14.25" customHeight="1" x14ac:dyDescent="0.2">
      <c r="A111" s="1"/>
      <c r="B111" s="1"/>
      <c r="C111" s="1"/>
      <c r="D111" s="1"/>
      <c r="E111" s="1"/>
      <c r="F111" s="1"/>
      <c r="G111" s="1"/>
      <c r="H111" s="1"/>
      <c r="I111" s="1"/>
      <c r="J111" s="1"/>
      <c r="K111" s="1"/>
      <c r="L111" s="1"/>
      <c r="M111" s="5"/>
      <c r="N111" s="5"/>
      <c r="O111" s="5"/>
      <c r="P111" s="5"/>
      <c r="Q111" s="1"/>
      <c r="R111" s="1"/>
      <c r="S111" s="1"/>
      <c r="T111" s="1"/>
      <c r="U111" s="1"/>
      <c r="V111" s="1"/>
      <c r="W111" s="1"/>
      <c r="X111" s="1"/>
      <c r="Y111" s="1"/>
      <c r="Z111" s="1"/>
      <c r="AA111" s="1"/>
      <c r="AB111" s="1"/>
      <c r="AC111" s="1"/>
    </row>
    <row r="112" spans="1:29" ht="14.25" customHeight="1" x14ac:dyDescent="0.2">
      <c r="A112" s="1"/>
      <c r="B112" s="1"/>
      <c r="C112" s="1"/>
      <c r="D112" s="1"/>
      <c r="E112" s="1"/>
      <c r="F112" s="1"/>
      <c r="G112" s="1"/>
      <c r="H112" s="1"/>
      <c r="I112" s="1"/>
      <c r="J112" s="1"/>
      <c r="K112" s="1"/>
      <c r="L112" s="1"/>
      <c r="M112" s="5"/>
      <c r="N112" s="5"/>
      <c r="O112" s="5"/>
      <c r="P112" s="5"/>
      <c r="Q112" s="1"/>
      <c r="R112" s="1"/>
      <c r="S112" s="1"/>
      <c r="T112" s="1"/>
      <c r="U112" s="1"/>
      <c r="V112" s="1"/>
      <c r="W112" s="1"/>
      <c r="X112" s="1"/>
      <c r="Y112" s="1"/>
      <c r="Z112" s="1"/>
      <c r="AA112" s="1"/>
      <c r="AB112" s="1"/>
      <c r="AC112" s="1"/>
    </row>
    <row r="113" spans="1:29" ht="14.25" customHeight="1" x14ac:dyDescent="0.2">
      <c r="A113" s="1"/>
      <c r="B113" s="1"/>
      <c r="C113" s="1"/>
      <c r="D113" s="1"/>
      <c r="E113" s="1"/>
      <c r="F113" s="1"/>
      <c r="G113" s="1"/>
      <c r="H113" s="1"/>
      <c r="I113" s="1"/>
      <c r="J113" s="1"/>
      <c r="K113" s="1"/>
      <c r="L113" s="1"/>
      <c r="M113" s="5"/>
      <c r="N113" s="5"/>
      <c r="O113" s="5"/>
      <c r="P113" s="5"/>
      <c r="Q113" s="1"/>
      <c r="R113" s="1"/>
      <c r="S113" s="1"/>
      <c r="T113" s="1"/>
      <c r="U113" s="1"/>
      <c r="V113" s="1"/>
      <c r="W113" s="1"/>
      <c r="X113" s="1"/>
      <c r="Y113" s="1"/>
      <c r="Z113" s="1"/>
      <c r="AA113" s="1"/>
      <c r="AB113" s="1"/>
      <c r="AC113" s="1"/>
    </row>
    <row r="114" spans="1:29" ht="14.25" customHeight="1" x14ac:dyDescent="0.2">
      <c r="A114" s="1"/>
      <c r="B114" s="1"/>
      <c r="C114" s="1"/>
      <c r="D114" s="1"/>
      <c r="E114" s="1"/>
      <c r="F114" s="1"/>
      <c r="G114" s="1"/>
      <c r="H114" s="1"/>
      <c r="I114" s="1"/>
      <c r="J114" s="1"/>
      <c r="K114" s="1"/>
      <c r="L114" s="1"/>
      <c r="M114" s="5"/>
      <c r="N114" s="5"/>
      <c r="O114" s="5"/>
      <c r="P114" s="5"/>
      <c r="Q114" s="1"/>
      <c r="R114" s="1"/>
      <c r="S114" s="1"/>
      <c r="T114" s="1"/>
      <c r="U114" s="1"/>
      <c r="V114" s="1"/>
      <c r="W114" s="1"/>
      <c r="X114" s="1"/>
      <c r="Y114" s="1"/>
      <c r="Z114" s="1"/>
      <c r="AA114" s="1"/>
      <c r="AB114" s="1"/>
      <c r="AC114" s="1"/>
    </row>
    <row r="115" spans="1:29" ht="14.25" customHeight="1" x14ac:dyDescent="0.2">
      <c r="A115" s="1"/>
      <c r="B115" s="1"/>
      <c r="C115" s="1"/>
      <c r="D115" s="1"/>
      <c r="E115" s="1"/>
      <c r="F115" s="1"/>
      <c r="G115" s="1"/>
      <c r="H115" s="1"/>
      <c r="I115" s="1"/>
      <c r="J115" s="1"/>
      <c r="K115" s="1"/>
      <c r="L115" s="1"/>
      <c r="M115" s="5"/>
      <c r="N115" s="5"/>
      <c r="O115" s="5"/>
      <c r="P115" s="5"/>
      <c r="Q115" s="1"/>
      <c r="R115" s="1"/>
      <c r="S115" s="1"/>
      <c r="T115" s="1"/>
      <c r="U115" s="1"/>
      <c r="V115" s="1"/>
      <c r="W115" s="1"/>
      <c r="X115" s="1"/>
      <c r="Y115" s="1"/>
      <c r="Z115" s="1"/>
      <c r="AA115" s="1"/>
      <c r="AB115" s="1"/>
      <c r="AC115" s="1"/>
    </row>
    <row r="116" spans="1:29" ht="14.25" customHeight="1" x14ac:dyDescent="0.2">
      <c r="A116" s="1"/>
      <c r="B116" s="1"/>
      <c r="C116" s="1"/>
      <c r="D116" s="1"/>
      <c r="E116" s="1"/>
      <c r="F116" s="1"/>
      <c r="G116" s="1"/>
      <c r="H116" s="1"/>
      <c r="I116" s="1"/>
      <c r="J116" s="1"/>
      <c r="K116" s="1"/>
      <c r="L116" s="1"/>
      <c r="M116" s="5"/>
      <c r="N116" s="5"/>
      <c r="O116" s="5"/>
      <c r="P116" s="5"/>
      <c r="Q116" s="1"/>
      <c r="R116" s="1"/>
      <c r="S116" s="1"/>
      <c r="T116" s="1"/>
      <c r="U116" s="1"/>
      <c r="V116" s="1"/>
      <c r="W116" s="1"/>
      <c r="X116" s="1"/>
      <c r="Y116" s="1"/>
      <c r="Z116" s="1"/>
      <c r="AA116" s="1"/>
      <c r="AB116" s="1"/>
      <c r="AC116" s="1"/>
    </row>
    <row r="117" spans="1:29" ht="14.25" customHeight="1" x14ac:dyDescent="0.2">
      <c r="A117" s="1"/>
      <c r="B117" s="1"/>
      <c r="C117" s="1"/>
      <c r="D117" s="1"/>
      <c r="E117" s="1"/>
      <c r="F117" s="1"/>
      <c r="G117" s="1"/>
      <c r="H117" s="1"/>
      <c r="I117" s="1"/>
      <c r="J117" s="1"/>
      <c r="K117" s="1"/>
      <c r="L117" s="1"/>
      <c r="M117" s="5"/>
      <c r="N117" s="5"/>
      <c r="O117" s="5"/>
      <c r="P117" s="5"/>
      <c r="Q117" s="1"/>
      <c r="R117" s="1"/>
      <c r="S117" s="1"/>
      <c r="T117" s="1"/>
      <c r="U117" s="1"/>
      <c r="V117" s="1"/>
      <c r="W117" s="1"/>
      <c r="X117" s="1"/>
      <c r="Y117" s="1"/>
      <c r="Z117" s="1"/>
      <c r="AA117" s="1"/>
      <c r="AB117" s="1"/>
      <c r="AC117" s="1"/>
    </row>
    <row r="118" spans="1:29" ht="14.25" customHeight="1" x14ac:dyDescent="0.2">
      <c r="A118" s="1"/>
      <c r="B118" s="1"/>
      <c r="C118" s="1"/>
      <c r="D118" s="1"/>
      <c r="E118" s="1"/>
      <c r="F118" s="1"/>
      <c r="G118" s="1"/>
      <c r="H118" s="1"/>
      <c r="I118" s="1"/>
      <c r="J118" s="1"/>
      <c r="K118" s="1"/>
      <c r="L118" s="1"/>
      <c r="M118" s="5"/>
      <c r="N118" s="5"/>
      <c r="O118" s="5"/>
      <c r="P118" s="5"/>
      <c r="Q118" s="1"/>
      <c r="R118" s="1"/>
      <c r="S118" s="1"/>
      <c r="T118" s="1"/>
      <c r="U118" s="1"/>
      <c r="V118" s="1"/>
      <c r="W118" s="1"/>
      <c r="X118" s="1"/>
      <c r="Y118" s="1"/>
      <c r="Z118" s="1"/>
      <c r="AA118" s="1"/>
      <c r="AB118" s="1"/>
      <c r="AC118" s="1"/>
    </row>
    <row r="119" spans="1:29" ht="14.25" customHeight="1" x14ac:dyDescent="0.2">
      <c r="A119" s="1"/>
      <c r="B119" s="1"/>
      <c r="C119" s="1"/>
      <c r="D119" s="1"/>
      <c r="E119" s="1"/>
      <c r="F119" s="1"/>
      <c r="G119" s="1"/>
      <c r="H119" s="1"/>
      <c r="I119" s="1"/>
      <c r="J119" s="1"/>
      <c r="K119" s="1"/>
      <c r="L119" s="1"/>
      <c r="M119" s="5"/>
      <c r="N119" s="5"/>
      <c r="O119" s="5"/>
      <c r="P119" s="5"/>
      <c r="Q119" s="1"/>
      <c r="R119" s="1"/>
      <c r="S119" s="1"/>
      <c r="T119" s="1"/>
      <c r="U119" s="1"/>
      <c r="V119" s="1"/>
      <c r="W119" s="1"/>
      <c r="X119" s="1"/>
      <c r="Y119" s="1"/>
      <c r="Z119" s="1"/>
      <c r="AA119" s="1"/>
      <c r="AB119" s="1"/>
      <c r="AC119" s="1"/>
    </row>
    <row r="120" spans="1:29" ht="14.25" customHeight="1" x14ac:dyDescent="0.2">
      <c r="A120" s="1"/>
      <c r="B120" s="1"/>
      <c r="C120" s="1"/>
      <c r="D120" s="1"/>
      <c r="E120" s="1"/>
      <c r="F120" s="1"/>
      <c r="G120" s="1"/>
      <c r="H120" s="1"/>
      <c r="I120" s="1"/>
      <c r="J120" s="1"/>
      <c r="K120" s="1"/>
      <c r="L120" s="1"/>
      <c r="M120" s="5"/>
      <c r="N120" s="5"/>
      <c r="O120" s="5"/>
      <c r="P120" s="5"/>
      <c r="Q120" s="1"/>
      <c r="R120" s="1"/>
      <c r="S120" s="1"/>
      <c r="T120" s="1"/>
      <c r="U120" s="1"/>
      <c r="V120" s="1"/>
      <c r="W120" s="1"/>
      <c r="X120" s="1"/>
      <c r="Y120" s="1"/>
      <c r="Z120" s="1"/>
      <c r="AA120" s="1"/>
      <c r="AB120" s="1"/>
      <c r="AC120" s="1"/>
    </row>
    <row r="121" spans="1:29" ht="14.25" customHeight="1" x14ac:dyDescent="0.2">
      <c r="A121" s="1"/>
      <c r="B121" s="1"/>
      <c r="C121" s="1"/>
      <c r="D121" s="1"/>
      <c r="E121" s="1"/>
      <c r="F121" s="1"/>
      <c r="G121" s="1"/>
      <c r="H121" s="1"/>
      <c r="I121" s="1"/>
      <c r="J121" s="1"/>
      <c r="K121" s="1"/>
      <c r="L121" s="1"/>
      <c r="M121" s="5"/>
      <c r="N121" s="5"/>
      <c r="O121" s="5"/>
      <c r="P121" s="5"/>
      <c r="Q121" s="1"/>
      <c r="R121" s="1"/>
      <c r="S121" s="1"/>
      <c r="T121" s="1"/>
      <c r="U121" s="1"/>
      <c r="V121" s="1"/>
      <c r="W121" s="1"/>
      <c r="X121" s="1"/>
      <c r="Y121" s="1"/>
      <c r="Z121" s="1"/>
      <c r="AA121" s="1"/>
      <c r="AB121" s="1"/>
      <c r="AC121" s="1"/>
    </row>
    <row r="122" spans="1:29" ht="14.25" customHeight="1" x14ac:dyDescent="0.2">
      <c r="A122" s="1"/>
      <c r="B122" s="1"/>
      <c r="C122" s="1"/>
      <c r="D122" s="1"/>
      <c r="E122" s="1"/>
      <c r="F122" s="1"/>
      <c r="G122" s="1"/>
      <c r="H122" s="1"/>
      <c r="I122" s="1"/>
      <c r="J122" s="1"/>
      <c r="K122" s="1"/>
      <c r="L122" s="1"/>
      <c r="M122" s="5"/>
      <c r="N122" s="5"/>
      <c r="O122" s="5"/>
      <c r="P122" s="5"/>
      <c r="Q122" s="1"/>
      <c r="R122" s="1"/>
      <c r="S122" s="1"/>
      <c r="T122" s="1"/>
      <c r="U122" s="1"/>
      <c r="V122" s="1"/>
      <c r="W122" s="1"/>
      <c r="X122" s="1"/>
      <c r="Y122" s="1"/>
      <c r="Z122" s="1"/>
      <c r="AA122" s="1"/>
      <c r="AB122" s="1"/>
      <c r="AC122" s="1"/>
    </row>
    <row r="123" spans="1:29" ht="14.25" customHeight="1" x14ac:dyDescent="0.2">
      <c r="A123" s="1"/>
      <c r="B123" s="1"/>
      <c r="C123" s="1"/>
      <c r="D123" s="1"/>
      <c r="E123" s="1"/>
      <c r="F123" s="1"/>
      <c r="G123" s="1"/>
      <c r="H123" s="1"/>
      <c r="I123" s="1"/>
      <c r="J123" s="1"/>
      <c r="K123" s="1"/>
      <c r="L123" s="1"/>
      <c r="M123" s="5"/>
      <c r="N123" s="5"/>
      <c r="O123" s="5"/>
      <c r="P123" s="5"/>
      <c r="Q123" s="1"/>
      <c r="R123" s="1"/>
      <c r="S123" s="1"/>
      <c r="T123" s="1"/>
      <c r="U123" s="1"/>
      <c r="V123" s="1"/>
      <c r="W123" s="1"/>
      <c r="X123" s="1"/>
      <c r="Y123" s="1"/>
      <c r="Z123" s="1"/>
      <c r="AA123" s="1"/>
      <c r="AB123" s="1"/>
      <c r="AC123" s="1"/>
    </row>
    <row r="124" spans="1:29" ht="14.25" customHeight="1" x14ac:dyDescent="0.2">
      <c r="A124" s="1"/>
      <c r="B124" s="1"/>
      <c r="C124" s="1"/>
      <c r="D124" s="1"/>
      <c r="E124" s="1"/>
      <c r="F124" s="1"/>
      <c r="G124" s="1"/>
      <c r="H124" s="1"/>
      <c r="I124" s="1"/>
      <c r="J124" s="1"/>
      <c r="K124" s="1"/>
      <c r="L124" s="1"/>
      <c r="M124" s="5"/>
      <c r="N124" s="5"/>
      <c r="O124" s="5"/>
      <c r="P124" s="5"/>
      <c r="Q124" s="1"/>
      <c r="R124" s="1"/>
      <c r="S124" s="1"/>
      <c r="T124" s="1"/>
      <c r="U124" s="1"/>
      <c r="V124" s="1"/>
      <c r="W124" s="1"/>
      <c r="X124" s="1"/>
      <c r="Y124" s="1"/>
      <c r="Z124" s="1"/>
      <c r="AA124" s="1"/>
      <c r="AB124" s="1"/>
      <c r="AC124" s="1"/>
    </row>
    <row r="125" spans="1:29" ht="14.25" customHeight="1" x14ac:dyDescent="0.2">
      <c r="A125" s="1"/>
      <c r="B125" s="1"/>
      <c r="C125" s="1"/>
      <c r="D125" s="1"/>
      <c r="E125" s="1"/>
      <c r="F125" s="1"/>
      <c r="G125" s="1"/>
      <c r="H125" s="1"/>
      <c r="I125" s="1"/>
      <c r="J125" s="1"/>
      <c r="K125" s="1"/>
      <c r="L125" s="1"/>
      <c r="M125" s="5"/>
      <c r="N125" s="5"/>
      <c r="O125" s="5"/>
      <c r="P125" s="5"/>
      <c r="Q125" s="1"/>
      <c r="R125" s="1"/>
      <c r="S125" s="1"/>
      <c r="T125" s="1"/>
      <c r="U125" s="1"/>
      <c r="V125" s="1"/>
      <c r="W125" s="1"/>
      <c r="X125" s="1"/>
      <c r="Y125" s="1"/>
      <c r="Z125" s="1"/>
      <c r="AA125" s="1"/>
      <c r="AB125" s="1"/>
      <c r="AC125" s="1"/>
    </row>
    <row r="126" spans="1:29" ht="14.25" customHeight="1" x14ac:dyDescent="0.2">
      <c r="A126" s="1"/>
      <c r="B126" s="1"/>
      <c r="C126" s="1"/>
      <c r="D126" s="1"/>
      <c r="E126" s="1"/>
      <c r="F126" s="1"/>
      <c r="G126" s="1"/>
      <c r="H126" s="1"/>
      <c r="I126" s="1"/>
      <c r="J126" s="1"/>
      <c r="K126" s="1"/>
      <c r="L126" s="1"/>
      <c r="M126" s="5"/>
      <c r="N126" s="5"/>
      <c r="O126" s="5"/>
      <c r="P126" s="5"/>
      <c r="Q126" s="1"/>
      <c r="R126" s="1"/>
      <c r="S126" s="1"/>
      <c r="T126" s="1"/>
      <c r="U126" s="1"/>
      <c r="V126" s="1"/>
      <c r="W126" s="1"/>
      <c r="X126" s="1"/>
      <c r="Y126" s="1"/>
      <c r="Z126" s="1"/>
      <c r="AA126" s="1"/>
      <c r="AB126" s="1"/>
      <c r="AC126" s="1"/>
    </row>
    <row r="127" spans="1:29" ht="14.25" customHeight="1" x14ac:dyDescent="0.2">
      <c r="A127" s="1"/>
      <c r="B127" s="1"/>
      <c r="C127" s="1"/>
      <c r="D127" s="1"/>
      <c r="E127" s="1"/>
      <c r="F127" s="1"/>
      <c r="G127" s="1"/>
      <c r="H127" s="1"/>
      <c r="I127" s="1"/>
      <c r="J127" s="1"/>
      <c r="K127" s="1"/>
      <c r="L127" s="1"/>
      <c r="M127" s="5"/>
      <c r="N127" s="5"/>
      <c r="O127" s="5"/>
      <c r="P127" s="5"/>
      <c r="Q127" s="1"/>
      <c r="R127" s="1"/>
      <c r="S127" s="1"/>
      <c r="T127" s="1"/>
      <c r="U127" s="1"/>
      <c r="V127" s="1"/>
      <c r="W127" s="1"/>
      <c r="X127" s="1"/>
      <c r="Y127" s="1"/>
      <c r="Z127" s="1"/>
      <c r="AA127" s="1"/>
      <c r="AB127" s="1"/>
      <c r="AC127" s="1"/>
    </row>
    <row r="128" spans="1:29" ht="14.25" customHeight="1" x14ac:dyDescent="0.2">
      <c r="A128" s="1"/>
      <c r="B128" s="1"/>
      <c r="C128" s="1"/>
      <c r="D128" s="1"/>
      <c r="E128" s="1"/>
      <c r="F128" s="1"/>
      <c r="G128" s="1"/>
      <c r="H128" s="1"/>
      <c r="I128" s="1"/>
      <c r="J128" s="1"/>
      <c r="K128" s="1"/>
      <c r="L128" s="1"/>
      <c r="M128" s="5"/>
      <c r="N128" s="5"/>
      <c r="O128" s="5"/>
      <c r="P128" s="5"/>
      <c r="Q128" s="1"/>
      <c r="R128" s="1"/>
      <c r="S128" s="1"/>
      <c r="T128" s="1"/>
      <c r="U128" s="1"/>
      <c r="V128" s="1"/>
      <c r="W128" s="1"/>
      <c r="X128" s="1"/>
      <c r="Y128" s="1"/>
      <c r="Z128" s="1"/>
      <c r="AA128" s="1"/>
      <c r="AB128" s="1"/>
      <c r="AC128" s="1"/>
    </row>
    <row r="129" spans="1:29" ht="14.25" customHeight="1" x14ac:dyDescent="0.2">
      <c r="A129" s="1"/>
      <c r="B129" s="1"/>
      <c r="C129" s="1"/>
      <c r="D129" s="1"/>
      <c r="E129" s="1"/>
      <c r="F129" s="1"/>
      <c r="G129" s="1"/>
      <c r="H129" s="1"/>
      <c r="I129" s="1"/>
      <c r="J129" s="1"/>
      <c r="K129" s="1"/>
      <c r="L129" s="1"/>
      <c r="M129" s="5"/>
      <c r="N129" s="5"/>
      <c r="O129" s="5"/>
      <c r="P129" s="5"/>
      <c r="Q129" s="1"/>
      <c r="R129" s="1"/>
      <c r="S129" s="1"/>
      <c r="T129" s="1"/>
      <c r="U129" s="1"/>
      <c r="V129" s="1"/>
      <c r="W129" s="1"/>
      <c r="X129" s="1"/>
      <c r="Y129" s="1"/>
      <c r="Z129" s="1"/>
      <c r="AA129" s="1"/>
      <c r="AB129" s="1"/>
      <c r="AC129" s="1"/>
    </row>
    <row r="130" spans="1:29" ht="14.25" customHeight="1" x14ac:dyDescent="0.2">
      <c r="A130" s="1"/>
      <c r="B130" s="1"/>
      <c r="C130" s="1"/>
      <c r="D130" s="1"/>
      <c r="E130" s="1"/>
      <c r="F130" s="1"/>
      <c r="G130" s="1"/>
      <c r="H130" s="1"/>
      <c r="I130" s="1"/>
      <c r="J130" s="1"/>
      <c r="K130" s="1"/>
      <c r="L130" s="1"/>
      <c r="M130" s="5"/>
      <c r="N130" s="5"/>
      <c r="O130" s="5"/>
      <c r="P130" s="5"/>
      <c r="Q130" s="1"/>
      <c r="R130" s="1"/>
      <c r="S130" s="1"/>
      <c r="T130" s="1"/>
      <c r="U130" s="1"/>
      <c r="V130" s="1"/>
      <c r="W130" s="1"/>
      <c r="X130" s="1"/>
      <c r="Y130" s="1"/>
      <c r="Z130" s="1"/>
      <c r="AA130" s="1"/>
      <c r="AB130" s="1"/>
      <c r="AC130" s="1"/>
    </row>
    <row r="131" spans="1:29" ht="14.25" customHeight="1" x14ac:dyDescent="0.2">
      <c r="A131" s="1"/>
      <c r="B131" s="1"/>
      <c r="C131" s="1"/>
      <c r="D131" s="1"/>
      <c r="E131" s="1"/>
      <c r="F131" s="1"/>
      <c r="G131" s="1"/>
      <c r="H131" s="1"/>
      <c r="I131" s="1"/>
      <c r="J131" s="1"/>
      <c r="K131" s="1"/>
      <c r="L131" s="1"/>
      <c r="M131" s="5"/>
      <c r="N131" s="5"/>
      <c r="O131" s="5"/>
      <c r="P131" s="5"/>
      <c r="Q131" s="1"/>
      <c r="R131" s="1"/>
      <c r="S131" s="1"/>
      <c r="T131" s="1"/>
      <c r="U131" s="1"/>
      <c r="V131" s="1"/>
      <c r="W131" s="1"/>
      <c r="X131" s="1"/>
      <c r="Y131" s="1"/>
      <c r="Z131" s="1"/>
      <c r="AA131" s="1"/>
      <c r="AB131" s="1"/>
      <c r="AC131" s="1"/>
    </row>
    <row r="132" spans="1:29" ht="14.25" customHeight="1" x14ac:dyDescent="0.2">
      <c r="A132" s="1"/>
      <c r="B132" s="1"/>
      <c r="C132" s="1"/>
      <c r="D132" s="1"/>
      <c r="E132" s="1"/>
      <c r="F132" s="1"/>
      <c r="G132" s="1"/>
      <c r="H132" s="1"/>
      <c r="I132" s="1"/>
      <c r="J132" s="1"/>
      <c r="K132" s="1"/>
      <c r="L132" s="1"/>
      <c r="M132" s="5"/>
      <c r="N132" s="5"/>
      <c r="O132" s="5"/>
      <c r="P132" s="5"/>
      <c r="Q132" s="1"/>
      <c r="R132" s="1"/>
      <c r="S132" s="1"/>
      <c r="T132" s="1"/>
      <c r="U132" s="1"/>
      <c r="V132" s="1"/>
      <c r="W132" s="1"/>
      <c r="X132" s="1"/>
      <c r="Y132" s="1"/>
      <c r="Z132" s="1"/>
      <c r="AA132" s="1"/>
      <c r="AB132" s="1"/>
      <c r="AC132" s="1"/>
    </row>
    <row r="133" spans="1:29" ht="14.25" customHeight="1" x14ac:dyDescent="0.2">
      <c r="A133" s="1"/>
      <c r="B133" s="1"/>
      <c r="C133" s="1"/>
      <c r="D133" s="1"/>
      <c r="E133" s="1"/>
      <c r="F133" s="1"/>
      <c r="G133" s="1"/>
      <c r="H133" s="1"/>
      <c r="I133" s="1"/>
      <c r="J133" s="1"/>
      <c r="K133" s="1"/>
      <c r="L133" s="1"/>
      <c r="M133" s="5"/>
      <c r="N133" s="5"/>
      <c r="O133" s="5"/>
      <c r="P133" s="5"/>
      <c r="Q133" s="1"/>
      <c r="R133" s="1"/>
      <c r="S133" s="1"/>
      <c r="T133" s="1"/>
      <c r="U133" s="1"/>
      <c r="V133" s="1"/>
      <c r="W133" s="1"/>
      <c r="X133" s="1"/>
      <c r="Y133" s="1"/>
      <c r="Z133" s="1"/>
      <c r="AA133" s="1"/>
      <c r="AB133" s="1"/>
      <c r="AC133" s="1"/>
    </row>
    <row r="134" spans="1:29" ht="14.25" customHeight="1" x14ac:dyDescent="0.2">
      <c r="A134" s="1"/>
      <c r="B134" s="1"/>
      <c r="C134" s="1"/>
      <c r="D134" s="1"/>
      <c r="E134" s="1"/>
      <c r="F134" s="1"/>
      <c r="G134" s="1"/>
      <c r="H134" s="1"/>
      <c r="I134" s="1"/>
      <c r="J134" s="1"/>
      <c r="K134" s="1"/>
      <c r="L134" s="1"/>
      <c r="M134" s="5"/>
      <c r="N134" s="5"/>
      <c r="O134" s="5"/>
      <c r="P134" s="5"/>
      <c r="Q134" s="1"/>
      <c r="R134" s="1"/>
      <c r="S134" s="1"/>
      <c r="T134" s="1"/>
      <c r="U134" s="1"/>
      <c r="V134" s="1"/>
      <c r="W134" s="1"/>
      <c r="X134" s="1"/>
      <c r="Y134" s="1"/>
      <c r="Z134" s="1"/>
      <c r="AA134" s="1"/>
      <c r="AB134" s="1"/>
      <c r="AC134" s="1"/>
    </row>
    <row r="135" spans="1:29" ht="14.25" customHeight="1" x14ac:dyDescent="0.2">
      <c r="A135" s="1"/>
      <c r="B135" s="1"/>
      <c r="C135" s="1"/>
      <c r="D135" s="1"/>
      <c r="E135" s="1"/>
      <c r="F135" s="1"/>
      <c r="G135" s="1"/>
      <c r="H135" s="1"/>
      <c r="I135" s="1"/>
      <c r="J135" s="1"/>
      <c r="K135" s="1"/>
      <c r="L135" s="1"/>
      <c r="M135" s="5"/>
      <c r="N135" s="5"/>
      <c r="O135" s="5"/>
      <c r="P135" s="5"/>
      <c r="Q135" s="1"/>
      <c r="R135" s="1"/>
      <c r="S135" s="1"/>
      <c r="T135" s="1"/>
      <c r="U135" s="1"/>
      <c r="V135" s="1"/>
      <c r="W135" s="1"/>
      <c r="X135" s="1"/>
      <c r="Y135" s="1"/>
      <c r="Z135" s="1"/>
      <c r="AA135" s="1"/>
      <c r="AB135" s="1"/>
      <c r="AC135" s="1"/>
    </row>
    <row r="136" spans="1:29" ht="14.25" customHeight="1" x14ac:dyDescent="0.2">
      <c r="A136" s="1"/>
      <c r="B136" s="1"/>
      <c r="C136" s="1"/>
      <c r="D136" s="1"/>
      <c r="E136" s="1"/>
      <c r="F136" s="1"/>
      <c r="G136" s="1"/>
      <c r="H136" s="1"/>
      <c r="I136" s="1"/>
      <c r="J136" s="1"/>
      <c r="K136" s="1"/>
      <c r="L136" s="1"/>
      <c r="M136" s="5"/>
      <c r="N136" s="5"/>
      <c r="O136" s="5"/>
      <c r="P136" s="5"/>
      <c r="Q136" s="1"/>
      <c r="R136" s="1"/>
      <c r="S136" s="1"/>
      <c r="T136" s="1"/>
      <c r="U136" s="1"/>
      <c r="V136" s="1"/>
      <c r="W136" s="1"/>
      <c r="X136" s="1"/>
      <c r="Y136" s="1"/>
      <c r="Z136" s="1"/>
      <c r="AA136" s="1"/>
      <c r="AB136" s="1"/>
      <c r="AC136" s="1"/>
    </row>
    <row r="137" spans="1:29" ht="14.25" customHeight="1" x14ac:dyDescent="0.2">
      <c r="A137" s="1"/>
      <c r="B137" s="1"/>
      <c r="C137" s="1"/>
      <c r="D137" s="1"/>
      <c r="E137" s="1"/>
      <c r="F137" s="1"/>
      <c r="G137" s="1"/>
      <c r="H137" s="1"/>
      <c r="I137" s="1"/>
      <c r="J137" s="1"/>
      <c r="K137" s="1"/>
      <c r="L137" s="1"/>
      <c r="M137" s="5"/>
      <c r="N137" s="5"/>
      <c r="O137" s="5"/>
      <c r="P137" s="5"/>
      <c r="Q137" s="1"/>
      <c r="R137" s="1"/>
      <c r="S137" s="1"/>
      <c r="T137" s="1"/>
      <c r="U137" s="1"/>
      <c r="V137" s="1"/>
      <c r="W137" s="1"/>
      <c r="X137" s="1"/>
      <c r="Y137" s="1"/>
      <c r="Z137" s="1"/>
      <c r="AA137" s="1"/>
      <c r="AB137" s="1"/>
      <c r="AC137" s="1"/>
    </row>
    <row r="138" spans="1:29" ht="14.25" customHeight="1" x14ac:dyDescent="0.2">
      <c r="A138" s="1"/>
      <c r="B138" s="1"/>
      <c r="C138" s="1"/>
      <c r="D138" s="1"/>
      <c r="E138" s="1"/>
      <c r="F138" s="1"/>
      <c r="G138" s="1"/>
      <c r="H138" s="1"/>
      <c r="I138" s="1"/>
      <c r="J138" s="1"/>
      <c r="K138" s="1"/>
      <c r="L138" s="1"/>
      <c r="M138" s="5"/>
      <c r="N138" s="5"/>
      <c r="O138" s="5"/>
      <c r="P138" s="5"/>
      <c r="Q138" s="1"/>
      <c r="R138" s="1"/>
      <c r="S138" s="1"/>
      <c r="T138" s="1"/>
      <c r="U138" s="1"/>
      <c r="V138" s="1"/>
      <c r="W138" s="1"/>
      <c r="X138" s="1"/>
      <c r="Y138" s="1"/>
      <c r="Z138" s="1"/>
      <c r="AA138" s="1"/>
      <c r="AB138" s="1"/>
      <c r="AC138" s="1"/>
    </row>
    <row r="139" spans="1:29" ht="14.25" customHeight="1" x14ac:dyDescent="0.2">
      <c r="A139" s="1"/>
      <c r="B139" s="1"/>
      <c r="C139" s="1"/>
      <c r="D139" s="1"/>
      <c r="E139" s="1"/>
      <c r="F139" s="1"/>
      <c r="G139" s="1"/>
      <c r="H139" s="1"/>
      <c r="I139" s="1"/>
      <c r="J139" s="1"/>
      <c r="K139" s="1"/>
      <c r="L139" s="1"/>
      <c r="M139" s="5"/>
      <c r="N139" s="5"/>
      <c r="O139" s="5"/>
      <c r="P139" s="5"/>
      <c r="Q139" s="1"/>
      <c r="R139" s="1"/>
      <c r="S139" s="1"/>
      <c r="T139" s="1"/>
      <c r="U139" s="1"/>
      <c r="V139" s="1"/>
      <c r="W139" s="1"/>
      <c r="X139" s="1"/>
      <c r="Y139" s="1"/>
      <c r="Z139" s="1"/>
      <c r="AA139" s="1"/>
      <c r="AB139" s="1"/>
      <c r="AC139" s="1"/>
    </row>
    <row r="140" spans="1:29" ht="14.25" customHeight="1" x14ac:dyDescent="0.2">
      <c r="A140" s="1"/>
      <c r="B140" s="1"/>
      <c r="C140" s="1"/>
      <c r="D140" s="1"/>
      <c r="E140" s="1"/>
      <c r="F140" s="1"/>
      <c r="G140" s="1"/>
      <c r="H140" s="1"/>
      <c r="I140" s="1"/>
      <c r="J140" s="1"/>
      <c r="K140" s="1"/>
      <c r="L140" s="1"/>
      <c r="M140" s="5"/>
      <c r="N140" s="5"/>
      <c r="O140" s="5"/>
      <c r="P140" s="5"/>
      <c r="Q140" s="1"/>
      <c r="R140" s="1"/>
      <c r="S140" s="1"/>
      <c r="T140" s="1"/>
      <c r="U140" s="1"/>
      <c r="V140" s="1"/>
      <c r="W140" s="1"/>
      <c r="X140" s="1"/>
      <c r="Y140" s="1"/>
      <c r="Z140" s="1"/>
      <c r="AA140" s="1"/>
      <c r="AB140" s="1"/>
      <c r="AC140" s="1"/>
    </row>
    <row r="141" spans="1:29" ht="14.25" customHeight="1" x14ac:dyDescent="0.2">
      <c r="A141" s="1"/>
      <c r="B141" s="1"/>
      <c r="C141" s="1"/>
      <c r="D141" s="1"/>
      <c r="E141" s="1"/>
      <c r="F141" s="1"/>
      <c r="G141" s="1"/>
      <c r="H141" s="1"/>
      <c r="I141" s="1"/>
      <c r="J141" s="1"/>
      <c r="K141" s="1"/>
      <c r="L141" s="1"/>
      <c r="M141" s="5"/>
      <c r="N141" s="5"/>
      <c r="O141" s="5"/>
      <c r="P141" s="5"/>
      <c r="Q141" s="1"/>
      <c r="R141" s="1"/>
      <c r="S141" s="1"/>
      <c r="T141" s="1"/>
      <c r="U141" s="1"/>
      <c r="V141" s="1"/>
      <c r="W141" s="1"/>
      <c r="X141" s="1"/>
      <c r="Y141" s="1"/>
      <c r="Z141" s="1"/>
      <c r="AA141" s="1"/>
      <c r="AB141" s="1"/>
      <c r="AC141" s="1"/>
    </row>
    <row r="142" spans="1:29" ht="14.25" customHeight="1" x14ac:dyDescent="0.2">
      <c r="A142" s="1"/>
      <c r="B142" s="1"/>
      <c r="C142" s="1"/>
      <c r="D142" s="1"/>
      <c r="E142" s="1"/>
      <c r="F142" s="1"/>
      <c r="G142" s="1"/>
      <c r="H142" s="1"/>
      <c r="I142" s="1"/>
      <c r="J142" s="1"/>
      <c r="K142" s="1"/>
      <c r="L142" s="1"/>
      <c r="M142" s="5"/>
      <c r="N142" s="5"/>
      <c r="O142" s="5"/>
      <c r="P142" s="5"/>
      <c r="Q142" s="1"/>
      <c r="R142" s="1"/>
      <c r="S142" s="1"/>
      <c r="T142" s="1"/>
      <c r="U142" s="1"/>
      <c r="V142" s="1"/>
      <c r="W142" s="1"/>
      <c r="X142" s="1"/>
      <c r="Y142" s="1"/>
      <c r="Z142" s="1"/>
      <c r="AA142" s="1"/>
      <c r="AB142" s="1"/>
      <c r="AC142" s="1"/>
    </row>
    <row r="143" spans="1:29" ht="14.25" customHeight="1" x14ac:dyDescent="0.2">
      <c r="A143" s="1"/>
      <c r="B143" s="1"/>
      <c r="C143" s="1"/>
      <c r="D143" s="1"/>
      <c r="E143" s="1"/>
      <c r="F143" s="1"/>
      <c r="G143" s="1"/>
      <c r="H143" s="1"/>
      <c r="I143" s="1"/>
      <c r="J143" s="1"/>
      <c r="K143" s="1"/>
      <c r="L143" s="1"/>
      <c r="M143" s="5"/>
      <c r="N143" s="5"/>
      <c r="O143" s="5"/>
      <c r="P143" s="5"/>
      <c r="Q143" s="1"/>
      <c r="R143" s="1"/>
      <c r="S143" s="1"/>
      <c r="T143" s="1"/>
      <c r="U143" s="1"/>
      <c r="V143" s="1"/>
      <c r="W143" s="1"/>
      <c r="X143" s="1"/>
      <c r="Y143" s="1"/>
      <c r="Z143" s="1"/>
      <c r="AA143" s="1"/>
      <c r="AB143" s="1"/>
      <c r="AC143" s="1"/>
    </row>
    <row r="144" spans="1:29" ht="14.25" customHeight="1" x14ac:dyDescent="0.2">
      <c r="A144" s="1"/>
      <c r="B144" s="1"/>
      <c r="C144" s="1"/>
      <c r="D144" s="1"/>
      <c r="E144" s="1"/>
      <c r="F144" s="1"/>
      <c r="G144" s="1"/>
      <c r="H144" s="1"/>
      <c r="I144" s="1"/>
      <c r="J144" s="1"/>
      <c r="K144" s="1"/>
      <c r="L144" s="1"/>
      <c r="M144" s="5"/>
      <c r="N144" s="5"/>
      <c r="O144" s="5"/>
      <c r="P144" s="5"/>
      <c r="Q144" s="1"/>
      <c r="R144" s="1"/>
      <c r="S144" s="1"/>
      <c r="T144" s="1"/>
      <c r="U144" s="1"/>
      <c r="V144" s="1"/>
      <c r="W144" s="1"/>
      <c r="X144" s="1"/>
      <c r="Y144" s="1"/>
      <c r="Z144" s="1"/>
      <c r="AA144" s="1"/>
      <c r="AB144" s="1"/>
      <c r="AC144" s="1"/>
    </row>
    <row r="145" spans="1:29" ht="14.25" customHeight="1" x14ac:dyDescent="0.2">
      <c r="A145" s="1"/>
      <c r="B145" s="1"/>
      <c r="C145" s="1"/>
      <c r="D145" s="1"/>
      <c r="E145" s="1"/>
      <c r="F145" s="1"/>
      <c r="G145" s="1"/>
      <c r="H145" s="1"/>
      <c r="I145" s="1"/>
      <c r="J145" s="1"/>
      <c r="K145" s="1"/>
      <c r="L145" s="1"/>
      <c r="M145" s="5"/>
      <c r="N145" s="5"/>
      <c r="O145" s="5"/>
      <c r="P145" s="5"/>
      <c r="Q145" s="1"/>
      <c r="R145" s="1"/>
      <c r="S145" s="1"/>
      <c r="T145" s="1"/>
      <c r="U145" s="1"/>
      <c r="V145" s="1"/>
      <c r="W145" s="1"/>
      <c r="X145" s="1"/>
      <c r="Y145" s="1"/>
      <c r="Z145" s="1"/>
      <c r="AA145" s="1"/>
      <c r="AB145" s="1"/>
      <c r="AC145" s="1"/>
    </row>
    <row r="146" spans="1:29" ht="14.25" customHeight="1" x14ac:dyDescent="0.2">
      <c r="A146" s="1"/>
      <c r="B146" s="1"/>
      <c r="C146" s="1"/>
      <c r="D146" s="1"/>
      <c r="E146" s="1"/>
      <c r="F146" s="1"/>
      <c r="G146" s="1"/>
      <c r="H146" s="1"/>
      <c r="I146" s="1"/>
      <c r="J146" s="1"/>
      <c r="K146" s="1"/>
      <c r="L146" s="1"/>
      <c r="M146" s="5"/>
      <c r="N146" s="5"/>
      <c r="O146" s="5"/>
      <c r="P146" s="5"/>
      <c r="Q146" s="1"/>
      <c r="R146" s="1"/>
      <c r="S146" s="1"/>
      <c r="T146" s="1"/>
      <c r="U146" s="1"/>
      <c r="V146" s="1"/>
      <c r="W146" s="1"/>
      <c r="X146" s="1"/>
      <c r="Y146" s="1"/>
      <c r="Z146" s="1"/>
      <c r="AA146" s="1"/>
      <c r="AB146" s="1"/>
      <c r="AC146" s="1"/>
    </row>
    <row r="147" spans="1:29" ht="14.25" customHeight="1" x14ac:dyDescent="0.2">
      <c r="A147" s="1"/>
      <c r="B147" s="1"/>
      <c r="C147" s="1"/>
      <c r="D147" s="1"/>
      <c r="E147" s="1"/>
      <c r="F147" s="1"/>
      <c r="G147" s="1"/>
      <c r="H147" s="1"/>
      <c r="I147" s="1"/>
      <c r="J147" s="1"/>
      <c r="K147" s="1"/>
      <c r="L147" s="1"/>
      <c r="M147" s="5"/>
      <c r="N147" s="5"/>
      <c r="O147" s="5"/>
      <c r="P147" s="5"/>
      <c r="Q147" s="1"/>
      <c r="R147" s="1"/>
      <c r="S147" s="1"/>
      <c r="T147" s="1"/>
      <c r="U147" s="1"/>
      <c r="V147" s="1"/>
      <c r="W147" s="1"/>
      <c r="X147" s="1"/>
      <c r="Y147" s="1"/>
      <c r="Z147" s="1"/>
      <c r="AA147" s="1"/>
      <c r="AB147" s="1"/>
      <c r="AC147" s="1"/>
    </row>
    <row r="148" spans="1:29" ht="14.25" customHeight="1" x14ac:dyDescent="0.2">
      <c r="A148" s="1"/>
      <c r="B148" s="1"/>
      <c r="C148" s="1"/>
      <c r="D148" s="1"/>
      <c r="E148" s="1"/>
      <c r="F148" s="1"/>
      <c r="G148" s="1"/>
      <c r="H148" s="1"/>
      <c r="I148" s="1"/>
      <c r="J148" s="1"/>
      <c r="K148" s="1"/>
      <c r="L148" s="1"/>
      <c r="M148" s="5"/>
      <c r="N148" s="5"/>
      <c r="O148" s="5"/>
      <c r="P148" s="5"/>
      <c r="Q148" s="1"/>
      <c r="R148" s="1"/>
      <c r="S148" s="1"/>
      <c r="T148" s="1"/>
      <c r="U148" s="1"/>
      <c r="V148" s="1"/>
      <c r="W148" s="1"/>
      <c r="X148" s="1"/>
      <c r="Y148" s="1"/>
      <c r="Z148" s="1"/>
      <c r="AA148" s="1"/>
      <c r="AB148" s="1"/>
      <c r="AC148" s="1"/>
    </row>
    <row r="149" spans="1:29" ht="14.25" customHeight="1" x14ac:dyDescent="0.2">
      <c r="A149" s="1"/>
      <c r="B149" s="1"/>
      <c r="C149" s="1"/>
      <c r="D149" s="1"/>
      <c r="E149" s="1"/>
      <c r="F149" s="1"/>
      <c r="G149" s="1"/>
      <c r="H149" s="1"/>
      <c r="I149" s="1"/>
      <c r="J149" s="1"/>
      <c r="K149" s="1"/>
      <c r="L149" s="1"/>
      <c r="M149" s="5"/>
      <c r="N149" s="5"/>
      <c r="O149" s="5"/>
      <c r="P149" s="5"/>
      <c r="Q149" s="1"/>
      <c r="R149" s="1"/>
      <c r="S149" s="1"/>
      <c r="T149" s="1"/>
      <c r="U149" s="1"/>
      <c r="V149" s="1"/>
      <c r="W149" s="1"/>
      <c r="X149" s="1"/>
      <c r="Y149" s="1"/>
      <c r="Z149" s="1"/>
      <c r="AA149" s="1"/>
      <c r="AB149" s="1"/>
      <c r="AC149" s="1"/>
    </row>
    <row r="150" spans="1:29" ht="14.25" customHeight="1" x14ac:dyDescent="0.2">
      <c r="A150" s="1"/>
      <c r="B150" s="1"/>
      <c r="C150" s="1"/>
      <c r="D150" s="1"/>
      <c r="E150" s="1"/>
      <c r="F150" s="1"/>
      <c r="G150" s="1"/>
      <c r="H150" s="1"/>
      <c r="I150" s="1"/>
      <c r="J150" s="1"/>
      <c r="K150" s="1"/>
      <c r="L150" s="1"/>
      <c r="M150" s="5"/>
      <c r="N150" s="5"/>
      <c r="O150" s="5"/>
      <c r="P150" s="5"/>
      <c r="Q150" s="1"/>
      <c r="R150" s="1"/>
      <c r="S150" s="1"/>
      <c r="T150" s="1"/>
      <c r="U150" s="1"/>
      <c r="V150" s="1"/>
      <c r="W150" s="1"/>
      <c r="X150" s="1"/>
      <c r="Y150" s="1"/>
      <c r="Z150" s="1"/>
      <c r="AA150" s="1"/>
      <c r="AB150" s="1"/>
      <c r="AC150" s="1"/>
    </row>
    <row r="151" spans="1:29" ht="14.25" customHeight="1" x14ac:dyDescent="0.2">
      <c r="A151" s="1"/>
      <c r="B151" s="1"/>
      <c r="C151" s="1"/>
      <c r="D151" s="1"/>
      <c r="E151" s="1"/>
      <c r="F151" s="1"/>
      <c r="G151" s="1"/>
      <c r="H151" s="1"/>
      <c r="I151" s="1"/>
      <c r="J151" s="1"/>
      <c r="K151" s="1"/>
      <c r="L151" s="1"/>
      <c r="M151" s="5"/>
      <c r="N151" s="5"/>
      <c r="O151" s="5"/>
      <c r="P151" s="5"/>
      <c r="Q151" s="1"/>
      <c r="R151" s="1"/>
      <c r="S151" s="1"/>
      <c r="T151" s="1"/>
      <c r="U151" s="1"/>
      <c r="V151" s="1"/>
      <c r="W151" s="1"/>
      <c r="X151" s="1"/>
      <c r="Y151" s="1"/>
      <c r="Z151" s="1"/>
      <c r="AA151" s="1"/>
      <c r="AB151" s="1"/>
      <c r="AC151" s="1"/>
    </row>
    <row r="152" spans="1:29" ht="14.25" customHeight="1" x14ac:dyDescent="0.2">
      <c r="A152" s="1"/>
      <c r="B152" s="1"/>
      <c r="C152" s="1"/>
      <c r="D152" s="1"/>
      <c r="E152" s="1"/>
      <c r="F152" s="1"/>
      <c r="G152" s="1"/>
      <c r="H152" s="1"/>
      <c r="I152" s="1"/>
      <c r="J152" s="1"/>
      <c r="K152" s="1"/>
      <c r="L152" s="1"/>
      <c r="M152" s="5"/>
      <c r="N152" s="5"/>
      <c r="O152" s="5"/>
      <c r="P152" s="5"/>
      <c r="Q152" s="1"/>
      <c r="R152" s="1"/>
      <c r="S152" s="1"/>
      <c r="T152" s="1"/>
      <c r="U152" s="1"/>
      <c r="V152" s="1"/>
      <c r="W152" s="1"/>
      <c r="X152" s="1"/>
      <c r="Y152" s="1"/>
      <c r="Z152" s="1"/>
      <c r="AA152" s="1"/>
      <c r="AB152" s="1"/>
      <c r="AC152" s="1"/>
    </row>
    <row r="153" spans="1:29" ht="14.25" customHeight="1" x14ac:dyDescent="0.2">
      <c r="A153" s="1"/>
      <c r="B153" s="1"/>
      <c r="C153" s="1"/>
      <c r="D153" s="1"/>
      <c r="E153" s="1"/>
      <c r="F153" s="1"/>
      <c r="G153" s="1"/>
      <c r="H153" s="1"/>
      <c r="I153" s="1"/>
      <c r="J153" s="1"/>
      <c r="K153" s="1"/>
      <c r="L153" s="1"/>
      <c r="M153" s="5"/>
      <c r="N153" s="5"/>
      <c r="O153" s="5"/>
      <c r="P153" s="5"/>
      <c r="Q153" s="1"/>
      <c r="R153" s="1"/>
      <c r="S153" s="1"/>
      <c r="T153" s="1"/>
      <c r="U153" s="1"/>
      <c r="V153" s="1"/>
      <c r="W153" s="1"/>
      <c r="X153" s="1"/>
      <c r="Y153" s="1"/>
      <c r="Z153" s="1"/>
      <c r="AA153" s="1"/>
      <c r="AB153" s="1"/>
      <c r="AC153" s="1"/>
    </row>
    <row r="154" spans="1:29" ht="14.25" customHeight="1" x14ac:dyDescent="0.2">
      <c r="A154" s="1"/>
      <c r="B154" s="1"/>
      <c r="C154" s="1"/>
      <c r="D154" s="1"/>
      <c r="E154" s="1"/>
      <c r="F154" s="1"/>
      <c r="G154" s="1"/>
      <c r="H154" s="1"/>
      <c r="I154" s="1"/>
      <c r="J154" s="1"/>
      <c r="K154" s="1"/>
      <c r="L154" s="1"/>
      <c r="M154" s="5"/>
      <c r="N154" s="5"/>
      <c r="O154" s="5"/>
      <c r="P154" s="5"/>
      <c r="Q154" s="1"/>
      <c r="R154" s="1"/>
      <c r="S154" s="1"/>
      <c r="T154" s="1"/>
      <c r="U154" s="1"/>
      <c r="V154" s="1"/>
      <c r="W154" s="1"/>
      <c r="X154" s="1"/>
      <c r="Y154" s="1"/>
      <c r="Z154" s="1"/>
      <c r="AA154" s="1"/>
      <c r="AB154" s="1"/>
      <c r="AC154" s="1"/>
    </row>
    <row r="155" spans="1:29" ht="14.25" customHeight="1" x14ac:dyDescent="0.2">
      <c r="A155" s="1"/>
      <c r="B155" s="1"/>
      <c r="C155" s="1"/>
      <c r="D155" s="1"/>
      <c r="E155" s="1"/>
      <c r="F155" s="1"/>
      <c r="G155" s="1"/>
      <c r="H155" s="1"/>
      <c r="I155" s="1"/>
      <c r="J155" s="1"/>
      <c r="K155" s="1"/>
      <c r="L155" s="1"/>
      <c r="M155" s="5"/>
      <c r="N155" s="5"/>
      <c r="O155" s="5"/>
      <c r="P155" s="5"/>
      <c r="Q155" s="1"/>
      <c r="R155" s="1"/>
      <c r="S155" s="1"/>
      <c r="T155" s="1"/>
      <c r="U155" s="1"/>
      <c r="V155" s="1"/>
      <c r="W155" s="1"/>
      <c r="X155" s="1"/>
      <c r="Y155" s="1"/>
      <c r="Z155" s="1"/>
      <c r="AA155" s="1"/>
      <c r="AB155" s="1"/>
      <c r="AC155" s="1"/>
    </row>
    <row r="156" spans="1:29" ht="14.25" customHeight="1" x14ac:dyDescent="0.2">
      <c r="A156" s="1"/>
      <c r="B156" s="1"/>
      <c r="C156" s="1"/>
      <c r="D156" s="1"/>
      <c r="E156" s="1"/>
      <c r="F156" s="1"/>
      <c r="G156" s="1"/>
      <c r="H156" s="1"/>
      <c r="I156" s="1"/>
      <c r="J156" s="1"/>
      <c r="K156" s="1"/>
      <c r="L156" s="1"/>
      <c r="M156" s="5"/>
      <c r="N156" s="5"/>
      <c r="O156" s="5"/>
      <c r="P156" s="5"/>
      <c r="Q156" s="1"/>
      <c r="R156" s="1"/>
      <c r="S156" s="1"/>
      <c r="T156" s="1"/>
      <c r="U156" s="1"/>
      <c r="V156" s="1"/>
      <c r="W156" s="1"/>
      <c r="X156" s="1"/>
      <c r="Y156" s="1"/>
      <c r="Z156" s="1"/>
      <c r="AA156" s="1"/>
      <c r="AB156" s="1"/>
      <c r="AC156" s="1"/>
    </row>
    <row r="157" spans="1:29" ht="14.25" customHeight="1" x14ac:dyDescent="0.2">
      <c r="A157" s="1"/>
      <c r="B157" s="1"/>
      <c r="C157" s="1"/>
      <c r="D157" s="1"/>
      <c r="E157" s="1"/>
      <c r="F157" s="1"/>
      <c r="G157" s="1"/>
      <c r="H157" s="1"/>
      <c r="I157" s="1"/>
      <c r="J157" s="1"/>
      <c r="K157" s="1"/>
      <c r="L157" s="1"/>
      <c r="M157" s="5"/>
      <c r="N157" s="5"/>
      <c r="O157" s="5"/>
      <c r="P157" s="5"/>
      <c r="Q157" s="1"/>
      <c r="R157" s="1"/>
      <c r="S157" s="1"/>
      <c r="T157" s="1"/>
      <c r="U157" s="1"/>
      <c r="V157" s="1"/>
      <c r="W157" s="1"/>
      <c r="X157" s="1"/>
      <c r="Y157" s="1"/>
      <c r="Z157" s="1"/>
      <c r="AA157" s="1"/>
      <c r="AB157" s="1"/>
      <c r="AC157" s="1"/>
    </row>
    <row r="158" spans="1:29" ht="14.25" customHeight="1" x14ac:dyDescent="0.2">
      <c r="A158" s="1"/>
      <c r="B158" s="1"/>
      <c r="C158" s="1"/>
      <c r="D158" s="1"/>
      <c r="E158" s="1"/>
      <c r="F158" s="1"/>
      <c r="G158" s="1"/>
      <c r="H158" s="1"/>
      <c r="I158" s="1"/>
      <c r="J158" s="1"/>
      <c r="K158" s="1"/>
      <c r="L158" s="1"/>
      <c r="M158" s="5"/>
      <c r="N158" s="5"/>
      <c r="O158" s="5"/>
      <c r="P158" s="5"/>
      <c r="Q158" s="1"/>
      <c r="R158" s="1"/>
      <c r="S158" s="1"/>
      <c r="T158" s="1"/>
      <c r="U158" s="1"/>
      <c r="V158" s="1"/>
      <c r="W158" s="1"/>
      <c r="X158" s="1"/>
      <c r="Y158" s="1"/>
      <c r="Z158" s="1"/>
      <c r="AA158" s="1"/>
      <c r="AB158" s="1"/>
      <c r="AC158" s="1"/>
    </row>
    <row r="159" spans="1:29" ht="14.25" customHeight="1" x14ac:dyDescent="0.2">
      <c r="A159" s="1"/>
      <c r="B159" s="1"/>
      <c r="C159" s="1"/>
      <c r="D159" s="1"/>
      <c r="E159" s="1"/>
      <c r="F159" s="1"/>
      <c r="G159" s="1"/>
      <c r="H159" s="1"/>
      <c r="I159" s="1"/>
      <c r="J159" s="1"/>
      <c r="K159" s="1"/>
      <c r="L159" s="1"/>
      <c r="M159" s="5"/>
      <c r="N159" s="5"/>
      <c r="O159" s="5"/>
      <c r="P159" s="5"/>
      <c r="Q159" s="1"/>
      <c r="R159" s="1"/>
      <c r="S159" s="1"/>
      <c r="T159" s="1"/>
      <c r="U159" s="1"/>
      <c r="V159" s="1"/>
      <c r="W159" s="1"/>
      <c r="X159" s="1"/>
      <c r="Y159" s="1"/>
      <c r="Z159" s="1"/>
      <c r="AA159" s="1"/>
      <c r="AB159" s="1"/>
      <c r="AC159" s="1"/>
    </row>
    <row r="160" spans="1:29" ht="14.25" customHeight="1" x14ac:dyDescent="0.2">
      <c r="A160" s="1"/>
      <c r="B160" s="1"/>
      <c r="C160" s="1"/>
      <c r="D160" s="1"/>
      <c r="E160" s="1"/>
      <c r="F160" s="1"/>
      <c r="G160" s="1"/>
      <c r="H160" s="1"/>
      <c r="I160" s="1"/>
      <c r="J160" s="1"/>
      <c r="K160" s="1"/>
      <c r="L160" s="1"/>
      <c r="M160" s="5"/>
      <c r="N160" s="5"/>
      <c r="O160" s="5"/>
      <c r="P160" s="5"/>
      <c r="Q160" s="1"/>
      <c r="R160" s="1"/>
      <c r="S160" s="1"/>
      <c r="T160" s="1"/>
      <c r="U160" s="1"/>
      <c r="V160" s="1"/>
      <c r="W160" s="1"/>
      <c r="X160" s="1"/>
      <c r="Y160" s="1"/>
      <c r="Z160" s="1"/>
      <c r="AA160" s="1"/>
      <c r="AB160" s="1"/>
      <c r="AC160" s="1"/>
    </row>
    <row r="161" spans="1:29" ht="14.25" customHeight="1" x14ac:dyDescent="0.2">
      <c r="A161" s="1"/>
      <c r="B161" s="1"/>
      <c r="C161" s="1"/>
      <c r="D161" s="1"/>
      <c r="E161" s="1"/>
      <c r="F161" s="1"/>
      <c r="G161" s="1"/>
      <c r="H161" s="1"/>
      <c r="I161" s="1"/>
      <c r="J161" s="1"/>
      <c r="K161" s="1"/>
      <c r="L161" s="1"/>
      <c r="M161" s="5"/>
      <c r="N161" s="5"/>
      <c r="O161" s="5"/>
      <c r="P161" s="5"/>
      <c r="Q161" s="1"/>
      <c r="R161" s="1"/>
      <c r="S161" s="1"/>
      <c r="T161" s="1"/>
      <c r="U161" s="1"/>
      <c r="V161" s="1"/>
      <c r="W161" s="1"/>
      <c r="X161" s="1"/>
      <c r="Y161" s="1"/>
      <c r="Z161" s="1"/>
      <c r="AA161" s="1"/>
      <c r="AB161" s="1"/>
      <c r="AC161" s="1"/>
    </row>
    <row r="162" spans="1:29" ht="14.25" customHeight="1" x14ac:dyDescent="0.2">
      <c r="A162" s="1"/>
      <c r="B162" s="1"/>
      <c r="C162" s="1"/>
      <c r="D162" s="1"/>
      <c r="E162" s="1"/>
      <c r="F162" s="1"/>
      <c r="G162" s="1"/>
      <c r="H162" s="1"/>
      <c r="I162" s="1"/>
      <c r="J162" s="1"/>
      <c r="K162" s="1"/>
      <c r="L162" s="1"/>
      <c r="M162" s="5"/>
      <c r="N162" s="5"/>
      <c r="O162" s="5"/>
      <c r="P162" s="5"/>
      <c r="Q162" s="1"/>
      <c r="R162" s="1"/>
      <c r="S162" s="1"/>
      <c r="T162" s="1"/>
      <c r="U162" s="1"/>
      <c r="V162" s="1"/>
      <c r="W162" s="1"/>
      <c r="X162" s="1"/>
      <c r="Y162" s="1"/>
      <c r="Z162" s="1"/>
      <c r="AA162" s="1"/>
      <c r="AB162" s="1"/>
      <c r="AC162" s="1"/>
    </row>
    <row r="163" spans="1:29" ht="14.25" customHeight="1" x14ac:dyDescent="0.2">
      <c r="A163" s="1"/>
      <c r="B163" s="1"/>
      <c r="C163" s="1"/>
      <c r="D163" s="1"/>
      <c r="E163" s="1"/>
      <c r="F163" s="1"/>
      <c r="G163" s="1"/>
      <c r="H163" s="1"/>
      <c r="I163" s="1"/>
      <c r="J163" s="1"/>
      <c r="K163" s="1"/>
      <c r="L163" s="1"/>
      <c r="M163" s="5"/>
      <c r="N163" s="5"/>
      <c r="O163" s="5"/>
      <c r="P163" s="5"/>
      <c r="Q163" s="1"/>
      <c r="R163" s="1"/>
      <c r="S163" s="1"/>
      <c r="T163" s="1"/>
      <c r="U163" s="1"/>
      <c r="V163" s="1"/>
      <c r="W163" s="1"/>
      <c r="X163" s="1"/>
      <c r="Y163" s="1"/>
      <c r="Z163" s="1"/>
      <c r="AA163" s="1"/>
      <c r="AB163" s="1"/>
      <c r="AC163" s="1"/>
    </row>
    <row r="164" spans="1:29" ht="14.25" customHeight="1" x14ac:dyDescent="0.2">
      <c r="A164" s="1"/>
      <c r="B164" s="1"/>
      <c r="C164" s="1"/>
      <c r="D164" s="1"/>
      <c r="E164" s="1"/>
      <c r="F164" s="1"/>
      <c r="G164" s="1"/>
      <c r="H164" s="1"/>
      <c r="I164" s="1"/>
      <c r="J164" s="1"/>
      <c r="K164" s="1"/>
      <c r="L164" s="1"/>
      <c r="M164" s="5"/>
      <c r="N164" s="5"/>
      <c r="O164" s="5"/>
      <c r="P164" s="5"/>
      <c r="Q164" s="1"/>
      <c r="R164" s="1"/>
      <c r="S164" s="1"/>
      <c r="T164" s="1"/>
      <c r="U164" s="1"/>
      <c r="V164" s="1"/>
      <c r="W164" s="1"/>
      <c r="X164" s="1"/>
      <c r="Y164" s="1"/>
      <c r="Z164" s="1"/>
      <c r="AA164" s="1"/>
      <c r="AB164" s="1"/>
      <c r="AC164" s="1"/>
    </row>
    <row r="165" spans="1:29" ht="14.25" customHeight="1" x14ac:dyDescent="0.2">
      <c r="A165" s="1"/>
      <c r="B165" s="1"/>
      <c r="C165" s="1"/>
      <c r="D165" s="1"/>
      <c r="E165" s="1"/>
      <c r="F165" s="1"/>
      <c r="G165" s="1"/>
      <c r="H165" s="1"/>
      <c r="I165" s="1"/>
      <c r="J165" s="1"/>
      <c r="K165" s="1"/>
      <c r="L165" s="1"/>
      <c r="M165" s="5"/>
      <c r="N165" s="5"/>
      <c r="O165" s="5"/>
      <c r="P165" s="5"/>
      <c r="Q165" s="1"/>
      <c r="R165" s="1"/>
      <c r="S165" s="1"/>
      <c r="T165" s="1"/>
      <c r="U165" s="1"/>
      <c r="V165" s="1"/>
      <c r="W165" s="1"/>
      <c r="X165" s="1"/>
      <c r="Y165" s="1"/>
      <c r="Z165" s="1"/>
      <c r="AA165" s="1"/>
      <c r="AB165" s="1"/>
      <c r="AC165" s="1"/>
    </row>
    <row r="166" spans="1:29" ht="14.25" customHeight="1" x14ac:dyDescent="0.2">
      <c r="A166" s="1"/>
      <c r="B166" s="1"/>
      <c r="C166" s="1"/>
      <c r="D166" s="1"/>
      <c r="E166" s="1"/>
      <c r="F166" s="1"/>
      <c r="G166" s="1"/>
      <c r="H166" s="1"/>
      <c r="I166" s="1"/>
      <c r="J166" s="1"/>
      <c r="K166" s="1"/>
      <c r="L166" s="1"/>
      <c r="M166" s="5"/>
      <c r="N166" s="5"/>
      <c r="O166" s="5"/>
      <c r="P166" s="5"/>
      <c r="Q166" s="1"/>
      <c r="R166" s="1"/>
      <c r="S166" s="1"/>
      <c r="T166" s="1"/>
      <c r="U166" s="1"/>
      <c r="V166" s="1"/>
      <c r="W166" s="1"/>
      <c r="X166" s="1"/>
      <c r="Y166" s="1"/>
      <c r="Z166" s="1"/>
      <c r="AA166" s="1"/>
      <c r="AB166" s="1"/>
      <c r="AC166" s="1"/>
    </row>
    <row r="167" spans="1:29" ht="14.25" customHeight="1" x14ac:dyDescent="0.2">
      <c r="A167" s="1"/>
      <c r="B167" s="1"/>
      <c r="C167" s="1"/>
      <c r="D167" s="1"/>
      <c r="E167" s="1"/>
      <c r="F167" s="1"/>
      <c r="G167" s="1"/>
      <c r="H167" s="1"/>
      <c r="I167" s="1"/>
      <c r="J167" s="1"/>
      <c r="K167" s="1"/>
      <c r="L167" s="1"/>
      <c r="M167" s="5"/>
      <c r="N167" s="5"/>
      <c r="O167" s="5"/>
      <c r="P167" s="5"/>
      <c r="Q167" s="1"/>
      <c r="R167" s="1"/>
      <c r="S167" s="1"/>
      <c r="T167" s="1"/>
      <c r="U167" s="1"/>
      <c r="V167" s="1"/>
      <c r="W167" s="1"/>
      <c r="X167" s="1"/>
      <c r="Y167" s="1"/>
      <c r="Z167" s="1"/>
      <c r="AA167" s="1"/>
      <c r="AB167" s="1"/>
      <c r="AC167" s="1"/>
    </row>
    <row r="168" spans="1:29" ht="14.25" customHeight="1" x14ac:dyDescent="0.2">
      <c r="A168" s="1"/>
      <c r="B168" s="1"/>
      <c r="C168" s="1"/>
      <c r="D168" s="1"/>
      <c r="E168" s="1"/>
      <c r="F168" s="1"/>
      <c r="G168" s="1"/>
      <c r="H168" s="1"/>
      <c r="I168" s="1"/>
      <c r="J168" s="1"/>
      <c r="K168" s="1"/>
      <c r="L168" s="1"/>
      <c r="M168" s="5"/>
      <c r="N168" s="5"/>
      <c r="O168" s="5"/>
      <c r="P168" s="5"/>
      <c r="Q168" s="1"/>
      <c r="R168" s="1"/>
      <c r="S168" s="1"/>
      <c r="T168" s="1"/>
      <c r="U168" s="1"/>
      <c r="V168" s="1"/>
      <c r="W168" s="1"/>
      <c r="X168" s="1"/>
      <c r="Y168" s="1"/>
      <c r="Z168" s="1"/>
      <c r="AA168" s="1"/>
      <c r="AB168" s="1"/>
      <c r="AC168" s="1"/>
    </row>
    <row r="169" spans="1:29" ht="14.25" customHeight="1" x14ac:dyDescent="0.2">
      <c r="A169" s="1"/>
      <c r="B169" s="1"/>
      <c r="C169" s="1"/>
      <c r="D169" s="1"/>
      <c r="E169" s="1"/>
      <c r="F169" s="1"/>
      <c r="G169" s="1"/>
      <c r="H169" s="1"/>
      <c r="I169" s="1"/>
      <c r="J169" s="1"/>
      <c r="K169" s="1"/>
      <c r="L169" s="1"/>
      <c r="M169" s="5"/>
      <c r="N169" s="5"/>
      <c r="O169" s="5"/>
      <c r="P169" s="5"/>
      <c r="Q169" s="1"/>
      <c r="R169" s="1"/>
      <c r="S169" s="1"/>
      <c r="T169" s="1"/>
      <c r="U169" s="1"/>
      <c r="V169" s="1"/>
      <c r="W169" s="1"/>
      <c r="X169" s="1"/>
      <c r="Y169" s="1"/>
      <c r="Z169" s="1"/>
      <c r="AA169" s="1"/>
      <c r="AB169" s="1"/>
      <c r="AC169" s="1"/>
    </row>
    <row r="170" spans="1:29" ht="14.25" customHeight="1" x14ac:dyDescent="0.2">
      <c r="A170" s="1"/>
      <c r="B170" s="1"/>
      <c r="C170" s="1"/>
      <c r="D170" s="1"/>
      <c r="E170" s="1"/>
      <c r="F170" s="1"/>
      <c r="G170" s="1"/>
      <c r="H170" s="1"/>
      <c r="I170" s="1"/>
      <c r="J170" s="1"/>
      <c r="K170" s="1"/>
      <c r="L170" s="1"/>
      <c r="M170" s="5"/>
      <c r="N170" s="5"/>
      <c r="O170" s="5"/>
      <c r="P170" s="5"/>
      <c r="Q170" s="1"/>
      <c r="R170" s="1"/>
      <c r="S170" s="1"/>
      <c r="T170" s="1"/>
      <c r="U170" s="1"/>
      <c r="V170" s="1"/>
      <c r="W170" s="1"/>
      <c r="X170" s="1"/>
      <c r="Y170" s="1"/>
      <c r="Z170" s="1"/>
      <c r="AA170" s="1"/>
      <c r="AB170" s="1"/>
      <c r="AC170" s="1"/>
    </row>
    <row r="171" spans="1:29" ht="14.25" customHeight="1" x14ac:dyDescent="0.2">
      <c r="A171" s="1"/>
      <c r="B171" s="1"/>
      <c r="C171" s="1"/>
      <c r="D171" s="1"/>
      <c r="E171" s="1"/>
      <c r="F171" s="1"/>
      <c r="G171" s="1"/>
      <c r="H171" s="1"/>
      <c r="I171" s="1"/>
      <c r="J171" s="1"/>
      <c r="K171" s="1"/>
      <c r="L171" s="1"/>
      <c r="M171" s="5"/>
      <c r="N171" s="5"/>
      <c r="O171" s="5"/>
      <c r="P171" s="5"/>
      <c r="Q171" s="1"/>
      <c r="R171" s="1"/>
      <c r="S171" s="1"/>
      <c r="T171" s="1"/>
      <c r="U171" s="1"/>
      <c r="V171" s="1"/>
      <c r="W171" s="1"/>
      <c r="X171" s="1"/>
      <c r="Y171" s="1"/>
      <c r="Z171" s="1"/>
      <c r="AA171" s="1"/>
      <c r="AB171" s="1"/>
      <c r="AC171" s="1"/>
    </row>
    <row r="172" spans="1:29" ht="14.25" customHeight="1" x14ac:dyDescent="0.2">
      <c r="A172" s="1"/>
      <c r="B172" s="1"/>
      <c r="C172" s="1"/>
      <c r="D172" s="1"/>
      <c r="E172" s="1"/>
      <c r="F172" s="1"/>
      <c r="G172" s="1"/>
      <c r="H172" s="1"/>
      <c r="I172" s="1"/>
      <c r="J172" s="1"/>
      <c r="K172" s="1"/>
      <c r="L172" s="1"/>
      <c r="M172" s="5"/>
      <c r="N172" s="5"/>
      <c r="O172" s="5"/>
      <c r="P172" s="5"/>
      <c r="Q172" s="1"/>
      <c r="R172" s="1"/>
      <c r="S172" s="1"/>
      <c r="T172" s="1"/>
      <c r="U172" s="1"/>
      <c r="V172" s="1"/>
      <c r="W172" s="1"/>
      <c r="X172" s="1"/>
      <c r="Y172" s="1"/>
      <c r="Z172" s="1"/>
      <c r="AA172" s="1"/>
      <c r="AB172" s="1"/>
      <c r="AC172" s="1"/>
    </row>
    <row r="173" spans="1:29" ht="14.25" customHeight="1" x14ac:dyDescent="0.2">
      <c r="A173" s="1"/>
      <c r="B173" s="1"/>
      <c r="C173" s="1"/>
      <c r="D173" s="1"/>
      <c r="E173" s="1"/>
      <c r="F173" s="1"/>
      <c r="G173" s="1"/>
      <c r="H173" s="1"/>
      <c r="I173" s="1"/>
      <c r="J173" s="1"/>
      <c r="K173" s="1"/>
      <c r="L173" s="1"/>
      <c r="M173" s="5"/>
      <c r="N173" s="5"/>
      <c r="O173" s="5"/>
      <c r="P173" s="5"/>
      <c r="Q173" s="1"/>
      <c r="R173" s="1"/>
      <c r="S173" s="1"/>
      <c r="T173" s="1"/>
      <c r="U173" s="1"/>
      <c r="V173" s="1"/>
      <c r="W173" s="1"/>
      <c r="X173" s="1"/>
      <c r="Y173" s="1"/>
      <c r="Z173" s="1"/>
      <c r="AA173" s="1"/>
      <c r="AB173" s="1"/>
      <c r="AC173" s="1"/>
    </row>
    <row r="174" spans="1:29" ht="14.25" customHeight="1" x14ac:dyDescent="0.2">
      <c r="A174" s="1"/>
      <c r="B174" s="1"/>
      <c r="C174" s="1"/>
      <c r="D174" s="1"/>
      <c r="E174" s="1"/>
      <c r="F174" s="1"/>
      <c r="G174" s="1"/>
      <c r="H174" s="1"/>
      <c r="I174" s="1"/>
      <c r="J174" s="1"/>
      <c r="K174" s="1"/>
      <c r="L174" s="1"/>
      <c r="M174" s="5"/>
      <c r="N174" s="5"/>
      <c r="O174" s="5"/>
      <c r="P174" s="5"/>
      <c r="Q174" s="1"/>
      <c r="R174" s="1"/>
      <c r="S174" s="1"/>
      <c r="T174" s="1"/>
      <c r="U174" s="1"/>
      <c r="V174" s="1"/>
      <c r="W174" s="1"/>
      <c r="X174" s="1"/>
      <c r="Y174" s="1"/>
      <c r="Z174" s="1"/>
      <c r="AA174" s="1"/>
      <c r="AB174" s="1"/>
      <c r="AC174" s="1"/>
    </row>
    <row r="175" spans="1:29" ht="14.25" customHeight="1" x14ac:dyDescent="0.2">
      <c r="A175" s="1"/>
      <c r="B175" s="1"/>
      <c r="C175" s="1"/>
      <c r="D175" s="1"/>
      <c r="E175" s="1"/>
      <c r="F175" s="1"/>
      <c r="G175" s="1"/>
      <c r="H175" s="1"/>
      <c r="I175" s="1"/>
      <c r="J175" s="1"/>
      <c r="K175" s="1"/>
      <c r="L175" s="1"/>
      <c r="M175" s="5"/>
      <c r="N175" s="5"/>
      <c r="O175" s="5"/>
      <c r="P175" s="5"/>
      <c r="Q175" s="1"/>
      <c r="R175" s="1"/>
      <c r="S175" s="1"/>
      <c r="T175" s="1"/>
      <c r="U175" s="1"/>
      <c r="V175" s="1"/>
      <c r="W175" s="1"/>
      <c r="X175" s="1"/>
      <c r="Y175" s="1"/>
      <c r="Z175" s="1"/>
      <c r="AA175" s="1"/>
      <c r="AB175" s="1"/>
      <c r="AC175" s="1"/>
    </row>
    <row r="176" spans="1:29" ht="14.25" customHeight="1" x14ac:dyDescent="0.2">
      <c r="A176" s="1"/>
      <c r="B176" s="1"/>
      <c r="C176" s="1"/>
      <c r="D176" s="1"/>
      <c r="E176" s="1"/>
      <c r="F176" s="1"/>
      <c r="G176" s="1"/>
      <c r="H176" s="1"/>
      <c r="I176" s="1"/>
      <c r="J176" s="1"/>
      <c r="K176" s="1"/>
      <c r="L176" s="1"/>
      <c r="M176" s="5"/>
      <c r="N176" s="5"/>
      <c r="O176" s="5"/>
      <c r="P176" s="5"/>
      <c r="Q176" s="1"/>
      <c r="R176" s="1"/>
      <c r="S176" s="1"/>
      <c r="T176" s="1"/>
      <c r="U176" s="1"/>
      <c r="V176" s="1"/>
      <c r="W176" s="1"/>
      <c r="X176" s="1"/>
      <c r="Y176" s="1"/>
      <c r="Z176" s="1"/>
      <c r="AA176" s="1"/>
      <c r="AB176" s="1"/>
      <c r="AC176" s="1"/>
    </row>
    <row r="177" spans="1:29" ht="14.25" customHeight="1" x14ac:dyDescent="0.2">
      <c r="A177" s="1"/>
      <c r="B177" s="1"/>
      <c r="C177" s="1"/>
      <c r="D177" s="1"/>
      <c r="E177" s="1"/>
      <c r="F177" s="1"/>
      <c r="G177" s="1"/>
      <c r="H177" s="1"/>
      <c r="I177" s="1"/>
      <c r="J177" s="1"/>
      <c r="K177" s="1"/>
      <c r="L177" s="1"/>
      <c r="M177" s="5"/>
      <c r="N177" s="5"/>
      <c r="O177" s="5"/>
      <c r="P177" s="5"/>
      <c r="Q177" s="1"/>
      <c r="R177" s="1"/>
      <c r="S177" s="1"/>
      <c r="T177" s="1"/>
      <c r="U177" s="1"/>
      <c r="V177" s="1"/>
      <c r="W177" s="1"/>
      <c r="X177" s="1"/>
      <c r="Y177" s="1"/>
      <c r="Z177" s="1"/>
      <c r="AA177" s="1"/>
      <c r="AB177" s="1"/>
      <c r="AC177" s="1"/>
    </row>
    <row r="178" spans="1:29" ht="14.25" customHeight="1" x14ac:dyDescent="0.2">
      <c r="A178" s="1"/>
      <c r="B178" s="1"/>
      <c r="C178" s="1"/>
      <c r="D178" s="1"/>
      <c r="E178" s="1"/>
      <c r="F178" s="1"/>
      <c r="G178" s="1"/>
      <c r="H178" s="1"/>
      <c r="I178" s="1"/>
      <c r="J178" s="1"/>
      <c r="K178" s="1"/>
      <c r="L178" s="1"/>
      <c r="M178" s="5"/>
      <c r="N178" s="5"/>
      <c r="O178" s="5"/>
      <c r="P178" s="5"/>
      <c r="Q178" s="1"/>
      <c r="R178" s="1"/>
      <c r="S178" s="1"/>
      <c r="T178" s="1"/>
      <c r="U178" s="1"/>
      <c r="V178" s="1"/>
      <c r="W178" s="1"/>
      <c r="X178" s="1"/>
      <c r="Y178" s="1"/>
      <c r="Z178" s="1"/>
      <c r="AA178" s="1"/>
      <c r="AB178" s="1"/>
      <c r="AC178" s="1"/>
    </row>
    <row r="179" spans="1:29" ht="14.25" customHeight="1" x14ac:dyDescent="0.2">
      <c r="A179" s="1"/>
      <c r="B179" s="1"/>
      <c r="C179" s="1"/>
      <c r="D179" s="1"/>
      <c r="E179" s="1"/>
      <c r="F179" s="1"/>
      <c r="G179" s="1"/>
      <c r="H179" s="1"/>
      <c r="I179" s="1"/>
      <c r="J179" s="1"/>
      <c r="K179" s="1"/>
      <c r="L179" s="1"/>
      <c r="M179" s="5"/>
      <c r="N179" s="5"/>
      <c r="O179" s="5"/>
      <c r="P179" s="5"/>
      <c r="Q179" s="1"/>
      <c r="R179" s="1"/>
      <c r="S179" s="1"/>
      <c r="T179" s="1"/>
      <c r="U179" s="1"/>
      <c r="V179" s="1"/>
      <c r="W179" s="1"/>
      <c r="X179" s="1"/>
      <c r="Y179" s="1"/>
      <c r="Z179" s="1"/>
      <c r="AA179" s="1"/>
      <c r="AB179" s="1"/>
      <c r="AC179" s="1"/>
    </row>
    <row r="180" spans="1:29" ht="14.25" customHeight="1" x14ac:dyDescent="0.2">
      <c r="A180" s="1"/>
      <c r="B180" s="1"/>
      <c r="C180" s="1"/>
      <c r="D180" s="1"/>
      <c r="E180" s="1"/>
      <c r="F180" s="1"/>
      <c r="G180" s="1"/>
      <c r="H180" s="1"/>
      <c r="I180" s="1"/>
      <c r="J180" s="1"/>
      <c r="K180" s="1"/>
      <c r="L180" s="1"/>
      <c r="M180" s="5"/>
      <c r="N180" s="5"/>
      <c r="O180" s="5"/>
      <c r="P180" s="5"/>
      <c r="Q180" s="1"/>
      <c r="R180" s="1"/>
      <c r="S180" s="1"/>
      <c r="T180" s="1"/>
      <c r="U180" s="1"/>
      <c r="V180" s="1"/>
      <c r="W180" s="1"/>
      <c r="X180" s="1"/>
      <c r="Y180" s="1"/>
      <c r="Z180" s="1"/>
      <c r="AA180" s="1"/>
      <c r="AB180" s="1"/>
      <c r="AC180" s="1"/>
    </row>
    <row r="181" spans="1:29" ht="14.25" customHeight="1" x14ac:dyDescent="0.2">
      <c r="A181" s="1"/>
      <c r="B181" s="1"/>
      <c r="C181" s="1"/>
      <c r="D181" s="1"/>
      <c r="E181" s="1"/>
      <c r="F181" s="1"/>
      <c r="G181" s="1"/>
      <c r="H181" s="1"/>
      <c r="I181" s="1"/>
      <c r="J181" s="1"/>
      <c r="K181" s="1"/>
      <c r="L181" s="1"/>
      <c r="M181" s="5"/>
      <c r="N181" s="5"/>
      <c r="O181" s="5"/>
      <c r="P181" s="5"/>
      <c r="Q181" s="1"/>
      <c r="R181" s="1"/>
      <c r="S181" s="1"/>
      <c r="T181" s="1"/>
      <c r="U181" s="1"/>
      <c r="V181" s="1"/>
      <c r="W181" s="1"/>
      <c r="X181" s="1"/>
      <c r="Y181" s="1"/>
      <c r="Z181" s="1"/>
      <c r="AA181" s="1"/>
      <c r="AB181" s="1"/>
      <c r="AC181" s="1"/>
    </row>
    <row r="182" spans="1:29" ht="14.25" customHeight="1" x14ac:dyDescent="0.2">
      <c r="A182" s="1"/>
      <c r="B182" s="1"/>
      <c r="C182" s="1"/>
      <c r="D182" s="1"/>
      <c r="E182" s="1"/>
      <c r="F182" s="1"/>
      <c r="G182" s="1"/>
      <c r="H182" s="1"/>
      <c r="I182" s="1"/>
      <c r="J182" s="1"/>
      <c r="K182" s="1"/>
      <c r="L182" s="1"/>
      <c r="M182" s="5"/>
      <c r="N182" s="5"/>
      <c r="O182" s="5"/>
      <c r="P182" s="5"/>
      <c r="Q182" s="1"/>
      <c r="R182" s="1"/>
      <c r="S182" s="1"/>
      <c r="T182" s="1"/>
      <c r="U182" s="1"/>
      <c r="V182" s="1"/>
      <c r="W182" s="1"/>
      <c r="X182" s="1"/>
      <c r="Y182" s="1"/>
      <c r="Z182" s="1"/>
      <c r="AA182" s="1"/>
      <c r="AB182" s="1"/>
      <c r="AC182" s="1"/>
    </row>
    <row r="183" spans="1:29" ht="14.25" customHeight="1" x14ac:dyDescent="0.2">
      <c r="A183" s="1"/>
      <c r="B183" s="1"/>
      <c r="C183" s="1"/>
      <c r="D183" s="1"/>
      <c r="E183" s="1"/>
      <c r="F183" s="1"/>
      <c r="G183" s="1"/>
      <c r="H183" s="1"/>
      <c r="I183" s="1"/>
      <c r="J183" s="1"/>
      <c r="K183" s="1"/>
      <c r="L183" s="1"/>
      <c r="M183" s="5"/>
      <c r="N183" s="5"/>
      <c r="O183" s="5"/>
      <c r="P183" s="5"/>
      <c r="Q183" s="1"/>
      <c r="R183" s="1"/>
      <c r="S183" s="1"/>
      <c r="T183" s="1"/>
      <c r="U183" s="1"/>
      <c r="V183" s="1"/>
      <c r="W183" s="1"/>
      <c r="X183" s="1"/>
      <c r="Y183" s="1"/>
      <c r="Z183" s="1"/>
      <c r="AA183" s="1"/>
      <c r="AB183" s="1"/>
      <c r="AC183" s="1"/>
    </row>
    <row r="184" spans="1:29" ht="14.25" customHeight="1" x14ac:dyDescent="0.2">
      <c r="A184" s="1"/>
      <c r="B184" s="1"/>
      <c r="C184" s="1"/>
      <c r="D184" s="1"/>
      <c r="E184" s="1"/>
      <c r="F184" s="1"/>
      <c r="G184" s="1"/>
      <c r="H184" s="1"/>
      <c r="I184" s="1"/>
      <c r="J184" s="1"/>
      <c r="K184" s="1"/>
      <c r="L184" s="1"/>
      <c r="M184" s="5"/>
      <c r="N184" s="5"/>
      <c r="O184" s="5"/>
      <c r="P184" s="5"/>
      <c r="Q184" s="1"/>
      <c r="R184" s="1"/>
      <c r="S184" s="1"/>
      <c r="T184" s="1"/>
      <c r="U184" s="1"/>
      <c r="V184" s="1"/>
      <c r="W184" s="1"/>
      <c r="X184" s="1"/>
      <c r="Y184" s="1"/>
      <c r="Z184" s="1"/>
      <c r="AA184" s="1"/>
      <c r="AB184" s="1"/>
      <c r="AC184" s="1"/>
    </row>
    <row r="185" spans="1:29" ht="14.25" customHeight="1" x14ac:dyDescent="0.2">
      <c r="A185" s="1"/>
      <c r="B185" s="1"/>
      <c r="C185" s="1"/>
      <c r="D185" s="1"/>
      <c r="E185" s="1"/>
      <c r="F185" s="1"/>
      <c r="G185" s="1"/>
      <c r="H185" s="1"/>
      <c r="I185" s="1"/>
      <c r="J185" s="1"/>
      <c r="K185" s="1"/>
      <c r="L185" s="1"/>
      <c r="M185" s="5"/>
      <c r="N185" s="5"/>
      <c r="O185" s="5"/>
      <c r="P185" s="5"/>
      <c r="Q185" s="1"/>
      <c r="R185" s="1"/>
      <c r="S185" s="1"/>
      <c r="T185" s="1"/>
      <c r="U185" s="1"/>
      <c r="V185" s="1"/>
      <c r="W185" s="1"/>
      <c r="X185" s="1"/>
      <c r="Y185" s="1"/>
      <c r="Z185" s="1"/>
      <c r="AA185" s="1"/>
      <c r="AB185" s="1"/>
      <c r="AC185" s="1"/>
    </row>
    <row r="186" spans="1:29" ht="14.25" customHeight="1" x14ac:dyDescent="0.2">
      <c r="A186" s="1"/>
      <c r="B186" s="1"/>
      <c r="C186" s="1"/>
      <c r="D186" s="1"/>
      <c r="E186" s="1"/>
      <c r="F186" s="1"/>
      <c r="G186" s="1"/>
      <c r="H186" s="1"/>
      <c r="I186" s="1"/>
      <c r="J186" s="1"/>
      <c r="K186" s="1"/>
      <c r="L186" s="1"/>
      <c r="M186" s="5"/>
      <c r="N186" s="5"/>
      <c r="O186" s="5"/>
      <c r="P186" s="5"/>
      <c r="Q186" s="1"/>
      <c r="R186" s="1"/>
      <c r="S186" s="1"/>
      <c r="T186" s="1"/>
      <c r="U186" s="1"/>
      <c r="V186" s="1"/>
      <c r="W186" s="1"/>
      <c r="X186" s="1"/>
      <c r="Y186" s="1"/>
      <c r="Z186" s="1"/>
      <c r="AA186" s="1"/>
      <c r="AB186" s="1"/>
      <c r="AC186" s="1"/>
    </row>
    <row r="187" spans="1:29" ht="14.25" customHeight="1" x14ac:dyDescent="0.2">
      <c r="A187" s="1"/>
      <c r="B187" s="1"/>
      <c r="C187" s="1"/>
      <c r="D187" s="1"/>
      <c r="E187" s="1"/>
      <c r="F187" s="1"/>
      <c r="G187" s="1"/>
      <c r="H187" s="1"/>
      <c r="I187" s="1"/>
      <c r="J187" s="1"/>
      <c r="K187" s="1"/>
      <c r="L187" s="1"/>
      <c r="M187" s="5"/>
      <c r="N187" s="5"/>
      <c r="O187" s="5"/>
      <c r="P187" s="5"/>
      <c r="Q187" s="1"/>
      <c r="R187" s="1"/>
      <c r="S187" s="1"/>
      <c r="T187" s="1"/>
      <c r="U187" s="1"/>
      <c r="V187" s="1"/>
      <c r="W187" s="1"/>
      <c r="X187" s="1"/>
      <c r="Y187" s="1"/>
      <c r="Z187" s="1"/>
      <c r="AA187" s="1"/>
      <c r="AB187" s="1"/>
      <c r="AC187" s="1"/>
    </row>
    <row r="188" spans="1:29" ht="14.25" customHeight="1" x14ac:dyDescent="0.2">
      <c r="A188" s="1"/>
      <c r="B188" s="1"/>
      <c r="C188" s="1"/>
      <c r="D188" s="1"/>
      <c r="E188" s="1"/>
      <c r="F188" s="1"/>
      <c r="G188" s="1"/>
      <c r="H188" s="1"/>
      <c r="I188" s="1"/>
      <c r="J188" s="1"/>
      <c r="K188" s="1"/>
      <c r="L188" s="1"/>
      <c r="M188" s="5"/>
      <c r="N188" s="5"/>
      <c r="O188" s="5"/>
      <c r="P188" s="5"/>
      <c r="Q188" s="1"/>
      <c r="R188" s="1"/>
      <c r="S188" s="1"/>
      <c r="T188" s="1"/>
      <c r="U188" s="1"/>
      <c r="V188" s="1"/>
      <c r="W188" s="1"/>
      <c r="X188" s="1"/>
      <c r="Y188" s="1"/>
      <c r="Z188" s="1"/>
      <c r="AA188" s="1"/>
      <c r="AB188" s="1"/>
      <c r="AC188" s="1"/>
    </row>
    <row r="189" spans="1:29" ht="14.25" customHeight="1" x14ac:dyDescent="0.2">
      <c r="A189" s="1"/>
      <c r="B189" s="1"/>
      <c r="C189" s="1"/>
      <c r="D189" s="1"/>
      <c r="E189" s="1"/>
      <c r="F189" s="1"/>
      <c r="G189" s="1"/>
      <c r="H189" s="1"/>
      <c r="I189" s="1"/>
      <c r="J189" s="1"/>
      <c r="K189" s="1"/>
      <c r="L189" s="1"/>
      <c r="M189" s="5"/>
      <c r="N189" s="5"/>
      <c r="O189" s="5"/>
      <c r="P189" s="5"/>
      <c r="Q189" s="1"/>
      <c r="R189" s="1"/>
      <c r="S189" s="1"/>
      <c r="T189" s="1"/>
      <c r="U189" s="1"/>
      <c r="V189" s="1"/>
      <c r="W189" s="1"/>
      <c r="X189" s="1"/>
      <c r="Y189" s="1"/>
      <c r="Z189" s="1"/>
      <c r="AA189" s="1"/>
      <c r="AB189" s="1"/>
      <c r="AC189" s="1"/>
    </row>
    <row r="190" spans="1:29" ht="14.25" customHeight="1" x14ac:dyDescent="0.2">
      <c r="A190" s="1"/>
      <c r="B190" s="1"/>
      <c r="C190" s="1"/>
      <c r="D190" s="1"/>
      <c r="E190" s="1"/>
      <c r="F190" s="1"/>
      <c r="G190" s="1"/>
      <c r="H190" s="1"/>
      <c r="I190" s="1"/>
      <c r="J190" s="1"/>
      <c r="K190" s="1"/>
      <c r="L190" s="1"/>
      <c r="M190" s="5"/>
      <c r="N190" s="5"/>
      <c r="O190" s="5"/>
      <c r="P190" s="5"/>
      <c r="Q190" s="1"/>
      <c r="R190" s="1"/>
      <c r="S190" s="1"/>
      <c r="T190" s="1"/>
      <c r="U190" s="1"/>
      <c r="V190" s="1"/>
      <c r="W190" s="1"/>
      <c r="X190" s="1"/>
      <c r="Y190" s="1"/>
      <c r="Z190" s="1"/>
      <c r="AA190" s="1"/>
      <c r="AB190" s="1"/>
      <c r="AC190" s="1"/>
    </row>
    <row r="191" spans="1:29" ht="14.25" customHeight="1" x14ac:dyDescent="0.2">
      <c r="A191" s="1"/>
      <c r="B191" s="1"/>
      <c r="C191" s="1"/>
      <c r="D191" s="1"/>
      <c r="E191" s="1"/>
      <c r="F191" s="1"/>
      <c r="G191" s="1"/>
      <c r="H191" s="1"/>
      <c r="I191" s="1"/>
      <c r="J191" s="1"/>
      <c r="K191" s="1"/>
      <c r="L191" s="1"/>
      <c r="M191" s="5"/>
      <c r="N191" s="5"/>
      <c r="O191" s="5"/>
      <c r="P191" s="5"/>
      <c r="Q191" s="1"/>
      <c r="R191" s="1"/>
      <c r="S191" s="1"/>
      <c r="T191" s="1"/>
      <c r="U191" s="1"/>
      <c r="V191" s="1"/>
      <c r="W191" s="1"/>
      <c r="X191" s="1"/>
      <c r="Y191" s="1"/>
      <c r="Z191" s="1"/>
      <c r="AA191" s="1"/>
      <c r="AB191" s="1"/>
      <c r="AC191" s="1"/>
    </row>
    <row r="192" spans="1:29" ht="14.25" customHeight="1" x14ac:dyDescent="0.2">
      <c r="A192" s="1"/>
      <c r="B192" s="1"/>
      <c r="C192" s="1"/>
      <c r="D192" s="1"/>
      <c r="E192" s="1"/>
      <c r="F192" s="1"/>
      <c r="G192" s="1"/>
      <c r="H192" s="1"/>
      <c r="I192" s="1"/>
      <c r="J192" s="1"/>
      <c r="K192" s="1"/>
      <c r="L192" s="1"/>
      <c r="M192" s="5"/>
      <c r="N192" s="5"/>
      <c r="O192" s="5"/>
      <c r="P192" s="5"/>
      <c r="Q192" s="1"/>
      <c r="R192" s="1"/>
      <c r="S192" s="1"/>
      <c r="T192" s="1"/>
      <c r="U192" s="1"/>
      <c r="V192" s="1"/>
      <c r="W192" s="1"/>
      <c r="X192" s="1"/>
      <c r="Y192" s="1"/>
      <c r="Z192" s="1"/>
      <c r="AA192" s="1"/>
      <c r="AB192" s="1"/>
      <c r="AC192" s="1"/>
    </row>
    <row r="193" spans="1:29" ht="14.25" customHeight="1" x14ac:dyDescent="0.2">
      <c r="A193" s="1"/>
      <c r="B193" s="1"/>
      <c r="C193" s="1"/>
      <c r="D193" s="1"/>
      <c r="E193" s="1"/>
      <c r="F193" s="1"/>
      <c r="G193" s="1"/>
      <c r="H193" s="1"/>
      <c r="I193" s="1"/>
      <c r="J193" s="1"/>
      <c r="K193" s="1"/>
      <c r="L193" s="1"/>
      <c r="M193" s="5"/>
      <c r="N193" s="5"/>
      <c r="O193" s="5"/>
      <c r="P193" s="5"/>
      <c r="Q193" s="1"/>
      <c r="R193" s="1"/>
      <c r="S193" s="1"/>
      <c r="T193" s="1"/>
      <c r="U193" s="1"/>
      <c r="V193" s="1"/>
      <c r="W193" s="1"/>
      <c r="X193" s="1"/>
      <c r="Y193" s="1"/>
      <c r="Z193" s="1"/>
      <c r="AA193" s="1"/>
      <c r="AB193" s="1"/>
      <c r="AC193" s="1"/>
    </row>
    <row r="194" spans="1:29" ht="14.25" customHeight="1" x14ac:dyDescent="0.2">
      <c r="A194" s="1"/>
      <c r="B194" s="1"/>
      <c r="C194" s="1"/>
      <c r="D194" s="1"/>
      <c r="E194" s="1"/>
      <c r="F194" s="1"/>
      <c r="G194" s="1"/>
      <c r="H194" s="1"/>
      <c r="I194" s="1"/>
      <c r="J194" s="1"/>
      <c r="K194" s="1"/>
      <c r="L194" s="1"/>
      <c r="M194" s="5"/>
      <c r="N194" s="5"/>
      <c r="O194" s="5"/>
      <c r="P194" s="5"/>
      <c r="Q194" s="1"/>
      <c r="R194" s="1"/>
      <c r="S194" s="1"/>
      <c r="T194" s="1"/>
      <c r="U194" s="1"/>
      <c r="V194" s="1"/>
      <c r="W194" s="1"/>
      <c r="X194" s="1"/>
      <c r="Y194" s="1"/>
      <c r="Z194" s="1"/>
      <c r="AA194" s="1"/>
      <c r="AB194" s="1"/>
      <c r="AC194" s="1"/>
    </row>
    <row r="195" spans="1:29" ht="14.25" customHeight="1" x14ac:dyDescent="0.2">
      <c r="A195" s="1"/>
      <c r="B195" s="1"/>
      <c r="C195" s="1"/>
      <c r="D195" s="1"/>
      <c r="E195" s="1"/>
      <c r="F195" s="1"/>
      <c r="G195" s="1"/>
      <c r="H195" s="1"/>
      <c r="I195" s="1"/>
      <c r="J195" s="1"/>
      <c r="K195" s="1"/>
      <c r="L195" s="1"/>
      <c r="M195" s="5"/>
      <c r="N195" s="5"/>
      <c r="O195" s="5"/>
      <c r="P195" s="5"/>
      <c r="Q195" s="1"/>
      <c r="R195" s="1"/>
      <c r="S195" s="1"/>
      <c r="T195" s="1"/>
      <c r="U195" s="1"/>
      <c r="V195" s="1"/>
      <c r="W195" s="1"/>
      <c r="X195" s="1"/>
      <c r="Y195" s="1"/>
      <c r="Z195" s="1"/>
      <c r="AA195" s="1"/>
      <c r="AB195" s="1"/>
      <c r="AC195" s="1"/>
    </row>
    <row r="196" spans="1:29" ht="14.25" customHeight="1" x14ac:dyDescent="0.2">
      <c r="A196" s="1"/>
      <c r="B196" s="1"/>
      <c r="C196" s="1"/>
      <c r="D196" s="1"/>
      <c r="E196" s="1"/>
      <c r="F196" s="1"/>
      <c r="G196" s="1"/>
      <c r="H196" s="1"/>
      <c r="I196" s="1"/>
      <c r="J196" s="1"/>
      <c r="K196" s="1"/>
      <c r="L196" s="1"/>
      <c r="M196" s="5"/>
      <c r="N196" s="5"/>
      <c r="O196" s="5"/>
      <c r="P196" s="5"/>
      <c r="Q196" s="1"/>
      <c r="R196" s="1"/>
      <c r="S196" s="1"/>
      <c r="T196" s="1"/>
      <c r="U196" s="1"/>
      <c r="V196" s="1"/>
      <c r="W196" s="1"/>
      <c r="X196" s="1"/>
      <c r="Y196" s="1"/>
      <c r="Z196" s="1"/>
      <c r="AA196" s="1"/>
      <c r="AB196" s="1"/>
      <c r="AC196" s="1"/>
    </row>
    <row r="197" spans="1:29" ht="14.25" customHeight="1" x14ac:dyDescent="0.2">
      <c r="A197" s="1"/>
      <c r="B197" s="1"/>
      <c r="C197" s="1"/>
      <c r="D197" s="1"/>
      <c r="E197" s="1"/>
      <c r="F197" s="1"/>
      <c r="G197" s="1"/>
      <c r="H197" s="1"/>
      <c r="I197" s="1"/>
      <c r="J197" s="1"/>
      <c r="K197" s="1"/>
      <c r="L197" s="1"/>
      <c r="M197" s="5"/>
      <c r="N197" s="5"/>
      <c r="O197" s="5"/>
      <c r="P197" s="5"/>
      <c r="Q197" s="1"/>
      <c r="R197" s="1"/>
      <c r="S197" s="1"/>
      <c r="T197" s="1"/>
      <c r="U197" s="1"/>
      <c r="V197" s="1"/>
      <c r="W197" s="1"/>
      <c r="X197" s="1"/>
      <c r="Y197" s="1"/>
      <c r="Z197" s="1"/>
      <c r="AA197" s="1"/>
      <c r="AB197" s="1"/>
      <c r="AC197" s="1"/>
    </row>
    <row r="198" spans="1:29" ht="14.25" customHeight="1" x14ac:dyDescent="0.2">
      <c r="A198" s="1"/>
      <c r="B198" s="1"/>
      <c r="C198" s="1"/>
      <c r="D198" s="1"/>
      <c r="E198" s="1"/>
      <c r="F198" s="1"/>
      <c r="G198" s="1"/>
      <c r="H198" s="1"/>
      <c r="I198" s="1"/>
      <c r="J198" s="1"/>
      <c r="K198" s="1"/>
      <c r="L198" s="1"/>
      <c r="M198" s="5"/>
      <c r="N198" s="5"/>
      <c r="O198" s="5"/>
      <c r="P198" s="5"/>
      <c r="Q198" s="1"/>
      <c r="R198" s="1"/>
      <c r="S198" s="1"/>
      <c r="T198" s="1"/>
      <c r="U198" s="1"/>
      <c r="V198" s="1"/>
      <c r="W198" s="1"/>
      <c r="X198" s="1"/>
      <c r="Y198" s="1"/>
      <c r="Z198" s="1"/>
      <c r="AA198" s="1"/>
      <c r="AB198" s="1"/>
      <c r="AC198" s="1"/>
    </row>
    <row r="199" spans="1:29" ht="14.25" customHeight="1" x14ac:dyDescent="0.2">
      <c r="A199" s="1"/>
      <c r="B199" s="1"/>
      <c r="C199" s="1"/>
      <c r="D199" s="1"/>
      <c r="E199" s="1"/>
      <c r="F199" s="1"/>
      <c r="G199" s="1"/>
      <c r="H199" s="1"/>
      <c r="I199" s="1"/>
      <c r="J199" s="1"/>
      <c r="K199" s="1"/>
      <c r="L199" s="1"/>
      <c r="M199" s="5"/>
      <c r="N199" s="5"/>
      <c r="O199" s="5"/>
      <c r="P199" s="5"/>
      <c r="Q199" s="1"/>
      <c r="R199" s="1"/>
      <c r="S199" s="1"/>
      <c r="T199" s="1"/>
      <c r="U199" s="1"/>
      <c r="V199" s="1"/>
      <c r="W199" s="1"/>
      <c r="X199" s="1"/>
      <c r="Y199" s="1"/>
      <c r="Z199" s="1"/>
      <c r="AA199" s="1"/>
      <c r="AB199" s="1"/>
      <c r="AC199" s="1"/>
    </row>
    <row r="200" spans="1:29" ht="14.25" customHeight="1" x14ac:dyDescent="0.2">
      <c r="A200" s="1"/>
      <c r="B200" s="1"/>
      <c r="C200" s="1"/>
      <c r="D200" s="1"/>
      <c r="E200" s="1"/>
      <c r="F200" s="1"/>
      <c r="G200" s="1"/>
      <c r="H200" s="1"/>
      <c r="I200" s="1"/>
      <c r="J200" s="1"/>
      <c r="K200" s="1"/>
      <c r="L200" s="1"/>
      <c r="M200" s="5"/>
      <c r="N200" s="5"/>
      <c r="O200" s="5"/>
      <c r="P200" s="5"/>
      <c r="Q200" s="1"/>
      <c r="R200" s="1"/>
      <c r="S200" s="1"/>
      <c r="T200" s="1"/>
      <c r="U200" s="1"/>
      <c r="V200" s="1"/>
      <c r="W200" s="1"/>
      <c r="X200" s="1"/>
      <c r="Y200" s="1"/>
      <c r="Z200" s="1"/>
      <c r="AA200" s="1"/>
      <c r="AB200" s="1"/>
      <c r="AC200" s="1"/>
    </row>
    <row r="201" spans="1:29" ht="14.25" customHeight="1" x14ac:dyDescent="0.2">
      <c r="A201" s="1"/>
      <c r="B201" s="1"/>
      <c r="C201" s="1"/>
      <c r="D201" s="1"/>
      <c r="E201" s="1"/>
      <c r="F201" s="1"/>
      <c r="G201" s="1"/>
      <c r="H201" s="1"/>
      <c r="I201" s="1"/>
      <c r="J201" s="1"/>
      <c r="K201" s="1"/>
      <c r="L201" s="1"/>
      <c r="M201" s="5"/>
      <c r="N201" s="5"/>
      <c r="O201" s="5"/>
      <c r="P201" s="5"/>
      <c r="Q201" s="1"/>
      <c r="R201" s="1"/>
      <c r="S201" s="1"/>
      <c r="T201" s="1"/>
      <c r="U201" s="1"/>
      <c r="V201" s="1"/>
      <c r="W201" s="1"/>
      <c r="X201" s="1"/>
      <c r="Y201" s="1"/>
      <c r="Z201" s="1"/>
      <c r="AA201" s="1"/>
      <c r="AB201" s="1"/>
      <c r="AC201" s="1"/>
    </row>
    <row r="202" spans="1:29" ht="14.25" customHeight="1" x14ac:dyDescent="0.2">
      <c r="A202" s="1"/>
      <c r="B202" s="1"/>
      <c r="C202" s="1"/>
      <c r="D202" s="1"/>
      <c r="E202" s="1"/>
      <c r="F202" s="1"/>
      <c r="G202" s="1"/>
      <c r="H202" s="1"/>
      <c r="I202" s="1"/>
      <c r="J202" s="1"/>
      <c r="K202" s="1"/>
      <c r="L202" s="1"/>
      <c r="M202" s="5"/>
      <c r="N202" s="5"/>
      <c r="O202" s="5"/>
      <c r="P202" s="5"/>
      <c r="Q202" s="1"/>
      <c r="R202" s="1"/>
      <c r="S202" s="1"/>
      <c r="T202" s="1"/>
      <c r="U202" s="1"/>
      <c r="V202" s="1"/>
      <c r="W202" s="1"/>
      <c r="X202" s="1"/>
      <c r="Y202" s="1"/>
      <c r="Z202" s="1"/>
      <c r="AA202" s="1"/>
      <c r="AB202" s="1"/>
      <c r="AC202" s="1"/>
    </row>
    <row r="203" spans="1:29" ht="14.25" customHeight="1" x14ac:dyDescent="0.2">
      <c r="A203" s="1"/>
      <c r="B203" s="1"/>
      <c r="C203" s="1"/>
      <c r="D203" s="1"/>
      <c r="E203" s="1"/>
      <c r="F203" s="1"/>
      <c r="G203" s="1"/>
      <c r="H203" s="1"/>
      <c r="I203" s="1"/>
      <c r="J203" s="1"/>
      <c r="K203" s="1"/>
      <c r="L203" s="1"/>
      <c r="M203" s="5"/>
      <c r="N203" s="5"/>
      <c r="O203" s="5"/>
      <c r="P203" s="5"/>
      <c r="Q203" s="1"/>
      <c r="R203" s="1"/>
      <c r="S203" s="1"/>
      <c r="T203" s="1"/>
      <c r="U203" s="1"/>
      <c r="V203" s="1"/>
      <c r="W203" s="1"/>
      <c r="X203" s="1"/>
      <c r="Y203" s="1"/>
      <c r="Z203" s="1"/>
      <c r="AA203" s="1"/>
      <c r="AB203" s="1"/>
      <c r="AC203" s="1"/>
    </row>
    <row r="204" spans="1:29" ht="14.25" customHeight="1" x14ac:dyDescent="0.2">
      <c r="A204" s="1"/>
      <c r="B204" s="1"/>
      <c r="C204" s="1"/>
      <c r="D204" s="1"/>
      <c r="E204" s="1"/>
      <c r="F204" s="1"/>
      <c r="G204" s="1"/>
      <c r="H204" s="1"/>
      <c r="I204" s="1"/>
      <c r="J204" s="1"/>
      <c r="K204" s="1"/>
      <c r="L204" s="1"/>
      <c r="M204" s="5"/>
      <c r="N204" s="5"/>
      <c r="O204" s="5"/>
      <c r="P204" s="5"/>
      <c r="Q204" s="1"/>
      <c r="R204" s="1"/>
      <c r="S204" s="1"/>
      <c r="T204" s="1"/>
      <c r="U204" s="1"/>
      <c r="V204" s="1"/>
      <c r="W204" s="1"/>
      <c r="X204" s="1"/>
      <c r="Y204" s="1"/>
      <c r="Z204" s="1"/>
      <c r="AA204" s="1"/>
      <c r="AB204" s="1"/>
      <c r="AC204" s="1"/>
    </row>
    <row r="205" spans="1:29" ht="14.25" customHeight="1" x14ac:dyDescent="0.2">
      <c r="A205" s="1"/>
      <c r="B205" s="1"/>
      <c r="C205" s="1"/>
      <c r="D205" s="1"/>
      <c r="E205" s="1"/>
      <c r="F205" s="1"/>
      <c r="G205" s="1"/>
      <c r="H205" s="1"/>
      <c r="I205" s="1"/>
      <c r="J205" s="1"/>
      <c r="K205" s="1"/>
      <c r="L205" s="1"/>
      <c r="M205" s="5"/>
      <c r="N205" s="5"/>
      <c r="O205" s="5"/>
      <c r="P205" s="5"/>
      <c r="Q205" s="1"/>
      <c r="R205" s="1"/>
      <c r="S205" s="1"/>
      <c r="T205" s="1"/>
      <c r="U205" s="1"/>
      <c r="V205" s="1"/>
      <c r="W205" s="1"/>
      <c r="X205" s="1"/>
      <c r="Y205" s="1"/>
      <c r="Z205" s="1"/>
      <c r="AA205" s="1"/>
      <c r="AB205" s="1"/>
      <c r="AC205" s="1"/>
    </row>
    <row r="206" spans="1:29" ht="14.25" customHeight="1" x14ac:dyDescent="0.2">
      <c r="A206" s="1"/>
      <c r="B206" s="1"/>
      <c r="C206" s="1"/>
      <c r="D206" s="1"/>
      <c r="E206" s="1"/>
      <c r="F206" s="1"/>
      <c r="G206" s="1"/>
      <c r="H206" s="1"/>
      <c r="I206" s="1"/>
      <c r="J206" s="1"/>
      <c r="K206" s="1"/>
      <c r="L206" s="1"/>
      <c r="M206" s="5"/>
      <c r="N206" s="5"/>
      <c r="O206" s="5"/>
      <c r="P206" s="5"/>
      <c r="Q206" s="1"/>
      <c r="R206" s="1"/>
      <c r="S206" s="1"/>
      <c r="T206" s="1"/>
      <c r="U206" s="1"/>
      <c r="V206" s="1"/>
      <c r="W206" s="1"/>
      <c r="X206" s="1"/>
      <c r="Y206" s="1"/>
      <c r="Z206" s="1"/>
      <c r="AA206" s="1"/>
      <c r="AB206" s="1"/>
      <c r="AC206" s="1"/>
    </row>
    <row r="207" spans="1:29" ht="14.25" customHeight="1" x14ac:dyDescent="0.2">
      <c r="A207" s="1"/>
      <c r="B207" s="1"/>
      <c r="C207" s="1"/>
      <c r="D207" s="1"/>
      <c r="E207" s="1"/>
      <c r="F207" s="1"/>
      <c r="G207" s="1"/>
      <c r="H207" s="1"/>
      <c r="I207" s="1"/>
      <c r="J207" s="1"/>
      <c r="K207" s="1"/>
      <c r="L207" s="1"/>
      <c r="M207" s="5"/>
      <c r="N207" s="5"/>
      <c r="O207" s="5"/>
      <c r="P207" s="5"/>
      <c r="Q207" s="1"/>
      <c r="R207" s="1"/>
      <c r="S207" s="1"/>
      <c r="T207" s="1"/>
      <c r="U207" s="1"/>
      <c r="V207" s="1"/>
      <c r="W207" s="1"/>
      <c r="X207" s="1"/>
      <c r="Y207" s="1"/>
      <c r="Z207" s="1"/>
      <c r="AA207" s="1"/>
      <c r="AB207" s="1"/>
      <c r="AC207" s="1"/>
    </row>
    <row r="208" spans="1:29" ht="14.25" customHeight="1" x14ac:dyDescent="0.2">
      <c r="A208" s="1"/>
      <c r="B208" s="1"/>
      <c r="C208" s="1"/>
      <c r="D208" s="1"/>
      <c r="E208" s="1"/>
      <c r="F208" s="1"/>
      <c r="G208" s="1"/>
      <c r="H208" s="1"/>
      <c r="I208" s="1"/>
      <c r="J208" s="1"/>
      <c r="K208" s="1"/>
      <c r="L208" s="1"/>
      <c r="M208" s="5"/>
      <c r="N208" s="5"/>
      <c r="O208" s="5"/>
      <c r="P208" s="5"/>
      <c r="Q208" s="1"/>
      <c r="R208" s="1"/>
      <c r="S208" s="1"/>
      <c r="T208" s="1"/>
      <c r="U208" s="1"/>
      <c r="V208" s="1"/>
      <c r="W208" s="1"/>
      <c r="X208" s="1"/>
      <c r="Y208" s="1"/>
      <c r="Z208" s="1"/>
      <c r="AA208" s="1"/>
      <c r="AB208" s="1"/>
      <c r="AC208" s="1"/>
    </row>
    <row r="209" spans="1:29" ht="14.25" customHeight="1" x14ac:dyDescent="0.2">
      <c r="A209" s="1"/>
      <c r="B209" s="1"/>
      <c r="C209" s="1"/>
      <c r="D209" s="1"/>
      <c r="E209" s="1"/>
      <c r="F209" s="1"/>
      <c r="G209" s="1"/>
      <c r="H209" s="1"/>
      <c r="I209" s="1"/>
      <c r="J209" s="1"/>
      <c r="K209" s="1"/>
      <c r="L209" s="1"/>
      <c r="M209" s="5"/>
      <c r="N209" s="5"/>
      <c r="O209" s="5"/>
      <c r="P209" s="5"/>
      <c r="Q209" s="1"/>
      <c r="R209" s="1"/>
      <c r="S209" s="1"/>
      <c r="T209" s="1"/>
      <c r="U209" s="1"/>
      <c r="V209" s="1"/>
      <c r="W209" s="1"/>
      <c r="X209" s="1"/>
      <c r="Y209" s="1"/>
      <c r="Z209" s="1"/>
      <c r="AA209" s="1"/>
      <c r="AB209" s="1"/>
      <c r="AC209" s="1"/>
    </row>
    <row r="210" spans="1:29" ht="14.25" customHeight="1" x14ac:dyDescent="0.2">
      <c r="A210" s="1"/>
      <c r="B210" s="1"/>
      <c r="C210" s="1"/>
      <c r="D210" s="1"/>
      <c r="E210" s="1"/>
      <c r="F210" s="1"/>
      <c r="G210" s="1"/>
      <c r="H210" s="1"/>
      <c r="I210" s="1"/>
      <c r="J210" s="1"/>
      <c r="K210" s="1"/>
      <c r="L210" s="1"/>
      <c r="M210" s="5"/>
      <c r="N210" s="5"/>
      <c r="O210" s="5"/>
      <c r="P210" s="5"/>
      <c r="Q210" s="1"/>
      <c r="R210" s="1"/>
      <c r="S210" s="1"/>
      <c r="T210" s="1"/>
      <c r="U210" s="1"/>
      <c r="V210" s="1"/>
      <c r="W210" s="1"/>
      <c r="X210" s="1"/>
      <c r="Y210" s="1"/>
      <c r="Z210" s="1"/>
      <c r="AA210" s="1"/>
      <c r="AB210" s="1"/>
      <c r="AC210" s="1"/>
    </row>
    <row r="211" spans="1:29" ht="14.25" customHeight="1" x14ac:dyDescent="0.2">
      <c r="A211" s="1"/>
      <c r="B211" s="1"/>
      <c r="C211" s="1"/>
      <c r="D211" s="1"/>
      <c r="E211" s="1"/>
      <c r="F211" s="1"/>
      <c r="G211" s="1"/>
      <c r="H211" s="1"/>
      <c r="I211" s="1"/>
      <c r="J211" s="1"/>
      <c r="K211" s="1"/>
      <c r="L211" s="1"/>
      <c r="M211" s="5"/>
      <c r="N211" s="5"/>
      <c r="O211" s="5"/>
      <c r="P211" s="5"/>
      <c r="Q211" s="1"/>
      <c r="R211" s="1"/>
      <c r="S211" s="1"/>
      <c r="T211" s="1"/>
      <c r="U211" s="1"/>
      <c r="V211" s="1"/>
      <c r="W211" s="1"/>
      <c r="X211" s="1"/>
      <c r="Y211" s="1"/>
      <c r="Z211" s="1"/>
      <c r="AA211" s="1"/>
      <c r="AB211" s="1"/>
      <c r="AC211" s="1"/>
    </row>
    <row r="212" spans="1:29" ht="14.25" customHeight="1" x14ac:dyDescent="0.2">
      <c r="A212" s="1"/>
      <c r="B212" s="1"/>
      <c r="C212" s="1"/>
      <c r="D212" s="1"/>
      <c r="E212" s="1"/>
      <c r="F212" s="1"/>
      <c r="G212" s="1"/>
      <c r="H212" s="1"/>
      <c r="I212" s="1"/>
      <c r="J212" s="1"/>
      <c r="K212" s="1"/>
      <c r="L212" s="1"/>
      <c r="M212" s="5"/>
      <c r="N212" s="5"/>
      <c r="O212" s="5"/>
      <c r="P212" s="5"/>
      <c r="Q212" s="1"/>
      <c r="R212" s="1"/>
      <c r="S212" s="1"/>
      <c r="T212" s="1"/>
      <c r="U212" s="1"/>
      <c r="V212" s="1"/>
      <c r="W212" s="1"/>
      <c r="X212" s="1"/>
      <c r="Y212" s="1"/>
      <c r="Z212" s="1"/>
      <c r="AA212" s="1"/>
      <c r="AB212" s="1"/>
      <c r="AC212" s="1"/>
    </row>
    <row r="213" spans="1:29" ht="14.25" customHeight="1" x14ac:dyDescent="0.2">
      <c r="A213" s="1"/>
      <c r="B213" s="1"/>
      <c r="C213" s="1"/>
      <c r="D213" s="1"/>
      <c r="E213" s="1"/>
      <c r="F213" s="1"/>
      <c r="G213" s="1"/>
      <c r="H213" s="1"/>
      <c r="I213" s="1"/>
      <c r="J213" s="1"/>
      <c r="K213" s="1"/>
      <c r="L213" s="1"/>
      <c r="M213" s="5"/>
      <c r="N213" s="5"/>
      <c r="O213" s="5"/>
      <c r="P213" s="5"/>
      <c r="Q213" s="1"/>
      <c r="R213" s="1"/>
      <c r="S213" s="1"/>
      <c r="T213" s="1"/>
      <c r="U213" s="1"/>
      <c r="V213" s="1"/>
      <c r="W213" s="1"/>
      <c r="X213" s="1"/>
      <c r="Y213" s="1"/>
      <c r="Z213" s="1"/>
      <c r="AA213" s="1"/>
      <c r="AB213" s="1"/>
      <c r="AC213" s="1"/>
    </row>
    <row r="214" spans="1:29" ht="14.25" customHeight="1" x14ac:dyDescent="0.2">
      <c r="A214" s="1"/>
      <c r="B214" s="1"/>
      <c r="C214" s="1"/>
      <c r="D214" s="1"/>
      <c r="E214" s="1"/>
      <c r="F214" s="1"/>
      <c r="G214" s="1"/>
      <c r="H214" s="1"/>
      <c r="I214" s="1"/>
      <c r="J214" s="1"/>
      <c r="K214" s="1"/>
      <c r="L214" s="1"/>
      <c r="M214" s="5"/>
      <c r="N214" s="5"/>
      <c r="O214" s="5"/>
      <c r="P214" s="5"/>
      <c r="Q214" s="1"/>
      <c r="R214" s="1"/>
      <c r="S214" s="1"/>
      <c r="T214" s="1"/>
      <c r="U214" s="1"/>
      <c r="V214" s="1"/>
      <c r="W214" s="1"/>
      <c r="X214" s="1"/>
      <c r="Y214" s="1"/>
      <c r="Z214" s="1"/>
      <c r="AA214" s="1"/>
      <c r="AB214" s="1"/>
      <c r="AC214" s="1"/>
    </row>
    <row r="215" spans="1:29" ht="14.25" customHeight="1" x14ac:dyDescent="0.2">
      <c r="A215" s="1"/>
      <c r="B215" s="1"/>
      <c r="C215" s="1"/>
      <c r="D215" s="1"/>
      <c r="E215" s="1"/>
      <c r="F215" s="1"/>
      <c r="G215" s="1"/>
      <c r="H215" s="1"/>
      <c r="I215" s="1"/>
      <c r="J215" s="1"/>
      <c r="K215" s="1"/>
      <c r="L215" s="1"/>
      <c r="M215" s="5"/>
      <c r="N215" s="5"/>
      <c r="O215" s="5"/>
      <c r="P215" s="5"/>
      <c r="Q215" s="1"/>
      <c r="R215" s="1"/>
      <c r="S215" s="1"/>
      <c r="T215" s="1"/>
      <c r="U215" s="1"/>
      <c r="V215" s="1"/>
      <c r="W215" s="1"/>
      <c r="X215" s="1"/>
      <c r="Y215" s="1"/>
      <c r="Z215" s="1"/>
      <c r="AA215" s="1"/>
      <c r="AB215" s="1"/>
      <c r="AC215" s="1"/>
    </row>
    <row r="216" spans="1:29" ht="14.25" customHeight="1" x14ac:dyDescent="0.2">
      <c r="A216" s="1"/>
      <c r="B216" s="1"/>
      <c r="C216" s="1"/>
      <c r="D216" s="1"/>
      <c r="E216" s="1"/>
      <c r="F216" s="1"/>
      <c r="G216" s="1"/>
      <c r="H216" s="1"/>
      <c r="I216" s="1"/>
      <c r="J216" s="1"/>
      <c r="K216" s="1"/>
      <c r="L216" s="1"/>
      <c r="M216" s="5"/>
      <c r="N216" s="5"/>
      <c r="O216" s="5"/>
      <c r="P216" s="5"/>
      <c r="Q216" s="1"/>
      <c r="R216" s="1"/>
      <c r="S216" s="1"/>
      <c r="T216" s="1"/>
      <c r="U216" s="1"/>
      <c r="V216" s="1"/>
      <c r="W216" s="1"/>
      <c r="X216" s="1"/>
      <c r="Y216" s="1"/>
      <c r="Z216" s="1"/>
      <c r="AA216" s="1"/>
      <c r="AB216" s="1"/>
      <c r="AC216" s="1"/>
    </row>
    <row r="217" spans="1:29" ht="14.25" customHeight="1" x14ac:dyDescent="0.2">
      <c r="A217" s="1"/>
      <c r="B217" s="1"/>
      <c r="C217" s="1"/>
      <c r="D217" s="1"/>
      <c r="E217" s="1"/>
      <c r="F217" s="1"/>
      <c r="G217" s="1"/>
      <c r="H217" s="1"/>
      <c r="I217" s="1"/>
      <c r="J217" s="1"/>
      <c r="K217" s="1"/>
      <c r="L217" s="1"/>
      <c r="M217" s="5"/>
      <c r="N217" s="5"/>
      <c r="O217" s="5"/>
      <c r="P217" s="5"/>
      <c r="Q217" s="1"/>
      <c r="R217" s="1"/>
      <c r="S217" s="1"/>
      <c r="T217" s="1"/>
      <c r="U217" s="1"/>
      <c r="V217" s="1"/>
      <c r="W217" s="1"/>
      <c r="X217" s="1"/>
      <c r="Y217" s="1"/>
      <c r="Z217" s="1"/>
      <c r="AA217" s="1"/>
      <c r="AB217" s="1"/>
      <c r="AC217" s="1"/>
    </row>
    <row r="218" spans="1:29" ht="14.25" customHeight="1" x14ac:dyDescent="0.2">
      <c r="A218" s="1"/>
      <c r="B218" s="1"/>
      <c r="C218" s="1"/>
      <c r="D218" s="1"/>
      <c r="E218" s="1"/>
      <c r="F218" s="1"/>
      <c r="G218" s="1"/>
      <c r="H218" s="1"/>
      <c r="I218" s="1"/>
      <c r="J218" s="1"/>
      <c r="K218" s="1"/>
      <c r="L218" s="1"/>
      <c r="M218" s="5"/>
      <c r="N218" s="5"/>
      <c r="O218" s="5"/>
      <c r="P218" s="5"/>
      <c r="Q218" s="1"/>
      <c r="R218" s="1"/>
      <c r="S218" s="1"/>
      <c r="T218" s="1"/>
      <c r="U218" s="1"/>
      <c r="V218" s="1"/>
      <c r="W218" s="1"/>
      <c r="X218" s="1"/>
      <c r="Y218" s="1"/>
      <c r="Z218" s="1"/>
      <c r="AA218" s="1"/>
      <c r="AB218" s="1"/>
      <c r="AC218" s="1"/>
    </row>
    <row r="219" spans="1:29" ht="14.25" customHeight="1" x14ac:dyDescent="0.2">
      <c r="A219" s="1"/>
      <c r="B219" s="1"/>
      <c r="C219" s="1"/>
      <c r="D219" s="1"/>
      <c r="E219" s="1"/>
      <c r="F219" s="1"/>
      <c r="G219" s="1"/>
      <c r="H219" s="1"/>
      <c r="I219" s="1"/>
      <c r="J219" s="1"/>
      <c r="K219" s="1"/>
      <c r="L219" s="1"/>
      <c r="M219" s="5"/>
      <c r="N219" s="5"/>
      <c r="O219" s="5"/>
      <c r="P219" s="5"/>
      <c r="Q219" s="1"/>
      <c r="R219" s="1"/>
      <c r="S219" s="1"/>
      <c r="T219" s="1"/>
      <c r="U219" s="1"/>
      <c r="V219" s="1"/>
      <c r="W219" s="1"/>
      <c r="X219" s="1"/>
      <c r="Y219" s="1"/>
      <c r="Z219" s="1"/>
      <c r="AA219" s="1"/>
      <c r="AB219" s="1"/>
      <c r="AC219" s="1"/>
    </row>
    <row r="220" spans="1:29" ht="14.25" customHeight="1" x14ac:dyDescent="0.2">
      <c r="A220" s="1"/>
      <c r="B220" s="1"/>
      <c r="C220" s="1"/>
      <c r="D220" s="1"/>
      <c r="E220" s="1"/>
      <c r="F220" s="1"/>
      <c r="G220" s="1"/>
      <c r="H220" s="1"/>
      <c r="I220" s="1"/>
      <c r="J220" s="1"/>
      <c r="K220" s="1"/>
      <c r="L220" s="1"/>
      <c r="M220" s="5"/>
      <c r="N220" s="5"/>
      <c r="O220" s="5"/>
      <c r="P220" s="5"/>
      <c r="Q220" s="1"/>
      <c r="R220" s="1"/>
      <c r="S220" s="1"/>
      <c r="T220" s="1"/>
      <c r="U220" s="1"/>
      <c r="V220" s="1"/>
      <c r="W220" s="1"/>
      <c r="X220" s="1"/>
      <c r="Y220" s="1"/>
      <c r="Z220" s="1"/>
      <c r="AA220" s="1"/>
      <c r="AB220" s="1"/>
      <c r="AC220" s="1"/>
    </row>
    <row r="221" spans="1:29" ht="14.25" customHeight="1" x14ac:dyDescent="0.2">
      <c r="A221" s="1"/>
      <c r="B221" s="1"/>
      <c r="C221" s="1"/>
      <c r="D221" s="1"/>
      <c r="E221" s="1"/>
      <c r="F221" s="1"/>
      <c r="G221" s="1"/>
      <c r="H221" s="1"/>
      <c r="I221" s="1"/>
      <c r="J221" s="1"/>
      <c r="K221" s="1"/>
      <c r="L221" s="1"/>
      <c r="M221" s="5"/>
      <c r="N221" s="5"/>
      <c r="O221" s="5"/>
      <c r="P221" s="5"/>
      <c r="Q221" s="1"/>
      <c r="R221" s="1"/>
      <c r="S221" s="1"/>
      <c r="T221" s="1"/>
      <c r="U221" s="1"/>
      <c r="V221" s="1"/>
      <c r="W221" s="1"/>
      <c r="X221" s="1"/>
      <c r="Y221" s="1"/>
      <c r="Z221" s="1"/>
      <c r="AA221" s="1"/>
      <c r="AB221" s="1"/>
      <c r="AC221" s="1"/>
    </row>
    <row r="222" spans="1:29" ht="14.25" customHeight="1" x14ac:dyDescent="0.2">
      <c r="A222" s="1"/>
      <c r="B222" s="1"/>
      <c r="C222" s="1"/>
      <c r="D222" s="1"/>
      <c r="E222" s="1"/>
      <c r="F222" s="1"/>
      <c r="G222" s="1"/>
      <c r="H222" s="1"/>
      <c r="I222" s="1"/>
      <c r="J222" s="1"/>
      <c r="K222" s="1"/>
      <c r="L222" s="1"/>
      <c r="M222" s="5"/>
      <c r="N222" s="5"/>
      <c r="O222" s="5"/>
      <c r="P222" s="5"/>
      <c r="Q222" s="1"/>
      <c r="R222" s="1"/>
      <c r="S222" s="1"/>
      <c r="T222" s="1"/>
      <c r="U222" s="1"/>
      <c r="V222" s="1"/>
      <c r="W222" s="1"/>
      <c r="X222" s="1"/>
      <c r="Y222" s="1"/>
      <c r="Z222" s="1"/>
      <c r="AA222" s="1"/>
      <c r="AB222" s="1"/>
      <c r="AC222" s="1"/>
    </row>
    <row r="223" spans="1:29" ht="14.25" customHeight="1" x14ac:dyDescent="0.2">
      <c r="A223" s="1"/>
      <c r="B223" s="1"/>
      <c r="C223" s="1"/>
      <c r="D223" s="1"/>
      <c r="E223" s="1"/>
      <c r="F223" s="1"/>
      <c r="G223" s="1"/>
      <c r="H223" s="1"/>
      <c r="I223" s="1"/>
      <c r="J223" s="1"/>
      <c r="K223" s="1"/>
      <c r="L223" s="1"/>
      <c r="M223" s="5"/>
      <c r="N223" s="5"/>
      <c r="O223" s="5"/>
      <c r="P223" s="5"/>
      <c r="Q223" s="1"/>
      <c r="R223" s="1"/>
      <c r="S223" s="1"/>
      <c r="T223" s="1"/>
      <c r="U223" s="1"/>
      <c r="V223" s="1"/>
      <c r="W223" s="1"/>
      <c r="X223" s="1"/>
      <c r="Y223" s="1"/>
      <c r="Z223" s="1"/>
      <c r="AA223" s="1"/>
      <c r="AB223" s="1"/>
      <c r="AC223" s="1"/>
    </row>
    <row r="224" spans="1:29" ht="14.25" customHeight="1" x14ac:dyDescent="0.2">
      <c r="A224" s="1"/>
      <c r="B224" s="1"/>
      <c r="C224" s="1"/>
      <c r="D224" s="1"/>
      <c r="E224" s="1"/>
      <c r="F224" s="1"/>
      <c r="G224" s="1"/>
      <c r="H224" s="1"/>
      <c r="I224" s="1"/>
      <c r="J224" s="1"/>
      <c r="K224" s="1"/>
      <c r="L224" s="1"/>
      <c r="M224" s="5"/>
      <c r="N224" s="5"/>
      <c r="O224" s="5"/>
      <c r="P224" s="5"/>
      <c r="Q224" s="1"/>
      <c r="R224" s="1"/>
      <c r="S224" s="1"/>
      <c r="T224" s="1"/>
      <c r="U224" s="1"/>
      <c r="V224" s="1"/>
      <c r="W224" s="1"/>
      <c r="X224" s="1"/>
      <c r="Y224" s="1"/>
      <c r="Z224" s="1"/>
      <c r="AA224" s="1"/>
      <c r="AB224" s="1"/>
      <c r="AC224" s="1"/>
    </row>
    <row r="225" spans="1:29" ht="14.25" customHeight="1" x14ac:dyDescent="0.2">
      <c r="A225" s="1"/>
      <c r="B225" s="1"/>
      <c r="C225" s="1"/>
      <c r="D225" s="1"/>
      <c r="E225" s="1"/>
      <c r="F225" s="1"/>
      <c r="G225" s="1"/>
      <c r="H225" s="1"/>
      <c r="I225" s="1"/>
      <c r="J225" s="1"/>
      <c r="K225" s="1"/>
      <c r="L225" s="1"/>
      <c r="M225" s="5"/>
      <c r="N225" s="5"/>
      <c r="O225" s="5"/>
      <c r="P225" s="5"/>
      <c r="Q225" s="1"/>
      <c r="R225" s="1"/>
      <c r="S225" s="1"/>
      <c r="T225" s="1"/>
      <c r="U225" s="1"/>
      <c r="V225" s="1"/>
      <c r="W225" s="1"/>
      <c r="X225" s="1"/>
      <c r="Y225" s="1"/>
      <c r="Z225" s="1"/>
      <c r="AA225" s="1"/>
      <c r="AB225" s="1"/>
      <c r="AC225" s="1"/>
    </row>
    <row r="226" spans="1:29" ht="14.25" customHeight="1" x14ac:dyDescent="0.2">
      <c r="A226" s="1"/>
      <c r="B226" s="1"/>
      <c r="C226" s="1"/>
      <c r="D226" s="1"/>
      <c r="E226" s="1"/>
      <c r="F226" s="1"/>
      <c r="G226" s="1"/>
      <c r="H226" s="1"/>
      <c r="I226" s="1"/>
      <c r="J226" s="1"/>
      <c r="K226" s="1"/>
      <c r="L226" s="1"/>
      <c r="M226" s="5"/>
      <c r="N226" s="5"/>
      <c r="O226" s="5"/>
      <c r="P226" s="5"/>
      <c r="Q226" s="1"/>
      <c r="R226" s="1"/>
      <c r="S226" s="1"/>
      <c r="T226" s="1"/>
      <c r="U226" s="1"/>
      <c r="V226" s="1"/>
      <c r="W226" s="1"/>
      <c r="X226" s="1"/>
      <c r="Y226" s="1"/>
      <c r="Z226" s="1"/>
      <c r="AA226" s="1"/>
      <c r="AB226" s="1"/>
      <c r="AC226" s="1"/>
    </row>
    <row r="227" spans="1:29" ht="14.25" customHeight="1" x14ac:dyDescent="0.2">
      <c r="A227" s="1"/>
      <c r="B227" s="1"/>
      <c r="C227" s="1"/>
      <c r="D227" s="1"/>
      <c r="E227" s="1"/>
      <c r="F227" s="1"/>
      <c r="G227" s="1"/>
      <c r="H227" s="1"/>
      <c r="I227" s="1"/>
      <c r="J227" s="1"/>
      <c r="K227" s="1"/>
      <c r="L227" s="1"/>
      <c r="M227" s="5"/>
      <c r="N227" s="5"/>
      <c r="O227" s="5"/>
      <c r="P227" s="5"/>
      <c r="Q227" s="1"/>
      <c r="R227" s="1"/>
      <c r="S227" s="1"/>
      <c r="T227" s="1"/>
      <c r="U227" s="1"/>
      <c r="V227" s="1"/>
      <c r="W227" s="1"/>
      <c r="X227" s="1"/>
      <c r="Y227" s="1"/>
      <c r="Z227" s="1"/>
      <c r="AA227" s="1"/>
      <c r="AB227" s="1"/>
      <c r="AC227" s="1"/>
    </row>
    <row r="228" spans="1:29" ht="14.25" customHeight="1" x14ac:dyDescent="0.2">
      <c r="A228" s="1"/>
      <c r="B228" s="1"/>
      <c r="C228" s="1"/>
      <c r="D228" s="1"/>
      <c r="E228" s="1"/>
      <c r="F228" s="1"/>
      <c r="G228" s="1"/>
      <c r="H228" s="1"/>
      <c r="I228" s="1"/>
      <c r="J228" s="1"/>
      <c r="K228" s="1"/>
      <c r="L228" s="1"/>
      <c r="M228" s="5"/>
      <c r="N228" s="5"/>
      <c r="O228" s="5"/>
      <c r="P228" s="5"/>
      <c r="Q228" s="1"/>
      <c r="R228" s="1"/>
      <c r="S228" s="1"/>
      <c r="T228" s="1"/>
      <c r="U228" s="1"/>
      <c r="V228" s="1"/>
      <c r="W228" s="1"/>
      <c r="X228" s="1"/>
      <c r="Y228" s="1"/>
      <c r="Z228" s="1"/>
      <c r="AA228" s="1"/>
      <c r="AB228" s="1"/>
      <c r="AC228" s="1"/>
    </row>
    <row r="229" spans="1:29" ht="14.25" customHeight="1" x14ac:dyDescent="0.2">
      <c r="A229" s="1"/>
      <c r="B229" s="1"/>
      <c r="C229" s="1"/>
      <c r="D229" s="1"/>
      <c r="E229" s="1"/>
      <c r="F229" s="1"/>
      <c r="G229" s="1"/>
      <c r="H229" s="1"/>
      <c r="I229" s="1"/>
      <c r="J229" s="1"/>
      <c r="K229" s="1"/>
      <c r="L229" s="1"/>
      <c r="M229" s="5"/>
      <c r="N229" s="5"/>
      <c r="O229" s="5"/>
      <c r="P229" s="5"/>
      <c r="Q229" s="1"/>
      <c r="R229" s="1"/>
      <c r="S229" s="1"/>
      <c r="T229" s="1"/>
      <c r="U229" s="1"/>
      <c r="V229" s="1"/>
      <c r="W229" s="1"/>
      <c r="X229" s="1"/>
      <c r="Y229" s="1"/>
      <c r="Z229" s="1"/>
      <c r="AA229" s="1"/>
      <c r="AB229" s="1"/>
      <c r="AC229" s="1"/>
    </row>
    <row r="230" spans="1:29" ht="14.25" customHeight="1" x14ac:dyDescent="0.2">
      <c r="A230" s="1"/>
      <c r="B230" s="1"/>
      <c r="C230" s="1"/>
      <c r="D230" s="1"/>
      <c r="E230" s="1"/>
      <c r="F230" s="1"/>
      <c r="G230" s="1"/>
      <c r="H230" s="1"/>
      <c r="I230" s="1"/>
      <c r="J230" s="1"/>
      <c r="K230" s="1"/>
      <c r="L230" s="1"/>
      <c r="M230" s="5"/>
      <c r="N230" s="5"/>
      <c r="O230" s="5"/>
      <c r="P230" s="5"/>
      <c r="Q230" s="1"/>
      <c r="R230" s="1"/>
      <c r="S230" s="1"/>
      <c r="T230" s="1"/>
      <c r="U230" s="1"/>
      <c r="V230" s="1"/>
      <c r="W230" s="1"/>
      <c r="X230" s="1"/>
      <c r="Y230" s="1"/>
      <c r="Z230" s="1"/>
      <c r="AA230" s="1"/>
      <c r="AB230" s="1"/>
      <c r="AC230" s="1"/>
    </row>
    <row r="231" spans="1:29" ht="14.25" customHeight="1" x14ac:dyDescent="0.2">
      <c r="A231" s="1"/>
      <c r="B231" s="1"/>
      <c r="C231" s="1"/>
      <c r="D231" s="1"/>
      <c r="E231" s="1"/>
      <c r="F231" s="1"/>
      <c r="G231" s="1"/>
      <c r="H231" s="1"/>
      <c r="I231" s="1"/>
      <c r="J231" s="1"/>
      <c r="K231" s="1"/>
      <c r="L231" s="1"/>
      <c r="M231" s="5"/>
      <c r="N231" s="5"/>
      <c r="O231" s="5"/>
      <c r="P231" s="5"/>
      <c r="Q231" s="1"/>
      <c r="R231" s="1"/>
      <c r="S231" s="1"/>
      <c r="T231" s="1"/>
      <c r="U231" s="1"/>
      <c r="V231" s="1"/>
      <c r="W231" s="1"/>
      <c r="X231" s="1"/>
      <c r="Y231" s="1"/>
      <c r="Z231" s="1"/>
      <c r="AA231" s="1"/>
      <c r="AB231" s="1"/>
      <c r="AC231" s="1"/>
    </row>
    <row r="232" spans="1:29" ht="14.25" customHeight="1" x14ac:dyDescent="0.2">
      <c r="A232" s="1"/>
      <c r="B232" s="1"/>
      <c r="C232" s="1"/>
      <c r="D232" s="1"/>
      <c r="E232" s="1"/>
      <c r="F232" s="1"/>
      <c r="G232" s="1"/>
      <c r="H232" s="1"/>
      <c r="I232" s="1"/>
      <c r="J232" s="1"/>
      <c r="K232" s="1"/>
      <c r="L232" s="1"/>
      <c r="M232" s="5"/>
      <c r="N232" s="5"/>
      <c r="O232" s="5"/>
      <c r="P232" s="5"/>
      <c r="Q232" s="1"/>
      <c r="R232" s="1"/>
      <c r="S232" s="1"/>
      <c r="T232" s="1"/>
      <c r="U232" s="1"/>
      <c r="V232" s="1"/>
      <c r="W232" s="1"/>
      <c r="X232" s="1"/>
      <c r="Y232" s="1"/>
      <c r="Z232" s="1"/>
      <c r="AA232" s="1"/>
      <c r="AB232" s="1"/>
      <c r="AC232" s="1"/>
    </row>
    <row r="233" spans="1:29" ht="14.25" customHeight="1" x14ac:dyDescent="0.2">
      <c r="A233" s="1"/>
      <c r="B233" s="1"/>
      <c r="C233" s="1"/>
      <c r="D233" s="1"/>
      <c r="E233" s="1"/>
      <c r="F233" s="1"/>
      <c r="G233" s="1"/>
      <c r="H233" s="1"/>
      <c r="I233" s="1"/>
      <c r="J233" s="1"/>
      <c r="K233" s="1"/>
      <c r="L233" s="1"/>
      <c r="M233" s="5"/>
      <c r="N233" s="5"/>
      <c r="O233" s="5"/>
      <c r="P233" s="5"/>
      <c r="Q233" s="1"/>
      <c r="R233" s="1"/>
      <c r="S233" s="1"/>
      <c r="T233" s="1"/>
      <c r="U233" s="1"/>
      <c r="V233" s="1"/>
      <c r="W233" s="1"/>
      <c r="X233" s="1"/>
      <c r="Y233" s="1"/>
      <c r="Z233" s="1"/>
      <c r="AA233" s="1"/>
      <c r="AB233" s="1"/>
      <c r="AC233" s="1"/>
    </row>
    <row r="234" spans="1:29" ht="14.25" customHeight="1" x14ac:dyDescent="0.2">
      <c r="A234" s="1"/>
      <c r="B234" s="1"/>
      <c r="C234" s="1"/>
      <c r="D234" s="1"/>
      <c r="E234" s="1"/>
      <c r="F234" s="1"/>
      <c r="G234" s="1"/>
      <c r="H234" s="1"/>
      <c r="I234" s="1"/>
      <c r="J234" s="1"/>
      <c r="K234" s="1"/>
      <c r="L234" s="1"/>
      <c r="M234" s="5"/>
      <c r="N234" s="5"/>
      <c r="O234" s="5"/>
      <c r="P234" s="5"/>
      <c r="Q234" s="1"/>
      <c r="R234" s="1"/>
      <c r="S234" s="1"/>
      <c r="T234" s="1"/>
      <c r="U234" s="1"/>
      <c r="V234" s="1"/>
      <c r="W234" s="1"/>
      <c r="X234" s="1"/>
      <c r="Y234" s="1"/>
      <c r="Z234" s="1"/>
      <c r="AA234" s="1"/>
      <c r="AB234" s="1"/>
      <c r="AC234" s="1"/>
    </row>
    <row r="235" spans="1:29" ht="14.25" customHeight="1" x14ac:dyDescent="0.2">
      <c r="A235" s="1"/>
      <c r="B235" s="1"/>
      <c r="C235" s="1"/>
      <c r="D235" s="1"/>
      <c r="E235" s="1"/>
      <c r="F235" s="1"/>
      <c r="G235" s="1"/>
      <c r="H235" s="1"/>
      <c r="I235" s="1"/>
      <c r="J235" s="1"/>
      <c r="K235" s="1"/>
      <c r="L235" s="1"/>
      <c r="M235" s="5"/>
      <c r="N235" s="5"/>
      <c r="O235" s="5"/>
      <c r="P235" s="5"/>
      <c r="Q235" s="1"/>
      <c r="R235" s="1"/>
      <c r="S235" s="1"/>
      <c r="T235" s="1"/>
      <c r="U235" s="1"/>
      <c r="V235" s="1"/>
      <c r="W235" s="1"/>
      <c r="X235" s="1"/>
      <c r="Y235" s="1"/>
      <c r="Z235" s="1"/>
      <c r="AA235" s="1"/>
      <c r="AB235" s="1"/>
      <c r="AC235" s="1"/>
    </row>
    <row r="236" spans="1:29" ht="14.25" customHeight="1" x14ac:dyDescent="0.2">
      <c r="A236" s="1"/>
      <c r="B236" s="1"/>
      <c r="C236" s="1"/>
      <c r="D236" s="1"/>
      <c r="E236" s="1"/>
      <c r="F236" s="1"/>
      <c r="G236" s="1"/>
      <c r="H236" s="1"/>
      <c r="I236" s="1"/>
      <c r="J236" s="1"/>
      <c r="K236" s="1"/>
      <c r="L236" s="1"/>
      <c r="M236" s="5"/>
      <c r="N236" s="5"/>
      <c r="O236" s="5"/>
      <c r="P236" s="5"/>
      <c r="Q236" s="1"/>
      <c r="R236" s="1"/>
      <c r="S236" s="1"/>
      <c r="T236" s="1"/>
      <c r="U236" s="1"/>
      <c r="V236" s="1"/>
      <c r="W236" s="1"/>
      <c r="X236" s="1"/>
      <c r="Y236" s="1"/>
      <c r="Z236" s="1"/>
      <c r="AA236" s="1"/>
      <c r="AB236" s="1"/>
      <c r="AC236" s="1"/>
    </row>
    <row r="237" spans="1:29" ht="14.25" customHeight="1" x14ac:dyDescent="0.2">
      <c r="A237" s="1"/>
      <c r="B237" s="1"/>
      <c r="C237" s="1"/>
      <c r="D237" s="1"/>
      <c r="E237" s="1"/>
      <c r="F237" s="1"/>
      <c r="G237" s="1"/>
      <c r="H237" s="1"/>
      <c r="I237" s="1"/>
      <c r="J237" s="1"/>
      <c r="K237" s="1"/>
      <c r="L237" s="1"/>
      <c r="M237" s="5"/>
      <c r="N237" s="5"/>
      <c r="O237" s="5"/>
      <c r="P237" s="5"/>
      <c r="Q237" s="1"/>
      <c r="R237" s="1"/>
      <c r="S237" s="1"/>
      <c r="T237" s="1"/>
      <c r="U237" s="1"/>
      <c r="V237" s="1"/>
      <c r="W237" s="1"/>
      <c r="X237" s="1"/>
      <c r="Y237" s="1"/>
      <c r="Z237" s="1"/>
      <c r="AA237" s="1"/>
      <c r="AB237" s="1"/>
      <c r="AC237" s="1"/>
    </row>
    <row r="238" spans="1:29" ht="14.25" customHeight="1" x14ac:dyDescent="0.2">
      <c r="A238" s="1"/>
      <c r="B238" s="1"/>
      <c r="C238" s="1"/>
      <c r="D238" s="1"/>
      <c r="E238" s="1"/>
      <c r="F238" s="1"/>
      <c r="G238" s="1"/>
      <c r="H238" s="1"/>
      <c r="I238" s="1"/>
      <c r="J238" s="1"/>
      <c r="K238" s="1"/>
      <c r="L238" s="1"/>
      <c r="M238" s="5"/>
      <c r="N238" s="5"/>
      <c r="O238" s="5"/>
      <c r="P238" s="5"/>
      <c r="Q238" s="1"/>
      <c r="R238" s="1"/>
      <c r="S238" s="1"/>
      <c r="T238" s="1"/>
      <c r="U238" s="1"/>
      <c r="V238" s="1"/>
      <c r="W238" s="1"/>
      <c r="X238" s="1"/>
      <c r="Y238" s="1"/>
      <c r="Z238" s="1"/>
      <c r="AA238" s="1"/>
      <c r="AB238" s="1"/>
      <c r="AC238" s="1"/>
    </row>
    <row r="239" spans="1:29" ht="14.25" customHeight="1" x14ac:dyDescent="0.2">
      <c r="A239" s="1"/>
      <c r="B239" s="1"/>
      <c r="C239" s="1"/>
      <c r="D239" s="1"/>
      <c r="E239" s="1"/>
      <c r="F239" s="1"/>
      <c r="G239" s="1"/>
      <c r="H239" s="1"/>
      <c r="I239" s="1"/>
      <c r="J239" s="1"/>
      <c r="K239" s="1"/>
      <c r="L239" s="1"/>
      <c r="M239" s="5"/>
      <c r="N239" s="5"/>
      <c r="O239" s="5"/>
      <c r="P239" s="5"/>
      <c r="Q239" s="1"/>
      <c r="R239" s="1"/>
      <c r="S239" s="1"/>
      <c r="T239" s="1"/>
      <c r="U239" s="1"/>
      <c r="V239" s="1"/>
      <c r="W239" s="1"/>
      <c r="X239" s="1"/>
      <c r="Y239" s="1"/>
      <c r="Z239" s="1"/>
      <c r="AA239" s="1"/>
      <c r="AB239" s="1"/>
      <c r="AC239" s="1"/>
    </row>
    <row r="240" spans="1:29" ht="14.25" customHeight="1" x14ac:dyDescent="0.2">
      <c r="A240" s="1"/>
      <c r="B240" s="1"/>
      <c r="C240" s="1"/>
      <c r="D240" s="1"/>
      <c r="E240" s="1"/>
      <c r="F240" s="1"/>
      <c r="G240" s="1"/>
      <c r="H240" s="1"/>
      <c r="I240" s="1"/>
      <c r="J240" s="1"/>
      <c r="K240" s="1"/>
      <c r="L240" s="1"/>
      <c r="M240" s="5"/>
      <c r="N240" s="5"/>
      <c r="O240" s="5"/>
      <c r="P240" s="5"/>
      <c r="Q240" s="1"/>
      <c r="R240" s="1"/>
      <c r="S240" s="1"/>
      <c r="T240" s="1"/>
      <c r="U240" s="1"/>
      <c r="V240" s="1"/>
      <c r="W240" s="1"/>
      <c r="X240" s="1"/>
      <c r="Y240" s="1"/>
      <c r="Z240" s="1"/>
      <c r="AA240" s="1"/>
      <c r="AB240" s="1"/>
      <c r="AC240" s="1"/>
    </row>
    <row r="241" spans="1:29" ht="14.25" customHeight="1" x14ac:dyDescent="0.2">
      <c r="A241" s="1"/>
      <c r="B241" s="1"/>
      <c r="C241" s="1"/>
      <c r="D241" s="1"/>
      <c r="E241" s="1"/>
      <c r="F241" s="1"/>
      <c r="G241" s="1"/>
      <c r="H241" s="1"/>
      <c r="I241" s="1"/>
      <c r="J241" s="1"/>
      <c r="K241" s="1"/>
      <c r="L241" s="1"/>
      <c r="M241" s="5"/>
      <c r="N241" s="5"/>
      <c r="O241" s="5"/>
      <c r="P241" s="5"/>
      <c r="Q241" s="1"/>
      <c r="R241" s="1"/>
      <c r="S241" s="1"/>
      <c r="T241" s="1"/>
      <c r="U241" s="1"/>
      <c r="V241" s="1"/>
      <c r="W241" s="1"/>
      <c r="X241" s="1"/>
      <c r="Y241" s="1"/>
      <c r="Z241" s="1"/>
      <c r="AA241" s="1"/>
      <c r="AB241" s="1"/>
      <c r="AC241" s="1"/>
    </row>
    <row r="242" spans="1:29" ht="14.25" customHeight="1" x14ac:dyDescent="0.2">
      <c r="A242" s="1"/>
      <c r="B242" s="1"/>
      <c r="C242" s="1"/>
      <c r="D242" s="1"/>
      <c r="E242" s="1"/>
      <c r="F242" s="1"/>
      <c r="G242" s="1"/>
      <c r="H242" s="1"/>
      <c r="I242" s="1"/>
      <c r="J242" s="1"/>
      <c r="K242" s="1"/>
      <c r="L242" s="1"/>
      <c r="M242" s="5"/>
      <c r="N242" s="5"/>
      <c r="O242" s="5"/>
      <c r="P242" s="5"/>
      <c r="Q242" s="1"/>
      <c r="R242" s="1"/>
      <c r="S242" s="1"/>
      <c r="T242" s="1"/>
      <c r="U242" s="1"/>
      <c r="V242" s="1"/>
      <c r="W242" s="1"/>
      <c r="X242" s="1"/>
      <c r="Y242" s="1"/>
      <c r="Z242" s="1"/>
      <c r="AA242" s="1"/>
      <c r="AB242" s="1"/>
      <c r="AC242" s="1"/>
    </row>
    <row r="243" spans="1:29" ht="14.25" customHeight="1" x14ac:dyDescent="0.2">
      <c r="A243" s="1"/>
      <c r="B243" s="1"/>
      <c r="C243" s="1"/>
      <c r="D243" s="1"/>
      <c r="E243" s="1"/>
      <c r="F243" s="1"/>
      <c r="G243" s="1"/>
      <c r="H243" s="1"/>
      <c r="I243" s="1"/>
      <c r="J243" s="1"/>
      <c r="K243" s="1"/>
      <c r="L243" s="1"/>
      <c r="M243" s="5"/>
      <c r="N243" s="5"/>
      <c r="O243" s="5"/>
      <c r="P243" s="5"/>
      <c r="Q243" s="1"/>
      <c r="R243" s="1"/>
      <c r="S243" s="1"/>
      <c r="T243" s="1"/>
      <c r="U243" s="1"/>
      <c r="V243" s="1"/>
      <c r="W243" s="1"/>
      <c r="X243" s="1"/>
      <c r="Y243" s="1"/>
      <c r="Z243" s="1"/>
      <c r="AA243" s="1"/>
      <c r="AB243" s="1"/>
      <c r="AC243" s="1"/>
    </row>
    <row r="244" spans="1:29" ht="14.25" customHeight="1" x14ac:dyDescent="0.2">
      <c r="A244" s="1"/>
      <c r="B244" s="1"/>
      <c r="C244" s="1"/>
      <c r="D244" s="1"/>
      <c r="E244" s="1"/>
      <c r="F244" s="1"/>
      <c r="G244" s="1"/>
      <c r="H244" s="1"/>
      <c r="I244" s="1"/>
      <c r="J244" s="1"/>
      <c r="K244" s="1"/>
      <c r="L244" s="1"/>
      <c r="M244" s="5"/>
      <c r="N244" s="5"/>
      <c r="O244" s="5"/>
      <c r="P244" s="5"/>
      <c r="Q244" s="1"/>
      <c r="R244" s="1"/>
      <c r="S244" s="1"/>
      <c r="T244" s="1"/>
      <c r="U244" s="1"/>
      <c r="V244" s="1"/>
      <c r="W244" s="1"/>
      <c r="X244" s="1"/>
      <c r="Y244" s="1"/>
      <c r="Z244" s="1"/>
      <c r="AA244" s="1"/>
      <c r="AB244" s="1"/>
      <c r="AC244" s="1"/>
    </row>
    <row r="245" spans="1:29" ht="14.25" customHeight="1" x14ac:dyDescent="0.2">
      <c r="A245" s="1"/>
      <c r="B245" s="1"/>
      <c r="C245" s="1"/>
      <c r="D245" s="1"/>
      <c r="E245" s="1"/>
      <c r="F245" s="1"/>
      <c r="G245" s="1"/>
      <c r="H245" s="1"/>
      <c r="I245" s="1"/>
      <c r="J245" s="1"/>
      <c r="K245" s="1"/>
      <c r="L245" s="1"/>
      <c r="M245" s="5"/>
      <c r="N245" s="5"/>
      <c r="O245" s="5"/>
      <c r="P245" s="5"/>
      <c r="Q245" s="1"/>
      <c r="R245" s="1"/>
      <c r="S245" s="1"/>
      <c r="T245" s="1"/>
      <c r="U245" s="1"/>
      <c r="V245" s="1"/>
      <c r="W245" s="1"/>
      <c r="X245" s="1"/>
      <c r="Y245" s="1"/>
      <c r="Z245" s="1"/>
      <c r="AA245" s="1"/>
      <c r="AB245" s="1"/>
      <c r="AC245" s="1"/>
    </row>
    <row r="246" spans="1:29" ht="14.25" customHeight="1" x14ac:dyDescent="0.2">
      <c r="A246" s="1"/>
      <c r="B246" s="1"/>
      <c r="C246" s="1"/>
      <c r="D246" s="1"/>
      <c r="E246" s="1"/>
      <c r="F246" s="1"/>
      <c r="G246" s="1"/>
      <c r="H246" s="1"/>
      <c r="I246" s="1"/>
      <c r="J246" s="1"/>
      <c r="K246" s="1"/>
      <c r="L246" s="1"/>
      <c r="M246" s="5"/>
      <c r="N246" s="5"/>
      <c r="O246" s="5"/>
      <c r="P246" s="5"/>
      <c r="Q246" s="1"/>
      <c r="R246" s="1"/>
      <c r="S246" s="1"/>
      <c r="T246" s="1"/>
      <c r="U246" s="1"/>
      <c r="V246" s="1"/>
      <c r="W246" s="1"/>
      <c r="X246" s="1"/>
      <c r="Y246" s="1"/>
      <c r="Z246" s="1"/>
      <c r="AA246" s="1"/>
      <c r="AB246" s="1"/>
      <c r="AC246" s="1"/>
    </row>
    <row r="247" spans="1:29" ht="14.25" customHeight="1" x14ac:dyDescent="0.2">
      <c r="A247" s="1"/>
      <c r="B247" s="1"/>
      <c r="C247" s="1"/>
      <c r="D247" s="1"/>
      <c r="E247" s="1"/>
      <c r="F247" s="1"/>
      <c r="G247" s="1"/>
      <c r="H247" s="1"/>
      <c r="I247" s="1"/>
      <c r="J247" s="1"/>
      <c r="K247" s="1"/>
      <c r="L247" s="1"/>
      <c r="M247" s="5"/>
      <c r="N247" s="5"/>
      <c r="O247" s="5"/>
      <c r="P247" s="5"/>
      <c r="Q247" s="1"/>
      <c r="R247" s="1"/>
      <c r="S247" s="1"/>
      <c r="T247" s="1"/>
      <c r="U247" s="1"/>
      <c r="V247" s="1"/>
      <c r="W247" s="1"/>
      <c r="X247" s="1"/>
      <c r="Y247" s="1"/>
      <c r="Z247" s="1"/>
      <c r="AA247" s="1"/>
      <c r="AB247" s="1"/>
      <c r="AC247" s="1"/>
    </row>
    <row r="248" spans="1:29" ht="14.25" customHeight="1" x14ac:dyDescent="0.2">
      <c r="A248" s="1"/>
      <c r="B248" s="1"/>
      <c r="C248" s="1"/>
      <c r="D248" s="1"/>
      <c r="E248" s="1"/>
      <c r="F248" s="1"/>
      <c r="G248" s="1"/>
      <c r="H248" s="1"/>
      <c r="I248" s="1"/>
      <c r="J248" s="1"/>
      <c r="K248" s="1"/>
      <c r="L248" s="1"/>
      <c r="M248" s="5"/>
      <c r="N248" s="5"/>
      <c r="O248" s="5"/>
      <c r="P248" s="5"/>
      <c r="Q248" s="1"/>
      <c r="R248" s="1"/>
      <c r="S248" s="1"/>
      <c r="T248" s="1"/>
      <c r="U248" s="1"/>
      <c r="V248" s="1"/>
      <c r="W248" s="1"/>
      <c r="X248" s="1"/>
      <c r="Y248" s="1"/>
      <c r="Z248" s="1"/>
      <c r="AA248" s="1"/>
      <c r="AB248" s="1"/>
      <c r="AC248" s="1"/>
    </row>
    <row r="249" spans="1:29" ht="14.25" customHeight="1" x14ac:dyDescent="0.2">
      <c r="A249" s="1"/>
      <c r="B249" s="1"/>
      <c r="C249" s="1"/>
      <c r="D249" s="1"/>
      <c r="E249" s="1"/>
      <c r="F249" s="1"/>
      <c r="G249" s="1"/>
      <c r="H249" s="1"/>
      <c r="I249" s="1"/>
      <c r="J249" s="1"/>
      <c r="K249" s="1"/>
      <c r="L249" s="1"/>
      <c r="M249" s="5"/>
      <c r="N249" s="5"/>
      <c r="O249" s="5"/>
      <c r="P249" s="5"/>
      <c r="Q249" s="1"/>
      <c r="R249" s="1"/>
      <c r="S249" s="1"/>
      <c r="T249" s="1"/>
      <c r="U249" s="1"/>
      <c r="V249" s="1"/>
      <c r="W249" s="1"/>
      <c r="X249" s="1"/>
      <c r="Y249" s="1"/>
      <c r="Z249" s="1"/>
      <c r="AA249" s="1"/>
      <c r="AB249" s="1"/>
      <c r="AC249" s="1"/>
    </row>
    <row r="250" spans="1:29" ht="14.25" customHeight="1" x14ac:dyDescent="0.2">
      <c r="A250" s="1"/>
      <c r="B250" s="1"/>
      <c r="C250" s="1"/>
      <c r="D250" s="1"/>
      <c r="E250" s="1"/>
      <c r="F250" s="1"/>
      <c r="G250" s="1"/>
      <c r="H250" s="1"/>
      <c r="I250" s="1"/>
      <c r="J250" s="1"/>
      <c r="K250" s="1"/>
      <c r="L250" s="1"/>
      <c r="M250" s="5"/>
      <c r="N250" s="5"/>
      <c r="O250" s="5"/>
      <c r="P250" s="5"/>
      <c r="Q250" s="1"/>
      <c r="R250" s="1"/>
      <c r="S250" s="1"/>
      <c r="T250" s="1"/>
      <c r="U250" s="1"/>
      <c r="V250" s="1"/>
      <c r="W250" s="1"/>
      <c r="X250" s="1"/>
      <c r="Y250" s="1"/>
      <c r="Z250" s="1"/>
      <c r="AA250" s="1"/>
      <c r="AB250" s="1"/>
      <c r="AC250" s="1"/>
    </row>
    <row r="251" spans="1:29" ht="14.25" customHeight="1" x14ac:dyDescent="0.2">
      <c r="A251" s="1"/>
      <c r="B251" s="1"/>
      <c r="C251" s="1"/>
      <c r="D251" s="1"/>
      <c r="E251" s="1"/>
      <c r="F251" s="1"/>
      <c r="G251" s="1"/>
      <c r="H251" s="1"/>
      <c r="I251" s="1"/>
      <c r="J251" s="1"/>
      <c r="K251" s="1"/>
      <c r="L251" s="1"/>
      <c r="M251" s="5"/>
      <c r="N251" s="5"/>
      <c r="O251" s="5"/>
      <c r="P251" s="5"/>
      <c r="Q251" s="1"/>
      <c r="R251" s="1"/>
      <c r="S251" s="1"/>
      <c r="T251" s="1"/>
      <c r="U251" s="1"/>
      <c r="V251" s="1"/>
      <c r="W251" s="1"/>
      <c r="X251" s="1"/>
      <c r="Y251" s="1"/>
      <c r="Z251" s="1"/>
      <c r="AA251" s="1"/>
      <c r="AB251" s="1"/>
      <c r="AC251" s="1"/>
    </row>
    <row r="252" spans="1:29" ht="14.25" customHeight="1" x14ac:dyDescent="0.2">
      <c r="A252" s="1"/>
      <c r="B252" s="1"/>
      <c r="C252" s="1"/>
      <c r="D252" s="1"/>
      <c r="E252" s="1"/>
      <c r="F252" s="1"/>
      <c r="G252" s="1"/>
      <c r="H252" s="1"/>
      <c r="I252" s="1"/>
      <c r="J252" s="1"/>
      <c r="K252" s="1"/>
      <c r="L252" s="1"/>
      <c r="M252" s="5"/>
      <c r="N252" s="5"/>
      <c r="O252" s="5"/>
      <c r="P252" s="5"/>
      <c r="Q252" s="1"/>
      <c r="R252" s="1"/>
      <c r="S252" s="1"/>
      <c r="T252" s="1"/>
      <c r="U252" s="1"/>
      <c r="V252" s="1"/>
      <c r="W252" s="1"/>
      <c r="X252" s="1"/>
      <c r="Y252" s="1"/>
      <c r="Z252" s="1"/>
      <c r="AA252" s="1"/>
      <c r="AB252" s="1"/>
      <c r="AC252" s="1"/>
    </row>
    <row r="253" spans="1:29" ht="14.25" customHeight="1" x14ac:dyDescent="0.2">
      <c r="A253" s="1"/>
      <c r="B253" s="1"/>
      <c r="C253" s="1"/>
      <c r="D253" s="1"/>
      <c r="E253" s="1"/>
      <c r="F253" s="1"/>
      <c r="G253" s="1"/>
      <c r="H253" s="1"/>
      <c r="I253" s="1"/>
      <c r="J253" s="1"/>
      <c r="K253" s="1"/>
      <c r="L253" s="1"/>
      <c r="M253" s="5"/>
      <c r="N253" s="5"/>
      <c r="O253" s="5"/>
      <c r="P253" s="5"/>
      <c r="Q253" s="1"/>
      <c r="R253" s="1"/>
      <c r="S253" s="1"/>
      <c r="T253" s="1"/>
      <c r="U253" s="1"/>
      <c r="V253" s="1"/>
      <c r="W253" s="1"/>
      <c r="X253" s="1"/>
      <c r="Y253" s="1"/>
      <c r="Z253" s="1"/>
      <c r="AA253" s="1"/>
      <c r="AB253" s="1"/>
      <c r="AC253" s="1"/>
    </row>
    <row r="254" spans="1:29" ht="14.25" customHeight="1" x14ac:dyDescent="0.2">
      <c r="A254" s="1"/>
      <c r="B254" s="1"/>
      <c r="C254" s="1"/>
      <c r="D254" s="1"/>
      <c r="E254" s="1"/>
      <c r="F254" s="1"/>
      <c r="G254" s="1"/>
      <c r="H254" s="1"/>
      <c r="I254" s="1"/>
      <c r="J254" s="1"/>
      <c r="K254" s="1"/>
      <c r="L254" s="1"/>
      <c r="M254" s="5"/>
      <c r="N254" s="5"/>
      <c r="O254" s="5"/>
      <c r="P254" s="5"/>
      <c r="Q254" s="1"/>
      <c r="R254" s="1"/>
      <c r="S254" s="1"/>
      <c r="T254" s="1"/>
      <c r="U254" s="1"/>
      <c r="V254" s="1"/>
      <c r="W254" s="1"/>
      <c r="X254" s="1"/>
      <c r="Y254" s="1"/>
      <c r="Z254" s="1"/>
      <c r="AA254" s="1"/>
      <c r="AB254" s="1"/>
      <c r="AC254" s="1"/>
    </row>
    <row r="255" spans="1:29" ht="14.25" customHeight="1" x14ac:dyDescent="0.2">
      <c r="A255" s="1"/>
      <c r="B255" s="1"/>
      <c r="C255" s="1"/>
      <c r="D255" s="1"/>
      <c r="E255" s="1"/>
      <c r="F255" s="1"/>
      <c r="G255" s="1"/>
      <c r="H255" s="1"/>
      <c r="I255" s="1"/>
      <c r="J255" s="1"/>
      <c r="K255" s="1"/>
      <c r="L255" s="1"/>
      <c r="M255" s="5"/>
      <c r="N255" s="5"/>
      <c r="O255" s="5"/>
      <c r="P255" s="5"/>
      <c r="Q255" s="1"/>
      <c r="R255" s="1"/>
      <c r="S255" s="1"/>
      <c r="T255" s="1"/>
      <c r="U255" s="1"/>
      <c r="V255" s="1"/>
      <c r="W255" s="1"/>
      <c r="X255" s="1"/>
      <c r="Y255" s="1"/>
      <c r="Z255" s="1"/>
      <c r="AA255" s="1"/>
      <c r="AB255" s="1"/>
      <c r="AC255" s="1"/>
    </row>
    <row r="256" spans="1:29" ht="14.25" customHeight="1" x14ac:dyDescent="0.2">
      <c r="A256" s="1"/>
      <c r="B256" s="1"/>
      <c r="C256" s="1"/>
      <c r="D256" s="1"/>
      <c r="E256" s="1"/>
      <c r="F256" s="1"/>
      <c r="G256" s="1"/>
      <c r="H256" s="1"/>
      <c r="I256" s="1"/>
      <c r="J256" s="1"/>
      <c r="K256" s="1"/>
      <c r="L256" s="1"/>
      <c r="M256" s="5"/>
      <c r="N256" s="5"/>
      <c r="O256" s="5"/>
      <c r="P256" s="5"/>
      <c r="Q256" s="1"/>
      <c r="R256" s="1"/>
      <c r="S256" s="1"/>
      <c r="T256" s="1"/>
      <c r="U256" s="1"/>
      <c r="V256" s="1"/>
      <c r="W256" s="1"/>
      <c r="X256" s="1"/>
      <c r="Y256" s="1"/>
      <c r="Z256" s="1"/>
      <c r="AA256" s="1"/>
      <c r="AB256" s="1"/>
      <c r="AC256" s="1"/>
    </row>
    <row r="257" spans="1:29" ht="14.25" customHeight="1" x14ac:dyDescent="0.2">
      <c r="A257" s="1"/>
      <c r="B257" s="1"/>
      <c r="C257" s="1"/>
      <c r="D257" s="1"/>
      <c r="E257" s="1"/>
      <c r="F257" s="1"/>
      <c r="G257" s="1"/>
      <c r="H257" s="1"/>
      <c r="I257" s="1"/>
      <c r="J257" s="1"/>
      <c r="K257" s="1"/>
      <c r="L257" s="1"/>
      <c r="M257" s="5"/>
      <c r="N257" s="5"/>
      <c r="O257" s="5"/>
      <c r="P257" s="5"/>
      <c r="Q257" s="1"/>
      <c r="R257" s="1"/>
      <c r="S257" s="1"/>
      <c r="T257" s="1"/>
      <c r="U257" s="1"/>
      <c r="V257" s="1"/>
      <c r="W257" s="1"/>
      <c r="X257" s="1"/>
      <c r="Y257" s="1"/>
      <c r="Z257" s="1"/>
      <c r="AA257" s="1"/>
      <c r="AB257" s="1"/>
      <c r="AC257" s="1"/>
    </row>
    <row r="258" spans="1:29" ht="14.25" customHeight="1" x14ac:dyDescent="0.2">
      <c r="A258" s="1"/>
      <c r="B258" s="1"/>
      <c r="C258" s="1"/>
      <c r="D258" s="1"/>
      <c r="E258" s="1"/>
      <c r="F258" s="1"/>
      <c r="G258" s="1"/>
      <c r="H258" s="1"/>
      <c r="I258" s="1"/>
      <c r="J258" s="1"/>
      <c r="K258" s="1"/>
      <c r="L258" s="1"/>
      <c r="M258" s="5"/>
      <c r="N258" s="5"/>
      <c r="O258" s="5"/>
      <c r="P258" s="5"/>
      <c r="Q258" s="1"/>
      <c r="R258" s="1"/>
      <c r="S258" s="1"/>
      <c r="T258" s="1"/>
      <c r="U258" s="1"/>
      <c r="V258" s="1"/>
      <c r="W258" s="1"/>
      <c r="X258" s="1"/>
      <c r="Y258" s="1"/>
      <c r="Z258" s="1"/>
      <c r="AA258" s="1"/>
      <c r="AB258" s="1"/>
      <c r="AC258" s="1"/>
    </row>
    <row r="259" spans="1:29" ht="14.25" customHeight="1" x14ac:dyDescent="0.2">
      <c r="A259" s="1"/>
      <c r="B259" s="1"/>
      <c r="C259" s="1"/>
      <c r="D259" s="1"/>
      <c r="E259" s="1"/>
      <c r="F259" s="1"/>
      <c r="G259" s="1"/>
      <c r="H259" s="1"/>
      <c r="I259" s="1"/>
      <c r="J259" s="1"/>
      <c r="K259" s="1"/>
      <c r="L259" s="1"/>
      <c r="M259" s="5"/>
      <c r="N259" s="5"/>
      <c r="O259" s="5"/>
      <c r="P259" s="5"/>
      <c r="Q259" s="1"/>
      <c r="R259" s="1"/>
      <c r="S259" s="1"/>
      <c r="T259" s="1"/>
      <c r="U259" s="1"/>
      <c r="V259" s="1"/>
      <c r="W259" s="1"/>
      <c r="X259" s="1"/>
      <c r="Y259" s="1"/>
      <c r="Z259" s="1"/>
      <c r="AA259" s="1"/>
      <c r="AB259" s="1"/>
      <c r="AC259" s="1"/>
    </row>
    <row r="260" spans="1:29" ht="14.25" customHeight="1" x14ac:dyDescent="0.2">
      <c r="A260" s="1"/>
      <c r="B260" s="1"/>
      <c r="C260" s="1"/>
      <c r="D260" s="1"/>
      <c r="E260" s="1"/>
      <c r="F260" s="1"/>
      <c r="G260" s="1"/>
      <c r="H260" s="1"/>
      <c r="I260" s="1"/>
      <c r="J260" s="1"/>
      <c r="K260" s="1"/>
      <c r="L260" s="1"/>
      <c r="M260" s="5"/>
      <c r="N260" s="5"/>
      <c r="O260" s="5"/>
      <c r="P260" s="5"/>
      <c r="Q260" s="1"/>
      <c r="R260" s="1"/>
      <c r="S260" s="1"/>
      <c r="T260" s="1"/>
      <c r="U260" s="1"/>
      <c r="V260" s="1"/>
      <c r="W260" s="1"/>
      <c r="X260" s="1"/>
      <c r="Y260" s="1"/>
      <c r="Z260" s="1"/>
      <c r="AA260" s="1"/>
      <c r="AB260" s="1"/>
      <c r="AC260" s="1"/>
    </row>
    <row r="261" spans="1:29" ht="14.25" customHeight="1" x14ac:dyDescent="0.2">
      <c r="A261" s="1"/>
      <c r="B261" s="1"/>
      <c r="C261" s="1"/>
      <c r="D261" s="1"/>
      <c r="E261" s="1"/>
      <c r="F261" s="1"/>
      <c r="G261" s="1"/>
      <c r="H261" s="1"/>
      <c r="I261" s="1"/>
      <c r="J261" s="1"/>
      <c r="K261" s="1"/>
      <c r="L261" s="1"/>
      <c r="M261" s="5"/>
      <c r="N261" s="5"/>
      <c r="O261" s="5"/>
      <c r="P261" s="5"/>
      <c r="Q261" s="1"/>
      <c r="R261" s="1"/>
      <c r="S261" s="1"/>
      <c r="T261" s="1"/>
      <c r="U261" s="1"/>
      <c r="V261" s="1"/>
      <c r="W261" s="1"/>
      <c r="X261" s="1"/>
      <c r="Y261" s="1"/>
      <c r="Z261" s="1"/>
      <c r="AA261" s="1"/>
      <c r="AB261" s="1"/>
      <c r="AC261" s="1"/>
    </row>
    <row r="262" spans="1:29" ht="14.25" customHeight="1" x14ac:dyDescent="0.2">
      <c r="A262" s="1"/>
      <c r="B262" s="1"/>
      <c r="C262" s="1"/>
      <c r="D262" s="1"/>
      <c r="E262" s="1"/>
      <c r="F262" s="1"/>
      <c r="G262" s="1"/>
      <c r="H262" s="1"/>
      <c r="I262" s="1"/>
      <c r="J262" s="1"/>
      <c r="K262" s="1"/>
      <c r="L262" s="1"/>
      <c r="M262" s="5"/>
      <c r="N262" s="5"/>
      <c r="O262" s="5"/>
      <c r="P262" s="5"/>
      <c r="Q262" s="1"/>
      <c r="R262" s="1"/>
      <c r="S262" s="1"/>
      <c r="T262" s="1"/>
      <c r="U262" s="1"/>
      <c r="V262" s="1"/>
      <c r="W262" s="1"/>
      <c r="X262" s="1"/>
      <c r="Y262" s="1"/>
      <c r="Z262" s="1"/>
      <c r="AA262" s="1"/>
      <c r="AB262" s="1"/>
      <c r="AC262" s="1"/>
    </row>
    <row r="263" spans="1:29" ht="14.25" customHeight="1" x14ac:dyDescent="0.2">
      <c r="A263" s="1"/>
      <c r="B263" s="1"/>
      <c r="C263" s="1"/>
      <c r="D263" s="1"/>
      <c r="E263" s="1"/>
      <c r="F263" s="1"/>
      <c r="G263" s="1"/>
      <c r="H263" s="1"/>
      <c r="I263" s="1"/>
      <c r="J263" s="1"/>
      <c r="K263" s="1"/>
      <c r="L263" s="1"/>
      <c r="M263" s="5"/>
      <c r="N263" s="5"/>
      <c r="O263" s="5"/>
      <c r="P263" s="5"/>
      <c r="Q263" s="1"/>
      <c r="R263" s="1"/>
      <c r="S263" s="1"/>
      <c r="T263" s="1"/>
      <c r="U263" s="1"/>
      <c r="V263" s="1"/>
      <c r="W263" s="1"/>
      <c r="X263" s="1"/>
      <c r="Y263" s="1"/>
      <c r="Z263" s="1"/>
      <c r="AA263" s="1"/>
      <c r="AB263" s="1"/>
      <c r="AC263" s="1"/>
    </row>
    <row r="264" spans="1:29" ht="14.25" customHeight="1" x14ac:dyDescent="0.2">
      <c r="A264" s="1"/>
      <c r="B264" s="1"/>
      <c r="C264" s="1"/>
      <c r="D264" s="1"/>
      <c r="E264" s="1"/>
      <c r="F264" s="1"/>
      <c r="G264" s="1"/>
      <c r="H264" s="1"/>
      <c r="I264" s="1"/>
      <c r="J264" s="1"/>
      <c r="K264" s="1"/>
      <c r="L264" s="1"/>
      <c r="M264" s="5"/>
      <c r="N264" s="5"/>
      <c r="O264" s="5"/>
      <c r="P264" s="5"/>
      <c r="Q264" s="1"/>
      <c r="R264" s="1"/>
      <c r="S264" s="1"/>
      <c r="T264" s="1"/>
      <c r="U264" s="1"/>
      <c r="V264" s="1"/>
      <c r="W264" s="1"/>
      <c r="X264" s="1"/>
      <c r="Y264" s="1"/>
      <c r="Z264" s="1"/>
      <c r="AA264" s="1"/>
      <c r="AB264" s="1"/>
      <c r="AC264" s="1"/>
    </row>
    <row r="265" spans="1:29" ht="14.25" customHeight="1" x14ac:dyDescent="0.2">
      <c r="A265" s="1"/>
      <c r="B265" s="1"/>
      <c r="C265" s="1"/>
      <c r="D265" s="1"/>
      <c r="E265" s="1"/>
      <c r="F265" s="1"/>
      <c r="G265" s="1"/>
      <c r="H265" s="1"/>
      <c r="I265" s="1"/>
      <c r="J265" s="1"/>
      <c r="K265" s="1"/>
      <c r="L265" s="1"/>
      <c r="M265" s="5"/>
      <c r="N265" s="5"/>
      <c r="O265" s="5"/>
      <c r="P265" s="5"/>
      <c r="Q265" s="1"/>
      <c r="R265" s="1"/>
      <c r="S265" s="1"/>
      <c r="T265" s="1"/>
      <c r="U265" s="1"/>
      <c r="V265" s="1"/>
      <c r="W265" s="1"/>
      <c r="X265" s="1"/>
      <c r="Y265" s="1"/>
      <c r="Z265" s="1"/>
      <c r="AA265" s="1"/>
      <c r="AB265" s="1"/>
      <c r="AC265" s="1"/>
    </row>
    <row r="266" spans="1:29" ht="14.25" customHeight="1" x14ac:dyDescent="0.2">
      <c r="A266" s="1"/>
      <c r="B266" s="1"/>
      <c r="C266" s="1"/>
      <c r="D266" s="1"/>
      <c r="E266" s="1"/>
      <c r="F266" s="1"/>
      <c r="G266" s="1"/>
      <c r="H266" s="1"/>
      <c r="I266" s="1"/>
      <c r="J266" s="1"/>
      <c r="K266" s="1"/>
      <c r="L266" s="1"/>
      <c r="M266" s="5"/>
      <c r="N266" s="5"/>
      <c r="O266" s="5"/>
      <c r="P266" s="5"/>
      <c r="Q266" s="1"/>
      <c r="R266" s="1"/>
      <c r="S266" s="1"/>
      <c r="T266" s="1"/>
      <c r="U266" s="1"/>
      <c r="V266" s="1"/>
      <c r="W266" s="1"/>
      <c r="X266" s="1"/>
      <c r="Y266" s="1"/>
      <c r="Z266" s="1"/>
      <c r="AA266" s="1"/>
      <c r="AB266" s="1"/>
      <c r="AC266" s="1"/>
    </row>
    <row r="267" spans="1:29" ht="14.25" customHeight="1" x14ac:dyDescent="0.2">
      <c r="A267" s="1"/>
      <c r="B267" s="1"/>
      <c r="C267" s="1"/>
      <c r="D267" s="1"/>
      <c r="E267" s="1"/>
      <c r="F267" s="1"/>
      <c r="G267" s="1"/>
      <c r="H267" s="1"/>
      <c r="I267" s="1"/>
      <c r="J267" s="1"/>
      <c r="K267" s="1"/>
      <c r="L267" s="1"/>
      <c r="M267" s="5"/>
      <c r="N267" s="5"/>
      <c r="O267" s="5"/>
      <c r="P267" s="5"/>
      <c r="Q267" s="1"/>
      <c r="R267" s="1"/>
      <c r="S267" s="1"/>
      <c r="T267" s="1"/>
      <c r="U267" s="1"/>
      <c r="V267" s="1"/>
      <c r="W267" s="1"/>
      <c r="X267" s="1"/>
      <c r="Y267" s="1"/>
      <c r="Z267" s="1"/>
      <c r="AA267" s="1"/>
      <c r="AB267" s="1"/>
      <c r="AC267" s="1"/>
    </row>
    <row r="268" spans="1:29" ht="14.25" customHeight="1" x14ac:dyDescent="0.2">
      <c r="A268" s="1"/>
      <c r="B268" s="1"/>
      <c r="C268" s="1"/>
      <c r="D268" s="1"/>
      <c r="E268" s="1"/>
      <c r="F268" s="1"/>
      <c r="G268" s="1"/>
      <c r="H268" s="1"/>
      <c r="I268" s="1"/>
      <c r="J268" s="1"/>
      <c r="K268" s="1"/>
      <c r="L268" s="1"/>
      <c r="M268" s="5"/>
      <c r="N268" s="5"/>
      <c r="O268" s="5"/>
      <c r="P268" s="5"/>
      <c r="Q268" s="1"/>
      <c r="R268" s="1"/>
      <c r="S268" s="1"/>
      <c r="T268" s="1"/>
      <c r="U268" s="1"/>
      <c r="V268" s="1"/>
      <c r="W268" s="1"/>
      <c r="X268" s="1"/>
      <c r="Y268" s="1"/>
      <c r="Z268" s="1"/>
      <c r="AA268" s="1"/>
      <c r="AB268" s="1"/>
      <c r="AC268" s="1"/>
    </row>
    <row r="269" spans="1:29" ht="14.25" customHeight="1" x14ac:dyDescent="0.2">
      <c r="A269" s="1"/>
      <c r="B269" s="1"/>
      <c r="C269" s="1"/>
      <c r="D269" s="1"/>
      <c r="E269" s="1"/>
      <c r="F269" s="1"/>
      <c r="G269" s="1"/>
      <c r="H269" s="1"/>
      <c r="I269" s="1"/>
      <c r="J269" s="1"/>
      <c r="K269" s="1"/>
      <c r="L269" s="1"/>
      <c r="M269" s="5"/>
      <c r="N269" s="5"/>
      <c r="O269" s="5"/>
      <c r="P269" s="5"/>
      <c r="Q269" s="1"/>
      <c r="R269" s="1"/>
      <c r="S269" s="1"/>
      <c r="T269" s="1"/>
      <c r="U269" s="1"/>
      <c r="V269" s="1"/>
      <c r="W269" s="1"/>
      <c r="X269" s="1"/>
      <c r="Y269" s="1"/>
      <c r="Z269" s="1"/>
      <c r="AA269" s="1"/>
      <c r="AB269" s="1"/>
      <c r="AC269" s="1"/>
    </row>
    <row r="270" spans="1:29" ht="14.25" customHeight="1" x14ac:dyDescent="0.2">
      <c r="A270" s="1"/>
      <c r="B270" s="1"/>
      <c r="C270" s="1"/>
      <c r="D270" s="1"/>
      <c r="E270" s="1"/>
      <c r="F270" s="1"/>
      <c r="G270" s="1"/>
      <c r="H270" s="1"/>
      <c r="I270" s="1"/>
      <c r="J270" s="1"/>
      <c r="K270" s="1"/>
      <c r="L270" s="1"/>
      <c r="M270" s="5"/>
      <c r="N270" s="5"/>
      <c r="O270" s="5"/>
      <c r="P270" s="5"/>
      <c r="Q270" s="1"/>
      <c r="R270" s="1"/>
      <c r="S270" s="1"/>
      <c r="T270" s="1"/>
      <c r="U270" s="1"/>
      <c r="V270" s="1"/>
      <c r="W270" s="1"/>
      <c r="X270" s="1"/>
      <c r="Y270" s="1"/>
      <c r="Z270" s="1"/>
      <c r="AA270" s="1"/>
      <c r="AB270" s="1"/>
      <c r="AC270" s="1"/>
    </row>
    <row r="271" spans="1:29" ht="14.25" customHeight="1" x14ac:dyDescent="0.2">
      <c r="A271" s="1"/>
      <c r="B271" s="1"/>
      <c r="C271" s="1"/>
      <c r="D271" s="1"/>
      <c r="E271" s="1"/>
      <c r="F271" s="1"/>
      <c r="G271" s="1"/>
      <c r="H271" s="1"/>
      <c r="I271" s="1"/>
      <c r="J271" s="1"/>
      <c r="K271" s="1"/>
      <c r="L271" s="1"/>
      <c r="M271" s="5"/>
      <c r="N271" s="5"/>
      <c r="O271" s="5"/>
      <c r="P271" s="5"/>
      <c r="Q271" s="1"/>
      <c r="R271" s="1"/>
      <c r="S271" s="1"/>
      <c r="T271" s="1"/>
      <c r="U271" s="1"/>
      <c r="V271" s="1"/>
      <c r="W271" s="1"/>
      <c r="X271" s="1"/>
      <c r="Y271" s="1"/>
      <c r="Z271" s="1"/>
      <c r="AA271" s="1"/>
      <c r="AB271" s="1"/>
      <c r="AC271" s="1"/>
    </row>
    <row r="272" spans="1:29" ht="14.25" customHeight="1" x14ac:dyDescent="0.2">
      <c r="A272" s="1"/>
      <c r="B272" s="1"/>
      <c r="C272" s="1"/>
      <c r="D272" s="1"/>
      <c r="E272" s="1"/>
      <c r="F272" s="1"/>
      <c r="G272" s="1"/>
      <c r="H272" s="1"/>
      <c r="I272" s="1"/>
      <c r="J272" s="1"/>
      <c r="K272" s="1"/>
      <c r="L272" s="1"/>
      <c r="M272" s="5"/>
      <c r="N272" s="5"/>
      <c r="O272" s="5"/>
      <c r="P272" s="5"/>
      <c r="Q272" s="1"/>
      <c r="R272" s="1"/>
      <c r="S272" s="1"/>
      <c r="T272" s="1"/>
      <c r="U272" s="1"/>
      <c r="V272" s="1"/>
      <c r="W272" s="1"/>
      <c r="X272" s="1"/>
      <c r="Y272" s="1"/>
      <c r="Z272" s="1"/>
      <c r="AA272" s="1"/>
      <c r="AB272" s="1"/>
      <c r="AC272" s="1"/>
    </row>
    <row r="273" spans="1:29" ht="14.25" customHeight="1" x14ac:dyDescent="0.2">
      <c r="A273" s="1"/>
      <c r="B273" s="1"/>
      <c r="C273" s="1"/>
      <c r="D273" s="1"/>
      <c r="E273" s="1"/>
      <c r="F273" s="1"/>
      <c r="G273" s="1"/>
      <c r="H273" s="1"/>
      <c r="I273" s="1"/>
      <c r="J273" s="1"/>
      <c r="K273" s="1"/>
      <c r="L273" s="1"/>
      <c r="M273" s="5"/>
      <c r="N273" s="5"/>
      <c r="O273" s="5"/>
      <c r="P273" s="5"/>
      <c r="Q273" s="1"/>
      <c r="R273" s="1"/>
      <c r="S273" s="1"/>
      <c r="T273" s="1"/>
      <c r="U273" s="1"/>
      <c r="V273" s="1"/>
      <c r="W273" s="1"/>
      <c r="X273" s="1"/>
      <c r="Y273" s="1"/>
      <c r="Z273" s="1"/>
      <c r="AA273" s="1"/>
      <c r="AB273" s="1"/>
      <c r="AC273" s="1"/>
    </row>
    <row r="274" spans="1:29" ht="14.25" customHeight="1" x14ac:dyDescent="0.2">
      <c r="A274" s="1"/>
      <c r="B274" s="1"/>
      <c r="C274" s="1"/>
      <c r="D274" s="1"/>
      <c r="E274" s="1"/>
      <c r="F274" s="1"/>
      <c r="G274" s="1"/>
      <c r="H274" s="1"/>
      <c r="I274" s="1"/>
      <c r="J274" s="1"/>
      <c r="K274" s="1"/>
      <c r="L274" s="1"/>
      <c r="M274" s="5"/>
      <c r="N274" s="5"/>
      <c r="O274" s="5"/>
      <c r="P274" s="5"/>
      <c r="Q274" s="1"/>
      <c r="R274" s="1"/>
      <c r="S274" s="1"/>
      <c r="T274" s="1"/>
      <c r="U274" s="1"/>
      <c r="V274" s="1"/>
      <c r="W274" s="1"/>
      <c r="X274" s="1"/>
      <c r="Y274" s="1"/>
      <c r="Z274" s="1"/>
      <c r="AA274" s="1"/>
      <c r="AB274" s="1"/>
      <c r="AC274" s="1"/>
    </row>
    <row r="275" spans="1:29" ht="14.25" customHeight="1" x14ac:dyDescent="0.2">
      <c r="A275" s="1"/>
      <c r="B275" s="1"/>
      <c r="C275" s="1"/>
      <c r="D275" s="1"/>
      <c r="E275" s="1"/>
      <c r="F275" s="1"/>
      <c r="G275" s="1"/>
      <c r="H275" s="1"/>
      <c r="I275" s="1"/>
      <c r="J275" s="1"/>
      <c r="K275" s="1"/>
      <c r="L275" s="1"/>
      <c r="M275" s="5"/>
      <c r="N275" s="5"/>
      <c r="O275" s="5"/>
      <c r="P275" s="5"/>
      <c r="Q275" s="1"/>
      <c r="R275" s="1"/>
      <c r="S275" s="1"/>
      <c r="T275" s="1"/>
      <c r="U275" s="1"/>
      <c r="V275" s="1"/>
      <c r="W275" s="1"/>
      <c r="X275" s="1"/>
      <c r="Y275" s="1"/>
      <c r="Z275" s="1"/>
      <c r="AA275" s="1"/>
      <c r="AB275" s="1"/>
      <c r="AC275" s="1"/>
    </row>
    <row r="276" spans="1:29" ht="14.25" customHeight="1" x14ac:dyDescent="0.2">
      <c r="A276" s="1"/>
      <c r="B276" s="1"/>
      <c r="C276" s="1"/>
      <c r="D276" s="1"/>
      <c r="E276" s="1"/>
      <c r="F276" s="1"/>
      <c r="G276" s="1"/>
      <c r="H276" s="1"/>
      <c r="I276" s="1"/>
      <c r="J276" s="1"/>
      <c r="K276" s="1"/>
      <c r="L276" s="1"/>
      <c r="M276" s="5"/>
      <c r="N276" s="5"/>
      <c r="O276" s="5"/>
      <c r="P276" s="5"/>
      <c r="Q276" s="1"/>
      <c r="R276" s="1"/>
      <c r="S276" s="1"/>
      <c r="T276" s="1"/>
      <c r="U276" s="1"/>
      <c r="V276" s="1"/>
      <c r="W276" s="1"/>
      <c r="X276" s="1"/>
      <c r="Y276" s="1"/>
      <c r="Z276" s="1"/>
      <c r="AA276" s="1"/>
      <c r="AB276" s="1"/>
      <c r="AC276" s="1"/>
    </row>
    <row r="277" spans="1:29" ht="14.25" customHeight="1" x14ac:dyDescent="0.2">
      <c r="A277" s="1"/>
      <c r="B277" s="1"/>
      <c r="C277" s="1"/>
      <c r="D277" s="1"/>
      <c r="E277" s="1"/>
      <c r="F277" s="1"/>
      <c r="G277" s="1"/>
      <c r="H277" s="1"/>
      <c r="I277" s="1"/>
      <c r="J277" s="1"/>
      <c r="K277" s="1"/>
      <c r="L277" s="1"/>
      <c r="M277" s="5"/>
      <c r="N277" s="5"/>
      <c r="O277" s="5"/>
      <c r="P277" s="5"/>
      <c r="Q277" s="1"/>
      <c r="R277" s="1"/>
      <c r="S277" s="1"/>
      <c r="T277" s="1"/>
      <c r="U277" s="1"/>
      <c r="V277" s="1"/>
      <c r="W277" s="1"/>
      <c r="X277" s="1"/>
      <c r="Y277" s="1"/>
      <c r="Z277" s="1"/>
      <c r="AA277" s="1"/>
      <c r="AB277" s="1"/>
      <c r="AC277" s="1"/>
    </row>
    <row r="278" spans="1:29" ht="14.25" customHeight="1" x14ac:dyDescent="0.2">
      <c r="A278" s="1"/>
      <c r="B278" s="1"/>
      <c r="C278" s="1"/>
      <c r="D278" s="1"/>
      <c r="E278" s="1"/>
      <c r="F278" s="1"/>
      <c r="G278" s="1"/>
      <c r="H278" s="1"/>
      <c r="I278" s="1"/>
      <c r="J278" s="1"/>
      <c r="K278" s="1"/>
      <c r="L278" s="1"/>
      <c r="M278" s="5"/>
      <c r="N278" s="5"/>
      <c r="O278" s="5"/>
      <c r="P278" s="5"/>
      <c r="Q278" s="1"/>
      <c r="R278" s="1"/>
      <c r="S278" s="1"/>
      <c r="T278" s="1"/>
      <c r="U278" s="1"/>
      <c r="V278" s="1"/>
      <c r="W278" s="1"/>
      <c r="X278" s="1"/>
      <c r="Y278" s="1"/>
      <c r="Z278" s="1"/>
      <c r="AA278" s="1"/>
      <c r="AB278" s="1"/>
      <c r="AC278" s="1"/>
    </row>
    <row r="279" spans="1:29" ht="14.25" customHeight="1" x14ac:dyDescent="0.2">
      <c r="A279" s="1"/>
      <c r="B279" s="1"/>
      <c r="C279" s="1"/>
      <c r="D279" s="1"/>
      <c r="E279" s="1"/>
      <c r="F279" s="1"/>
      <c r="G279" s="1"/>
      <c r="H279" s="1"/>
      <c r="I279" s="1"/>
      <c r="J279" s="1"/>
      <c r="K279" s="1"/>
      <c r="L279" s="1"/>
      <c r="M279" s="5"/>
      <c r="N279" s="5"/>
      <c r="O279" s="5"/>
      <c r="P279" s="5"/>
      <c r="Q279" s="1"/>
      <c r="R279" s="1"/>
      <c r="S279" s="1"/>
      <c r="T279" s="1"/>
      <c r="U279" s="1"/>
      <c r="V279" s="1"/>
      <c r="W279" s="1"/>
      <c r="X279" s="1"/>
      <c r="Y279" s="1"/>
      <c r="Z279" s="1"/>
      <c r="AA279" s="1"/>
      <c r="AB279" s="1"/>
      <c r="AC279" s="1"/>
    </row>
    <row r="280" spans="1:29" ht="14.25" customHeight="1" x14ac:dyDescent="0.2">
      <c r="A280" s="1"/>
      <c r="B280" s="1"/>
      <c r="C280" s="1"/>
      <c r="D280" s="1"/>
      <c r="E280" s="1"/>
      <c r="F280" s="1"/>
      <c r="G280" s="1"/>
      <c r="H280" s="1"/>
      <c r="I280" s="1"/>
      <c r="J280" s="1"/>
      <c r="K280" s="1"/>
      <c r="L280" s="1"/>
      <c r="M280" s="5"/>
      <c r="N280" s="5"/>
      <c r="O280" s="5"/>
      <c r="P280" s="5"/>
      <c r="Q280" s="1"/>
      <c r="R280" s="1"/>
      <c r="S280" s="1"/>
      <c r="T280" s="1"/>
      <c r="U280" s="1"/>
      <c r="V280" s="1"/>
      <c r="W280" s="1"/>
      <c r="X280" s="1"/>
      <c r="Y280" s="1"/>
      <c r="Z280" s="1"/>
      <c r="AA280" s="1"/>
      <c r="AB280" s="1"/>
      <c r="AC280" s="1"/>
    </row>
    <row r="281" spans="1:29" ht="14.25" customHeight="1" x14ac:dyDescent="0.2">
      <c r="A281" s="1"/>
      <c r="B281" s="1"/>
      <c r="C281" s="1"/>
      <c r="D281" s="1"/>
      <c r="E281" s="1"/>
      <c r="F281" s="1"/>
      <c r="G281" s="1"/>
      <c r="H281" s="1"/>
      <c r="I281" s="1"/>
      <c r="J281" s="1"/>
      <c r="K281" s="1"/>
      <c r="L281" s="1"/>
      <c r="M281" s="5"/>
      <c r="N281" s="5"/>
      <c r="O281" s="5"/>
      <c r="P281" s="5"/>
      <c r="Q281" s="1"/>
      <c r="R281" s="1"/>
      <c r="S281" s="1"/>
      <c r="T281" s="1"/>
      <c r="U281" s="1"/>
      <c r="V281" s="1"/>
      <c r="W281" s="1"/>
      <c r="X281" s="1"/>
      <c r="Y281" s="1"/>
      <c r="Z281" s="1"/>
      <c r="AA281" s="1"/>
      <c r="AB281" s="1"/>
      <c r="AC281" s="1"/>
    </row>
    <row r="282" spans="1:29" ht="14.25" customHeight="1" x14ac:dyDescent="0.2">
      <c r="A282" s="1"/>
      <c r="B282" s="1"/>
      <c r="C282" s="1"/>
      <c r="D282" s="1"/>
      <c r="E282" s="1"/>
      <c r="F282" s="1"/>
      <c r="G282" s="1"/>
      <c r="H282" s="1"/>
      <c r="I282" s="1"/>
      <c r="J282" s="1"/>
      <c r="K282" s="1"/>
      <c r="L282" s="1"/>
      <c r="M282" s="5"/>
      <c r="N282" s="5"/>
      <c r="O282" s="5"/>
      <c r="P282" s="5"/>
      <c r="Q282" s="1"/>
      <c r="R282" s="1"/>
      <c r="S282" s="1"/>
      <c r="T282" s="1"/>
      <c r="U282" s="1"/>
      <c r="V282" s="1"/>
      <c r="W282" s="1"/>
      <c r="X282" s="1"/>
      <c r="Y282" s="1"/>
      <c r="Z282" s="1"/>
      <c r="AA282" s="1"/>
      <c r="AB282" s="1"/>
      <c r="AC282" s="1"/>
    </row>
    <row r="283" spans="1:29" ht="14.25" customHeight="1" x14ac:dyDescent="0.2">
      <c r="A283" s="1"/>
      <c r="B283" s="1"/>
      <c r="C283" s="1"/>
      <c r="D283" s="1"/>
      <c r="E283" s="1"/>
      <c r="F283" s="1"/>
      <c r="G283" s="1"/>
      <c r="H283" s="1"/>
      <c r="I283" s="1"/>
      <c r="J283" s="1"/>
      <c r="K283" s="1"/>
      <c r="L283" s="1"/>
      <c r="M283" s="5"/>
      <c r="N283" s="5"/>
      <c r="O283" s="5"/>
      <c r="P283" s="5"/>
      <c r="Q283" s="1"/>
      <c r="R283" s="1"/>
      <c r="S283" s="1"/>
      <c r="T283" s="1"/>
      <c r="U283" s="1"/>
      <c r="V283" s="1"/>
      <c r="W283" s="1"/>
      <c r="X283" s="1"/>
      <c r="Y283" s="1"/>
      <c r="Z283" s="1"/>
      <c r="AA283" s="1"/>
      <c r="AB283" s="1"/>
      <c r="AC283" s="1"/>
    </row>
    <row r="284" spans="1:29" ht="14.25" customHeight="1" x14ac:dyDescent="0.2">
      <c r="A284" s="1"/>
      <c r="B284" s="1"/>
      <c r="C284" s="1"/>
      <c r="D284" s="1"/>
      <c r="E284" s="1"/>
      <c r="F284" s="1"/>
      <c r="G284" s="1"/>
      <c r="H284" s="1"/>
      <c r="I284" s="1"/>
      <c r="J284" s="1"/>
      <c r="K284" s="1"/>
      <c r="L284" s="1"/>
      <c r="M284" s="5"/>
      <c r="N284" s="5"/>
      <c r="O284" s="5"/>
      <c r="P284" s="5"/>
      <c r="Q284" s="1"/>
      <c r="R284" s="1"/>
      <c r="S284" s="1"/>
      <c r="T284" s="1"/>
      <c r="U284" s="1"/>
      <c r="V284" s="1"/>
      <c r="W284" s="1"/>
      <c r="X284" s="1"/>
      <c r="Y284" s="1"/>
      <c r="Z284" s="1"/>
      <c r="AA284" s="1"/>
      <c r="AB284" s="1"/>
      <c r="AC284" s="1"/>
    </row>
    <row r="285" spans="1:29" ht="14.25" customHeight="1" x14ac:dyDescent="0.2">
      <c r="A285" s="1"/>
      <c r="B285" s="1"/>
      <c r="C285" s="1"/>
      <c r="D285" s="1"/>
      <c r="E285" s="1"/>
      <c r="F285" s="1"/>
      <c r="G285" s="1"/>
      <c r="H285" s="1"/>
      <c r="I285" s="1"/>
      <c r="J285" s="1"/>
      <c r="K285" s="1"/>
      <c r="L285" s="1"/>
      <c r="M285" s="5"/>
      <c r="N285" s="5"/>
      <c r="O285" s="5"/>
      <c r="P285" s="5"/>
      <c r="Q285" s="1"/>
      <c r="R285" s="1"/>
      <c r="S285" s="1"/>
      <c r="T285" s="1"/>
      <c r="U285" s="1"/>
      <c r="V285" s="1"/>
      <c r="W285" s="1"/>
      <c r="X285" s="1"/>
      <c r="Y285" s="1"/>
      <c r="Z285" s="1"/>
      <c r="AA285" s="1"/>
      <c r="AB285" s="1"/>
      <c r="AC285" s="1"/>
    </row>
    <row r="286" spans="1:29" ht="14.25" customHeight="1" x14ac:dyDescent="0.2">
      <c r="A286" s="1"/>
      <c r="B286" s="1"/>
      <c r="C286" s="1"/>
      <c r="D286" s="1"/>
      <c r="E286" s="1"/>
      <c r="F286" s="1"/>
      <c r="G286" s="1"/>
      <c r="H286" s="1"/>
      <c r="I286" s="1"/>
      <c r="J286" s="1"/>
      <c r="K286" s="1"/>
      <c r="L286" s="1"/>
      <c r="M286" s="5"/>
      <c r="N286" s="5"/>
      <c r="O286" s="5"/>
      <c r="P286" s="5"/>
      <c r="Q286" s="1"/>
      <c r="R286" s="1"/>
      <c r="S286" s="1"/>
      <c r="T286" s="1"/>
      <c r="U286" s="1"/>
      <c r="V286" s="1"/>
      <c r="W286" s="1"/>
      <c r="X286" s="1"/>
      <c r="Y286" s="1"/>
      <c r="Z286" s="1"/>
      <c r="AA286" s="1"/>
      <c r="AB286" s="1"/>
      <c r="AC286" s="1"/>
    </row>
    <row r="287" spans="1:29" ht="14.25" customHeight="1" x14ac:dyDescent="0.2">
      <c r="A287" s="1"/>
      <c r="B287" s="1"/>
      <c r="C287" s="1"/>
      <c r="D287" s="1"/>
      <c r="E287" s="1"/>
      <c r="F287" s="1"/>
      <c r="G287" s="1"/>
      <c r="H287" s="1"/>
      <c r="I287" s="1"/>
      <c r="J287" s="1"/>
      <c r="K287" s="1"/>
      <c r="L287" s="1"/>
      <c r="M287" s="5"/>
      <c r="N287" s="5"/>
      <c r="O287" s="5"/>
      <c r="P287" s="5"/>
      <c r="Q287" s="1"/>
      <c r="R287" s="1"/>
      <c r="S287" s="1"/>
      <c r="T287" s="1"/>
      <c r="U287" s="1"/>
      <c r="V287" s="1"/>
      <c r="W287" s="1"/>
      <c r="X287" s="1"/>
      <c r="Y287" s="1"/>
      <c r="Z287" s="1"/>
      <c r="AA287" s="1"/>
      <c r="AB287" s="1"/>
      <c r="AC287" s="1"/>
    </row>
    <row r="288" spans="1:29" ht="14.25" customHeight="1" x14ac:dyDescent="0.2">
      <c r="A288" s="1"/>
      <c r="B288" s="1"/>
      <c r="C288" s="1"/>
      <c r="D288" s="1"/>
      <c r="E288" s="1"/>
      <c r="F288" s="1"/>
      <c r="G288" s="1"/>
      <c r="H288" s="1"/>
      <c r="I288" s="1"/>
      <c r="J288" s="1"/>
      <c r="K288" s="1"/>
      <c r="L288" s="1"/>
      <c r="M288" s="5"/>
      <c r="N288" s="5"/>
      <c r="O288" s="5"/>
      <c r="P288" s="5"/>
      <c r="Q288" s="1"/>
      <c r="R288" s="1"/>
      <c r="S288" s="1"/>
      <c r="T288" s="1"/>
      <c r="U288" s="1"/>
      <c r="V288" s="1"/>
      <c r="W288" s="1"/>
      <c r="X288" s="1"/>
      <c r="Y288" s="1"/>
      <c r="Z288" s="1"/>
      <c r="AA288" s="1"/>
      <c r="AB288" s="1"/>
      <c r="AC288" s="1"/>
    </row>
    <row r="289" spans="1:29" ht="14.25" customHeight="1" x14ac:dyDescent="0.2">
      <c r="A289" s="1"/>
      <c r="B289" s="1"/>
      <c r="C289" s="1"/>
      <c r="D289" s="1"/>
      <c r="E289" s="1"/>
      <c r="F289" s="1"/>
      <c r="G289" s="1"/>
      <c r="H289" s="1"/>
      <c r="I289" s="1"/>
      <c r="J289" s="1"/>
      <c r="K289" s="1"/>
      <c r="L289" s="1"/>
      <c r="M289" s="5"/>
      <c r="N289" s="5"/>
      <c r="O289" s="5"/>
      <c r="P289" s="5"/>
      <c r="Q289" s="1"/>
      <c r="R289" s="1"/>
      <c r="S289" s="1"/>
      <c r="T289" s="1"/>
      <c r="U289" s="1"/>
      <c r="V289" s="1"/>
      <c r="W289" s="1"/>
      <c r="X289" s="1"/>
      <c r="Y289" s="1"/>
      <c r="Z289" s="1"/>
      <c r="AA289" s="1"/>
      <c r="AB289" s="1"/>
      <c r="AC289" s="1"/>
    </row>
    <row r="290" spans="1:29" ht="14.25" customHeight="1" x14ac:dyDescent="0.2">
      <c r="A290" s="1"/>
      <c r="B290" s="1"/>
      <c r="C290" s="1"/>
      <c r="D290" s="1"/>
      <c r="E290" s="1"/>
      <c r="F290" s="1"/>
      <c r="G290" s="1"/>
      <c r="H290" s="1"/>
      <c r="I290" s="1"/>
      <c r="J290" s="1"/>
      <c r="K290" s="1"/>
      <c r="L290" s="1"/>
      <c r="M290" s="5"/>
      <c r="N290" s="5"/>
      <c r="O290" s="5"/>
      <c r="P290" s="5"/>
      <c r="Q290" s="1"/>
      <c r="R290" s="1"/>
      <c r="S290" s="1"/>
      <c r="T290" s="1"/>
      <c r="U290" s="1"/>
      <c r="V290" s="1"/>
      <c r="W290" s="1"/>
      <c r="X290" s="1"/>
      <c r="Y290" s="1"/>
      <c r="Z290" s="1"/>
      <c r="AA290" s="1"/>
      <c r="AB290" s="1"/>
      <c r="AC290" s="1"/>
    </row>
    <row r="291" spans="1:29" ht="14.25" customHeight="1" x14ac:dyDescent="0.2">
      <c r="A291" s="1"/>
      <c r="B291" s="1"/>
      <c r="C291" s="1"/>
      <c r="D291" s="1"/>
      <c r="E291" s="1"/>
      <c r="F291" s="1"/>
      <c r="G291" s="1"/>
      <c r="H291" s="1"/>
      <c r="I291" s="1"/>
      <c r="J291" s="1"/>
      <c r="K291" s="1"/>
      <c r="L291" s="1"/>
      <c r="M291" s="5"/>
      <c r="N291" s="5"/>
      <c r="O291" s="5"/>
      <c r="P291" s="5"/>
      <c r="Q291" s="1"/>
      <c r="R291" s="1"/>
      <c r="S291" s="1"/>
      <c r="T291" s="1"/>
      <c r="U291" s="1"/>
      <c r="V291" s="1"/>
      <c r="W291" s="1"/>
      <c r="X291" s="1"/>
      <c r="Y291" s="1"/>
      <c r="Z291" s="1"/>
      <c r="AA291" s="1"/>
      <c r="AB291" s="1"/>
      <c r="AC291" s="1"/>
    </row>
    <row r="292" spans="1:29" ht="14.25" customHeight="1" x14ac:dyDescent="0.2">
      <c r="A292" s="1"/>
      <c r="B292" s="1"/>
      <c r="C292" s="1"/>
      <c r="D292" s="1"/>
      <c r="E292" s="1"/>
      <c r="F292" s="1"/>
      <c r="G292" s="1"/>
      <c r="H292" s="1"/>
      <c r="I292" s="1"/>
      <c r="J292" s="1"/>
      <c r="K292" s="1"/>
      <c r="L292" s="1"/>
      <c r="M292" s="5"/>
      <c r="N292" s="5"/>
      <c r="O292" s="5"/>
      <c r="P292" s="5"/>
      <c r="Q292" s="1"/>
      <c r="R292" s="1"/>
      <c r="S292" s="1"/>
      <c r="T292" s="1"/>
      <c r="U292" s="1"/>
      <c r="V292" s="1"/>
      <c r="W292" s="1"/>
      <c r="X292" s="1"/>
      <c r="Y292" s="1"/>
      <c r="Z292" s="1"/>
      <c r="AA292" s="1"/>
      <c r="AB292" s="1"/>
      <c r="AC292" s="1"/>
    </row>
    <row r="293" spans="1:29" ht="14.25" customHeight="1" x14ac:dyDescent="0.2">
      <c r="A293" s="1"/>
      <c r="B293" s="1"/>
      <c r="C293" s="1"/>
      <c r="D293" s="1"/>
      <c r="E293" s="1"/>
      <c r="F293" s="1"/>
      <c r="G293" s="1"/>
      <c r="H293" s="1"/>
      <c r="I293" s="1"/>
      <c r="J293" s="1"/>
      <c r="K293" s="1"/>
      <c r="L293" s="1"/>
      <c r="M293" s="5"/>
      <c r="N293" s="5"/>
      <c r="O293" s="5"/>
      <c r="P293" s="5"/>
      <c r="Q293" s="1"/>
      <c r="R293" s="1"/>
      <c r="S293" s="1"/>
      <c r="T293" s="1"/>
      <c r="U293" s="1"/>
      <c r="V293" s="1"/>
      <c r="W293" s="1"/>
      <c r="X293" s="1"/>
      <c r="Y293" s="1"/>
      <c r="Z293" s="1"/>
      <c r="AA293" s="1"/>
      <c r="AB293" s="1"/>
      <c r="AC293" s="1"/>
    </row>
    <row r="294" spans="1:29" ht="14.25" customHeight="1" x14ac:dyDescent="0.2">
      <c r="A294" s="1"/>
      <c r="B294" s="1"/>
      <c r="C294" s="1"/>
      <c r="D294" s="1"/>
      <c r="E294" s="1"/>
      <c r="F294" s="1"/>
      <c r="G294" s="1"/>
      <c r="H294" s="1"/>
      <c r="I294" s="1"/>
      <c r="J294" s="1"/>
      <c r="K294" s="1"/>
      <c r="L294" s="1"/>
      <c r="M294" s="5"/>
      <c r="N294" s="5"/>
      <c r="O294" s="5"/>
      <c r="P294" s="5"/>
      <c r="Q294" s="1"/>
      <c r="R294" s="1"/>
      <c r="S294" s="1"/>
      <c r="T294" s="1"/>
      <c r="U294" s="1"/>
      <c r="V294" s="1"/>
      <c r="W294" s="1"/>
      <c r="X294" s="1"/>
      <c r="Y294" s="1"/>
      <c r="Z294" s="1"/>
      <c r="AA294" s="1"/>
      <c r="AB294" s="1"/>
      <c r="AC294" s="1"/>
    </row>
    <row r="295" spans="1:29" ht="14.25" customHeight="1" x14ac:dyDescent="0.2">
      <c r="A295" s="1"/>
      <c r="B295" s="1"/>
      <c r="C295" s="1"/>
      <c r="D295" s="1"/>
      <c r="E295" s="1"/>
      <c r="F295" s="1"/>
      <c r="G295" s="1"/>
      <c r="H295" s="1"/>
      <c r="I295" s="1"/>
      <c r="J295" s="1"/>
      <c r="K295" s="1"/>
      <c r="L295" s="1"/>
      <c r="M295" s="5"/>
      <c r="N295" s="5"/>
      <c r="O295" s="5"/>
      <c r="P295" s="5"/>
      <c r="Q295" s="1"/>
      <c r="R295" s="1"/>
      <c r="S295" s="1"/>
      <c r="T295" s="1"/>
      <c r="U295" s="1"/>
      <c r="V295" s="1"/>
      <c r="W295" s="1"/>
      <c r="X295" s="1"/>
      <c r="Y295" s="1"/>
      <c r="Z295" s="1"/>
      <c r="AA295" s="1"/>
      <c r="AB295" s="1"/>
      <c r="AC295" s="1"/>
    </row>
    <row r="296" spans="1:29" ht="14.25" customHeight="1" x14ac:dyDescent="0.2">
      <c r="A296" s="1"/>
      <c r="B296" s="1"/>
      <c r="C296" s="1"/>
      <c r="D296" s="1"/>
      <c r="E296" s="1"/>
      <c r="F296" s="1"/>
      <c r="G296" s="1"/>
      <c r="H296" s="1"/>
      <c r="I296" s="1"/>
      <c r="J296" s="1"/>
      <c r="K296" s="1"/>
      <c r="L296" s="1"/>
      <c r="M296" s="5"/>
      <c r="N296" s="5"/>
      <c r="O296" s="5"/>
      <c r="P296" s="5"/>
      <c r="Q296" s="1"/>
      <c r="R296" s="1"/>
      <c r="S296" s="1"/>
      <c r="T296" s="1"/>
      <c r="U296" s="1"/>
      <c r="V296" s="1"/>
      <c r="W296" s="1"/>
      <c r="X296" s="1"/>
      <c r="Y296" s="1"/>
      <c r="Z296" s="1"/>
      <c r="AA296" s="1"/>
      <c r="AB296" s="1"/>
      <c r="AC296" s="1"/>
    </row>
    <row r="297" spans="1:29" ht="14.25" customHeight="1" x14ac:dyDescent="0.2">
      <c r="A297" s="1"/>
      <c r="B297" s="1"/>
      <c r="C297" s="1"/>
      <c r="D297" s="1"/>
      <c r="E297" s="1"/>
      <c r="F297" s="1"/>
      <c r="G297" s="1"/>
      <c r="H297" s="1"/>
      <c r="I297" s="1"/>
      <c r="J297" s="1"/>
      <c r="K297" s="1"/>
      <c r="L297" s="1"/>
      <c r="M297" s="5"/>
      <c r="N297" s="5"/>
      <c r="O297" s="5"/>
      <c r="P297" s="5"/>
      <c r="Q297" s="1"/>
      <c r="R297" s="1"/>
      <c r="S297" s="1"/>
      <c r="T297" s="1"/>
      <c r="U297" s="1"/>
      <c r="V297" s="1"/>
      <c r="W297" s="1"/>
      <c r="X297" s="1"/>
      <c r="Y297" s="1"/>
      <c r="Z297" s="1"/>
      <c r="AA297" s="1"/>
      <c r="AB297" s="1"/>
      <c r="AC297" s="1"/>
    </row>
    <row r="298" spans="1:29" ht="14.25" customHeight="1" x14ac:dyDescent="0.2">
      <c r="A298" s="1"/>
      <c r="B298" s="1"/>
      <c r="C298" s="1"/>
      <c r="D298" s="1"/>
      <c r="E298" s="1"/>
      <c r="F298" s="1"/>
      <c r="G298" s="1"/>
      <c r="H298" s="1"/>
      <c r="I298" s="1"/>
      <c r="J298" s="1"/>
      <c r="K298" s="1"/>
      <c r="L298" s="1"/>
      <c r="M298" s="5"/>
      <c r="N298" s="5"/>
      <c r="O298" s="5"/>
      <c r="P298" s="5"/>
      <c r="Q298" s="1"/>
      <c r="R298" s="1"/>
      <c r="S298" s="1"/>
      <c r="T298" s="1"/>
      <c r="U298" s="1"/>
      <c r="V298" s="1"/>
      <c r="W298" s="1"/>
      <c r="X298" s="1"/>
      <c r="Y298" s="1"/>
      <c r="Z298" s="1"/>
      <c r="AA298" s="1"/>
      <c r="AB298" s="1"/>
      <c r="AC298" s="1"/>
    </row>
    <row r="299" spans="1:29" ht="14.25" customHeight="1" x14ac:dyDescent="0.2">
      <c r="A299" s="1"/>
      <c r="B299" s="1"/>
      <c r="C299" s="1"/>
      <c r="D299" s="1"/>
      <c r="E299" s="1"/>
      <c r="F299" s="1"/>
      <c r="G299" s="1"/>
      <c r="H299" s="1"/>
      <c r="I299" s="1"/>
      <c r="J299" s="1"/>
      <c r="K299" s="1"/>
      <c r="L299" s="1"/>
      <c r="M299" s="5"/>
      <c r="N299" s="5"/>
      <c r="O299" s="5"/>
      <c r="P299" s="5"/>
      <c r="Q299" s="1"/>
      <c r="R299" s="1"/>
      <c r="S299" s="1"/>
      <c r="T299" s="1"/>
      <c r="U299" s="1"/>
      <c r="V299" s="1"/>
      <c r="W299" s="1"/>
      <c r="X299" s="1"/>
      <c r="Y299" s="1"/>
      <c r="Z299" s="1"/>
      <c r="AA299" s="1"/>
      <c r="AB299" s="1"/>
      <c r="AC299" s="1"/>
    </row>
    <row r="300" spans="1:29" ht="14.25" customHeight="1" x14ac:dyDescent="0.2">
      <c r="A300" s="1"/>
      <c r="B300" s="1"/>
      <c r="C300" s="1"/>
      <c r="D300" s="1"/>
      <c r="E300" s="1"/>
      <c r="F300" s="1"/>
      <c r="G300" s="1"/>
      <c r="H300" s="1"/>
      <c r="I300" s="1"/>
      <c r="J300" s="1"/>
      <c r="K300" s="1"/>
      <c r="L300" s="1"/>
      <c r="M300" s="5"/>
      <c r="N300" s="5"/>
      <c r="O300" s="5"/>
      <c r="P300" s="5"/>
      <c r="Q300" s="1"/>
      <c r="R300" s="1"/>
      <c r="S300" s="1"/>
      <c r="T300" s="1"/>
      <c r="U300" s="1"/>
      <c r="V300" s="1"/>
      <c r="W300" s="1"/>
      <c r="X300" s="1"/>
      <c r="Y300" s="1"/>
      <c r="Z300" s="1"/>
      <c r="AA300" s="1"/>
      <c r="AB300" s="1"/>
      <c r="AC300" s="1"/>
    </row>
    <row r="301" spans="1:29" ht="14.25" customHeight="1" x14ac:dyDescent="0.2">
      <c r="A301" s="1"/>
      <c r="B301" s="1"/>
      <c r="C301" s="1"/>
      <c r="D301" s="1"/>
      <c r="E301" s="1"/>
      <c r="F301" s="1"/>
      <c r="G301" s="1"/>
      <c r="H301" s="1"/>
      <c r="I301" s="1"/>
      <c r="J301" s="1"/>
      <c r="K301" s="1"/>
      <c r="L301" s="1"/>
      <c r="M301" s="5"/>
      <c r="N301" s="5"/>
      <c r="O301" s="5"/>
      <c r="P301" s="5"/>
      <c r="Q301" s="1"/>
      <c r="R301" s="1"/>
      <c r="S301" s="1"/>
      <c r="T301" s="1"/>
      <c r="U301" s="1"/>
      <c r="V301" s="1"/>
      <c r="W301" s="1"/>
      <c r="X301" s="1"/>
      <c r="Y301" s="1"/>
      <c r="Z301" s="1"/>
      <c r="AA301" s="1"/>
      <c r="AB301" s="1"/>
      <c r="AC301" s="1"/>
    </row>
    <row r="302" spans="1:29" ht="14.25" customHeight="1" x14ac:dyDescent="0.2">
      <c r="A302" s="1"/>
      <c r="B302" s="1"/>
      <c r="C302" s="1"/>
      <c r="D302" s="1"/>
      <c r="E302" s="1"/>
      <c r="F302" s="1"/>
      <c r="G302" s="1"/>
      <c r="H302" s="1"/>
      <c r="I302" s="1"/>
      <c r="J302" s="1"/>
      <c r="K302" s="1"/>
      <c r="L302" s="1"/>
      <c r="M302" s="5"/>
      <c r="N302" s="5"/>
      <c r="O302" s="5"/>
      <c r="P302" s="5"/>
      <c r="Q302" s="1"/>
      <c r="R302" s="1"/>
      <c r="S302" s="1"/>
      <c r="T302" s="1"/>
      <c r="U302" s="1"/>
      <c r="V302" s="1"/>
      <c r="W302" s="1"/>
      <c r="X302" s="1"/>
      <c r="Y302" s="1"/>
      <c r="Z302" s="1"/>
      <c r="AA302" s="1"/>
      <c r="AB302" s="1"/>
      <c r="AC302" s="1"/>
    </row>
    <row r="303" spans="1:29" ht="14.25" customHeight="1" x14ac:dyDescent="0.2">
      <c r="A303" s="1"/>
      <c r="B303" s="1"/>
      <c r="C303" s="1"/>
      <c r="D303" s="1"/>
      <c r="E303" s="1"/>
      <c r="F303" s="1"/>
      <c r="G303" s="1"/>
      <c r="H303" s="1"/>
      <c r="I303" s="1"/>
      <c r="J303" s="1"/>
      <c r="K303" s="1"/>
      <c r="L303" s="1"/>
      <c r="M303" s="5"/>
      <c r="N303" s="5"/>
      <c r="O303" s="5"/>
      <c r="P303" s="5"/>
      <c r="Q303" s="1"/>
      <c r="R303" s="1"/>
      <c r="S303" s="1"/>
      <c r="T303" s="1"/>
      <c r="U303" s="1"/>
      <c r="V303" s="1"/>
      <c r="W303" s="1"/>
      <c r="X303" s="1"/>
      <c r="Y303" s="1"/>
      <c r="Z303" s="1"/>
      <c r="AA303" s="1"/>
      <c r="AB303" s="1"/>
      <c r="AC303" s="1"/>
    </row>
    <row r="304" spans="1:29" ht="14.25" customHeight="1" x14ac:dyDescent="0.2">
      <c r="A304" s="1"/>
      <c r="B304" s="1"/>
      <c r="C304" s="1"/>
      <c r="D304" s="1"/>
      <c r="E304" s="1"/>
      <c r="F304" s="1"/>
      <c r="G304" s="1"/>
      <c r="H304" s="1"/>
      <c r="I304" s="1"/>
      <c r="J304" s="1"/>
      <c r="K304" s="1"/>
      <c r="L304" s="1"/>
      <c r="M304" s="5"/>
      <c r="N304" s="5"/>
      <c r="O304" s="5"/>
      <c r="P304" s="5"/>
      <c r="Q304" s="1"/>
      <c r="R304" s="1"/>
      <c r="S304" s="1"/>
      <c r="T304" s="1"/>
      <c r="U304" s="1"/>
      <c r="V304" s="1"/>
      <c r="W304" s="1"/>
      <c r="X304" s="1"/>
      <c r="Y304" s="1"/>
      <c r="Z304" s="1"/>
      <c r="AA304" s="1"/>
      <c r="AB304" s="1"/>
      <c r="AC304" s="1"/>
    </row>
    <row r="305" spans="1:29" ht="14.25" customHeight="1" x14ac:dyDescent="0.2">
      <c r="A305" s="1"/>
      <c r="B305" s="1"/>
      <c r="C305" s="1"/>
      <c r="D305" s="1"/>
      <c r="E305" s="1"/>
      <c r="F305" s="1"/>
      <c r="G305" s="1"/>
      <c r="H305" s="1"/>
      <c r="I305" s="1"/>
      <c r="J305" s="1"/>
      <c r="K305" s="1"/>
      <c r="L305" s="1"/>
      <c r="M305" s="5"/>
      <c r="N305" s="5"/>
      <c r="O305" s="5"/>
      <c r="P305" s="5"/>
      <c r="Q305" s="1"/>
      <c r="R305" s="1"/>
      <c r="S305" s="1"/>
      <c r="T305" s="1"/>
      <c r="U305" s="1"/>
      <c r="V305" s="1"/>
      <c r="W305" s="1"/>
      <c r="X305" s="1"/>
      <c r="Y305" s="1"/>
      <c r="Z305" s="1"/>
      <c r="AA305" s="1"/>
      <c r="AB305" s="1"/>
      <c r="AC305" s="1"/>
    </row>
    <row r="306" spans="1:29" ht="14.25" customHeight="1" x14ac:dyDescent="0.2">
      <c r="A306" s="1"/>
      <c r="B306" s="1"/>
      <c r="C306" s="1"/>
      <c r="D306" s="1"/>
      <c r="E306" s="1"/>
      <c r="F306" s="1"/>
      <c r="G306" s="1"/>
      <c r="H306" s="1"/>
      <c r="I306" s="1"/>
      <c r="J306" s="1"/>
      <c r="K306" s="1"/>
      <c r="L306" s="1"/>
      <c r="M306" s="5"/>
      <c r="N306" s="5"/>
      <c r="O306" s="5"/>
      <c r="P306" s="5"/>
      <c r="Q306" s="1"/>
      <c r="R306" s="1"/>
      <c r="S306" s="1"/>
      <c r="T306" s="1"/>
      <c r="U306" s="1"/>
      <c r="V306" s="1"/>
      <c r="W306" s="1"/>
      <c r="X306" s="1"/>
      <c r="Y306" s="1"/>
      <c r="Z306" s="1"/>
      <c r="AA306" s="1"/>
      <c r="AB306" s="1"/>
      <c r="AC306" s="1"/>
    </row>
    <row r="307" spans="1:29" ht="14.25" customHeight="1" x14ac:dyDescent="0.2">
      <c r="A307" s="1"/>
      <c r="B307" s="1"/>
      <c r="C307" s="1"/>
      <c r="D307" s="1"/>
      <c r="E307" s="1"/>
      <c r="F307" s="1"/>
      <c r="G307" s="1"/>
      <c r="H307" s="1"/>
      <c r="I307" s="1"/>
      <c r="J307" s="1"/>
      <c r="K307" s="1"/>
      <c r="L307" s="1"/>
      <c r="M307" s="5"/>
      <c r="N307" s="5"/>
      <c r="O307" s="5"/>
      <c r="P307" s="5"/>
      <c r="Q307" s="1"/>
      <c r="R307" s="1"/>
      <c r="S307" s="1"/>
      <c r="T307" s="1"/>
      <c r="U307" s="1"/>
      <c r="V307" s="1"/>
      <c r="W307" s="1"/>
      <c r="X307" s="1"/>
      <c r="Y307" s="1"/>
      <c r="Z307" s="1"/>
      <c r="AA307" s="1"/>
      <c r="AB307" s="1"/>
      <c r="AC307" s="1"/>
    </row>
    <row r="308" spans="1:29" ht="14.25" customHeight="1" x14ac:dyDescent="0.2">
      <c r="A308" s="1"/>
      <c r="B308" s="1"/>
      <c r="C308" s="1"/>
      <c r="D308" s="1"/>
      <c r="E308" s="1"/>
      <c r="F308" s="1"/>
      <c r="G308" s="1"/>
      <c r="H308" s="1"/>
      <c r="I308" s="1"/>
      <c r="J308" s="1"/>
      <c r="K308" s="1"/>
      <c r="L308" s="1"/>
      <c r="M308" s="5"/>
      <c r="N308" s="5"/>
      <c r="O308" s="5"/>
      <c r="P308" s="5"/>
      <c r="Q308" s="1"/>
      <c r="R308" s="1"/>
      <c r="S308" s="1"/>
      <c r="T308" s="1"/>
      <c r="U308" s="1"/>
      <c r="V308" s="1"/>
      <c r="W308" s="1"/>
      <c r="X308" s="1"/>
      <c r="Y308" s="1"/>
      <c r="Z308" s="1"/>
      <c r="AA308" s="1"/>
      <c r="AB308" s="1"/>
      <c r="AC308" s="1"/>
    </row>
    <row r="309" spans="1:29" ht="14.25" customHeight="1" x14ac:dyDescent="0.2">
      <c r="A309" s="1"/>
      <c r="B309" s="1"/>
      <c r="C309" s="1"/>
      <c r="D309" s="1"/>
      <c r="E309" s="1"/>
      <c r="F309" s="1"/>
      <c r="G309" s="1"/>
      <c r="H309" s="1"/>
      <c r="I309" s="1"/>
      <c r="J309" s="1"/>
      <c r="K309" s="1"/>
      <c r="L309" s="1"/>
      <c r="M309" s="5"/>
      <c r="N309" s="5"/>
      <c r="O309" s="5"/>
      <c r="P309" s="5"/>
      <c r="Q309" s="1"/>
      <c r="R309" s="1"/>
      <c r="S309" s="1"/>
      <c r="T309" s="1"/>
      <c r="U309" s="1"/>
      <c r="V309" s="1"/>
      <c r="W309" s="1"/>
      <c r="X309" s="1"/>
      <c r="Y309" s="1"/>
      <c r="Z309" s="1"/>
      <c r="AA309" s="1"/>
      <c r="AB309" s="1"/>
      <c r="AC309" s="1"/>
    </row>
    <row r="310" spans="1:29" ht="14.25" customHeight="1" x14ac:dyDescent="0.2">
      <c r="A310" s="1"/>
      <c r="B310" s="1"/>
      <c r="C310" s="1"/>
      <c r="D310" s="1"/>
      <c r="E310" s="1"/>
      <c r="F310" s="1"/>
      <c r="G310" s="1"/>
      <c r="H310" s="1"/>
      <c r="I310" s="1"/>
      <c r="J310" s="1"/>
      <c r="K310" s="1"/>
      <c r="L310" s="1"/>
      <c r="M310" s="5"/>
      <c r="N310" s="5"/>
      <c r="O310" s="5"/>
      <c r="P310" s="5"/>
      <c r="Q310" s="1"/>
      <c r="R310" s="1"/>
      <c r="S310" s="1"/>
      <c r="T310" s="1"/>
      <c r="U310" s="1"/>
      <c r="V310" s="1"/>
      <c r="W310" s="1"/>
      <c r="X310" s="1"/>
      <c r="Y310" s="1"/>
      <c r="Z310" s="1"/>
      <c r="AA310" s="1"/>
      <c r="AB310" s="1"/>
      <c r="AC310" s="1"/>
    </row>
    <row r="311" spans="1:29" ht="14.25" customHeight="1" x14ac:dyDescent="0.2">
      <c r="A311" s="1"/>
      <c r="B311" s="1"/>
      <c r="C311" s="1"/>
      <c r="D311" s="1"/>
      <c r="E311" s="1"/>
      <c r="F311" s="1"/>
      <c r="G311" s="1"/>
      <c r="H311" s="1"/>
      <c r="I311" s="1"/>
      <c r="J311" s="1"/>
      <c r="K311" s="1"/>
      <c r="L311" s="1"/>
      <c r="M311" s="5"/>
      <c r="N311" s="5"/>
      <c r="O311" s="5"/>
      <c r="P311" s="5"/>
      <c r="Q311" s="1"/>
      <c r="R311" s="1"/>
      <c r="S311" s="1"/>
      <c r="T311" s="1"/>
      <c r="U311" s="1"/>
      <c r="V311" s="1"/>
      <c r="W311" s="1"/>
      <c r="X311" s="1"/>
      <c r="Y311" s="1"/>
      <c r="Z311" s="1"/>
      <c r="AA311" s="1"/>
      <c r="AB311" s="1"/>
      <c r="AC311" s="1"/>
    </row>
    <row r="312" spans="1:29" ht="14.25" customHeight="1" x14ac:dyDescent="0.2">
      <c r="A312" s="1"/>
      <c r="B312" s="1"/>
      <c r="C312" s="1"/>
      <c r="D312" s="1"/>
      <c r="E312" s="1"/>
      <c r="F312" s="1"/>
      <c r="G312" s="1"/>
      <c r="H312" s="1"/>
      <c r="I312" s="1"/>
      <c r="J312" s="1"/>
      <c r="K312" s="1"/>
      <c r="L312" s="1"/>
      <c r="M312" s="5"/>
      <c r="N312" s="5"/>
      <c r="O312" s="5"/>
      <c r="P312" s="5"/>
      <c r="Q312" s="1"/>
      <c r="R312" s="1"/>
      <c r="S312" s="1"/>
      <c r="T312" s="1"/>
      <c r="U312" s="1"/>
      <c r="V312" s="1"/>
      <c r="W312" s="1"/>
      <c r="X312" s="1"/>
      <c r="Y312" s="1"/>
      <c r="Z312" s="1"/>
      <c r="AA312" s="1"/>
      <c r="AB312" s="1"/>
      <c r="AC312" s="1"/>
    </row>
    <row r="313" spans="1:29" ht="14.25" customHeight="1" x14ac:dyDescent="0.2">
      <c r="A313" s="1"/>
      <c r="B313" s="1"/>
      <c r="C313" s="1"/>
      <c r="D313" s="1"/>
      <c r="E313" s="1"/>
      <c r="F313" s="1"/>
      <c r="G313" s="1"/>
      <c r="H313" s="1"/>
      <c r="I313" s="1"/>
      <c r="J313" s="1"/>
      <c r="K313" s="1"/>
      <c r="L313" s="1"/>
      <c r="M313" s="5"/>
      <c r="N313" s="5"/>
      <c r="O313" s="5"/>
      <c r="P313" s="5"/>
      <c r="Q313" s="1"/>
      <c r="R313" s="1"/>
      <c r="S313" s="1"/>
      <c r="T313" s="1"/>
      <c r="U313" s="1"/>
      <c r="V313" s="1"/>
      <c r="W313" s="1"/>
      <c r="X313" s="1"/>
      <c r="Y313" s="1"/>
      <c r="Z313" s="1"/>
      <c r="AA313" s="1"/>
      <c r="AB313" s="1"/>
      <c r="AC313" s="1"/>
    </row>
    <row r="314" spans="1:29" ht="14.25" customHeight="1" x14ac:dyDescent="0.2">
      <c r="A314" s="1"/>
      <c r="B314" s="1"/>
      <c r="C314" s="1"/>
      <c r="D314" s="1"/>
      <c r="E314" s="1"/>
      <c r="F314" s="1"/>
      <c r="G314" s="1"/>
      <c r="H314" s="1"/>
      <c r="I314" s="1"/>
      <c r="J314" s="1"/>
      <c r="K314" s="1"/>
      <c r="L314" s="1"/>
      <c r="M314" s="5"/>
      <c r="N314" s="5"/>
      <c r="O314" s="5"/>
      <c r="P314" s="5"/>
      <c r="Q314" s="1"/>
      <c r="R314" s="1"/>
      <c r="S314" s="1"/>
      <c r="T314" s="1"/>
      <c r="U314" s="1"/>
      <c r="V314" s="1"/>
      <c r="W314" s="1"/>
      <c r="X314" s="1"/>
      <c r="Y314" s="1"/>
      <c r="Z314" s="1"/>
      <c r="AA314" s="1"/>
      <c r="AB314" s="1"/>
      <c r="AC314" s="1"/>
    </row>
    <row r="315" spans="1:29" ht="14.25" customHeight="1" x14ac:dyDescent="0.2">
      <c r="A315" s="1"/>
      <c r="B315" s="1"/>
      <c r="C315" s="1"/>
      <c r="D315" s="1"/>
      <c r="E315" s="1"/>
      <c r="F315" s="1"/>
      <c r="G315" s="1"/>
      <c r="H315" s="1"/>
      <c r="I315" s="1"/>
      <c r="J315" s="1"/>
      <c r="K315" s="1"/>
      <c r="L315" s="1"/>
      <c r="M315" s="5"/>
      <c r="N315" s="5"/>
      <c r="O315" s="5"/>
      <c r="P315" s="5"/>
      <c r="Q315" s="1"/>
      <c r="R315" s="1"/>
      <c r="S315" s="1"/>
      <c r="T315" s="1"/>
      <c r="U315" s="1"/>
      <c r="V315" s="1"/>
      <c r="W315" s="1"/>
      <c r="X315" s="1"/>
      <c r="Y315" s="1"/>
      <c r="Z315" s="1"/>
      <c r="AA315" s="1"/>
      <c r="AB315" s="1"/>
      <c r="AC315" s="1"/>
    </row>
    <row r="316" spans="1:29" ht="14.25" customHeight="1" x14ac:dyDescent="0.2">
      <c r="A316" s="1"/>
      <c r="B316" s="1"/>
      <c r="C316" s="1"/>
      <c r="D316" s="1"/>
      <c r="E316" s="1"/>
      <c r="F316" s="1"/>
      <c r="G316" s="1"/>
      <c r="H316" s="1"/>
      <c r="I316" s="1"/>
      <c r="J316" s="1"/>
      <c r="K316" s="1"/>
      <c r="L316" s="1"/>
      <c r="M316" s="5"/>
      <c r="N316" s="5"/>
      <c r="O316" s="5"/>
      <c r="P316" s="5"/>
      <c r="Q316" s="1"/>
      <c r="R316" s="1"/>
      <c r="S316" s="1"/>
      <c r="T316" s="1"/>
      <c r="U316" s="1"/>
      <c r="V316" s="1"/>
      <c r="W316" s="1"/>
      <c r="X316" s="1"/>
      <c r="Y316" s="1"/>
      <c r="Z316" s="1"/>
      <c r="AA316" s="1"/>
      <c r="AB316" s="1"/>
      <c r="AC316" s="1"/>
    </row>
    <row r="317" spans="1:29" ht="14.25" customHeight="1" x14ac:dyDescent="0.2">
      <c r="A317" s="1"/>
      <c r="B317" s="1"/>
      <c r="C317" s="1"/>
      <c r="D317" s="1"/>
      <c r="E317" s="1"/>
      <c r="F317" s="1"/>
      <c r="G317" s="1"/>
      <c r="H317" s="1"/>
      <c r="I317" s="1"/>
      <c r="J317" s="1"/>
      <c r="K317" s="1"/>
      <c r="L317" s="1"/>
      <c r="M317" s="5"/>
      <c r="N317" s="5"/>
      <c r="O317" s="5"/>
      <c r="P317" s="5"/>
      <c r="Q317" s="1"/>
      <c r="R317" s="1"/>
      <c r="S317" s="1"/>
      <c r="T317" s="1"/>
      <c r="U317" s="1"/>
      <c r="V317" s="1"/>
      <c r="W317" s="1"/>
      <c r="X317" s="1"/>
      <c r="Y317" s="1"/>
      <c r="Z317" s="1"/>
      <c r="AA317" s="1"/>
      <c r="AB317" s="1"/>
      <c r="AC317" s="1"/>
    </row>
    <row r="318" spans="1:29" ht="14.25" customHeight="1" x14ac:dyDescent="0.2">
      <c r="A318" s="1"/>
      <c r="B318" s="1"/>
      <c r="C318" s="1"/>
      <c r="D318" s="1"/>
      <c r="E318" s="1"/>
      <c r="F318" s="1"/>
      <c r="G318" s="1"/>
      <c r="H318" s="1"/>
      <c r="I318" s="1"/>
      <c r="J318" s="1"/>
      <c r="K318" s="1"/>
      <c r="L318" s="1"/>
      <c r="M318" s="5"/>
      <c r="N318" s="5"/>
      <c r="O318" s="5"/>
      <c r="P318" s="5"/>
      <c r="Q318" s="1"/>
      <c r="R318" s="1"/>
      <c r="S318" s="1"/>
      <c r="T318" s="1"/>
      <c r="U318" s="1"/>
      <c r="V318" s="1"/>
      <c r="W318" s="1"/>
      <c r="X318" s="1"/>
      <c r="Y318" s="1"/>
      <c r="Z318" s="1"/>
      <c r="AA318" s="1"/>
      <c r="AB318" s="1"/>
      <c r="AC318" s="1"/>
    </row>
    <row r="319" spans="1:29" ht="14.25" customHeight="1" x14ac:dyDescent="0.2">
      <c r="A319" s="1"/>
      <c r="B319" s="1"/>
      <c r="C319" s="1"/>
      <c r="D319" s="1"/>
      <c r="E319" s="1"/>
      <c r="F319" s="1"/>
      <c r="G319" s="1"/>
      <c r="H319" s="1"/>
      <c r="I319" s="1"/>
      <c r="J319" s="1"/>
      <c r="K319" s="1"/>
      <c r="L319" s="1"/>
      <c r="M319" s="5"/>
      <c r="N319" s="5"/>
      <c r="O319" s="5"/>
      <c r="P319" s="5"/>
      <c r="Q319" s="1"/>
      <c r="R319" s="1"/>
      <c r="S319" s="1"/>
      <c r="T319" s="1"/>
      <c r="U319" s="1"/>
      <c r="V319" s="1"/>
      <c r="W319" s="1"/>
      <c r="X319" s="1"/>
      <c r="Y319" s="1"/>
      <c r="Z319" s="1"/>
      <c r="AA319" s="1"/>
      <c r="AB319" s="1"/>
      <c r="AC319" s="1"/>
    </row>
    <row r="320" spans="1:29" ht="14.25" customHeight="1" x14ac:dyDescent="0.2">
      <c r="A320" s="1"/>
      <c r="B320" s="1"/>
      <c r="C320" s="1"/>
      <c r="D320" s="1"/>
      <c r="E320" s="1"/>
      <c r="F320" s="1"/>
      <c r="G320" s="1"/>
      <c r="H320" s="1"/>
      <c r="I320" s="1"/>
      <c r="J320" s="1"/>
      <c r="K320" s="1"/>
      <c r="L320" s="1"/>
      <c r="M320" s="5"/>
      <c r="N320" s="5"/>
      <c r="O320" s="5"/>
      <c r="P320" s="5"/>
      <c r="Q320" s="1"/>
      <c r="R320" s="1"/>
      <c r="S320" s="1"/>
      <c r="T320" s="1"/>
      <c r="U320" s="1"/>
      <c r="V320" s="1"/>
      <c r="W320" s="1"/>
      <c r="X320" s="1"/>
      <c r="Y320" s="1"/>
      <c r="Z320" s="1"/>
      <c r="AA320" s="1"/>
      <c r="AB320" s="1"/>
      <c r="AC320" s="1"/>
    </row>
    <row r="321" spans="1:29" ht="14.25" customHeight="1" x14ac:dyDescent="0.2">
      <c r="A321" s="1"/>
      <c r="B321" s="1"/>
      <c r="C321" s="1"/>
      <c r="D321" s="1"/>
      <c r="E321" s="1"/>
      <c r="F321" s="1"/>
      <c r="G321" s="1"/>
      <c r="H321" s="1"/>
      <c r="I321" s="1"/>
      <c r="J321" s="1"/>
      <c r="K321" s="1"/>
      <c r="L321" s="1"/>
      <c r="M321" s="5"/>
      <c r="N321" s="5"/>
      <c r="O321" s="5"/>
      <c r="P321" s="5"/>
      <c r="Q321" s="1"/>
      <c r="R321" s="1"/>
      <c r="S321" s="1"/>
      <c r="T321" s="1"/>
      <c r="U321" s="1"/>
      <c r="V321" s="1"/>
      <c r="W321" s="1"/>
      <c r="X321" s="1"/>
      <c r="Y321" s="1"/>
      <c r="Z321" s="1"/>
      <c r="AA321" s="1"/>
      <c r="AB321" s="1"/>
      <c r="AC321" s="1"/>
    </row>
    <row r="322" spans="1:29" ht="14.25" customHeight="1" x14ac:dyDescent="0.2">
      <c r="A322" s="1"/>
      <c r="B322" s="1"/>
      <c r="C322" s="1"/>
      <c r="D322" s="1"/>
      <c r="E322" s="1"/>
      <c r="F322" s="1"/>
      <c r="G322" s="1"/>
      <c r="H322" s="1"/>
      <c r="I322" s="1"/>
      <c r="J322" s="1"/>
      <c r="K322" s="1"/>
      <c r="L322" s="1"/>
      <c r="M322" s="5"/>
      <c r="N322" s="5"/>
      <c r="O322" s="5"/>
      <c r="P322" s="5"/>
      <c r="Q322" s="1"/>
      <c r="R322" s="1"/>
      <c r="S322" s="1"/>
      <c r="T322" s="1"/>
      <c r="U322" s="1"/>
      <c r="V322" s="1"/>
      <c r="W322" s="1"/>
      <c r="X322" s="1"/>
      <c r="Y322" s="1"/>
      <c r="Z322" s="1"/>
      <c r="AA322" s="1"/>
      <c r="AB322" s="1"/>
      <c r="AC322" s="1"/>
    </row>
    <row r="323" spans="1:29" ht="14.25" customHeight="1" x14ac:dyDescent="0.2">
      <c r="A323" s="1"/>
      <c r="B323" s="1"/>
      <c r="C323" s="1"/>
      <c r="D323" s="1"/>
      <c r="E323" s="1"/>
      <c r="F323" s="1"/>
      <c r="G323" s="1"/>
      <c r="H323" s="1"/>
      <c r="I323" s="1"/>
      <c r="J323" s="1"/>
      <c r="K323" s="1"/>
      <c r="L323" s="1"/>
      <c r="M323" s="5"/>
      <c r="N323" s="5"/>
      <c r="O323" s="5"/>
      <c r="P323" s="5"/>
      <c r="Q323" s="1"/>
      <c r="R323" s="1"/>
      <c r="S323" s="1"/>
      <c r="T323" s="1"/>
      <c r="U323" s="1"/>
      <c r="V323" s="1"/>
      <c r="W323" s="1"/>
      <c r="X323" s="1"/>
      <c r="Y323" s="1"/>
      <c r="Z323" s="1"/>
      <c r="AA323" s="1"/>
      <c r="AB323" s="1"/>
      <c r="AC323" s="1"/>
    </row>
    <row r="324" spans="1:29" ht="14.25" customHeight="1" x14ac:dyDescent="0.2">
      <c r="A324" s="1"/>
      <c r="B324" s="1"/>
      <c r="C324" s="1"/>
      <c r="D324" s="1"/>
      <c r="E324" s="1"/>
      <c r="F324" s="1"/>
      <c r="G324" s="1"/>
      <c r="H324" s="1"/>
      <c r="I324" s="1"/>
      <c r="J324" s="1"/>
      <c r="K324" s="1"/>
      <c r="L324" s="1"/>
      <c r="M324" s="5"/>
      <c r="N324" s="5"/>
      <c r="O324" s="5"/>
      <c r="P324" s="5"/>
      <c r="Q324" s="1"/>
      <c r="R324" s="1"/>
      <c r="S324" s="1"/>
      <c r="T324" s="1"/>
      <c r="U324" s="1"/>
      <c r="V324" s="1"/>
      <c r="W324" s="1"/>
      <c r="X324" s="1"/>
      <c r="Y324" s="1"/>
      <c r="Z324" s="1"/>
      <c r="AA324" s="1"/>
      <c r="AB324" s="1"/>
      <c r="AC324" s="1"/>
    </row>
    <row r="325" spans="1:29" ht="14.25" customHeight="1" x14ac:dyDescent="0.2">
      <c r="A325" s="1"/>
      <c r="B325" s="1"/>
      <c r="C325" s="1"/>
      <c r="D325" s="1"/>
      <c r="E325" s="1"/>
      <c r="F325" s="1"/>
      <c r="G325" s="1"/>
      <c r="H325" s="1"/>
      <c r="I325" s="1"/>
      <c r="J325" s="1"/>
      <c r="K325" s="1"/>
      <c r="L325" s="1"/>
      <c r="M325" s="5"/>
      <c r="N325" s="5"/>
      <c r="O325" s="5"/>
      <c r="P325" s="5"/>
      <c r="Q325" s="1"/>
      <c r="R325" s="1"/>
      <c r="S325" s="1"/>
      <c r="T325" s="1"/>
      <c r="U325" s="1"/>
      <c r="V325" s="1"/>
      <c r="W325" s="1"/>
      <c r="X325" s="1"/>
      <c r="Y325" s="1"/>
      <c r="Z325" s="1"/>
      <c r="AA325" s="1"/>
      <c r="AB325" s="1"/>
      <c r="AC325" s="1"/>
    </row>
    <row r="326" spans="1:29" ht="14.25" customHeight="1" x14ac:dyDescent="0.2">
      <c r="A326" s="1"/>
      <c r="B326" s="1"/>
      <c r="C326" s="1"/>
      <c r="D326" s="1"/>
      <c r="E326" s="1"/>
      <c r="F326" s="1"/>
      <c r="G326" s="1"/>
      <c r="H326" s="1"/>
      <c r="I326" s="1"/>
      <c r="J326" s="1"/>
      <c r="K326" s="1"/>
      <c r="L326" s="1"/>
      <c r="M326" s="5"/>
      <c r="N326" s="5"/>
      <c r="O326" s="5"/>
      <c r="P326" s="5"/>
      <c r="Q326" s="1"/>
      <c r="R326" s="1"/>
      <c r="S326" s="1"/>
      <c r="T326" s="1"/>
      <c r="U326" s="1"/>
      <c r="V326" s="1"/>
      <c r="W326" s="1"/>
      <c r="X326" s="1"/>
      <c r="Y326" s="1"/>
      <c r="Z326" s="1"/>
      <c r="AA326" s="1"/>
      <c r="AB326" s="1"/>
      <c r="AC326" s="1"/>
    </row>
    <row r="327" spans="1:29" ht="14.25" customHeight="1" x14ac:dyDescent="0.2">
      <c r="A327" s="1"/>
      <c r="B327" s="1"/>
      <c r="C327" s="1"/>
      <c r="D327" s="1"/>
      <c r="E327" s="1"/>
      <c r="F327" s="1"/>
      <c r="G327" s="1"/>
      <c r="H327" s="1"/>
      <c r="I327" s="1"/>
      <c r="J327" s="1"/>
      <c r="K327" s="1"/>
      <c r="L327" s="1"/>
      <c r="M327" s="5"/>
      <c r="N327" s="5"/>
      <c r="O327" s="5"/>
      <c r="P327" s="5"/>
      <c r="Q327" s="1"/>
      <c r="R327" s="1"/>
      <c r="S327" s="1"/>
      <c r="T327" s="1"/>
      <c r="U327" s="1"/>
      <c r="V327" s="1"/>
      <c r="W327" s="1"/>
      <c r="X327" s="1"/>
      <c r="Y327" s="1"/>
      <c r="Z327" s="1"/>
      <c r="AA327" s="1"/>
      <c r="AB327" s="1"/>
      <c r="AC327" s="1"/>
    </row>
    <row r="328" spans="1:29" ht="14.25" customHeight="1" x14ac:dyDescent="0.2">
      <c r="A328" s="1"/>
      <c r="B328" s="1"/>
      <c r="C328" s="1"/>
      <c r="D328" s="1"/>
      <c r="E328" s="1"/>
      <c r="F328" s="1"/>
      <c r="G328" s="1"/>
      <c r="H328" s="1"/>
      <c r="I328" s="1"/>
      <c r="J328" s="1"/>
      <c r="K328" s="1"/>
      <c r="L328" s="1"/>
      <c r="M328" s="5"/>
      <c r="N328" s="5"/>
      <c r="O328" s="5"/>
      <c r="P328" s="5"/>
      <c r="Q328" s="1"/>
      <c r="R328" s="1"/>
      <c r="S328" s="1"/>
      <c r="T328" s="1"/>
      <c r="U328" s="1"/>
      <c r="V328" s="1"/>
      <c r="W328" s="1"/>
      <c r="X328" s="1"/>
      <c r="Y328" s="1"/>
      <c r="Z328" s="1"/>
      <c r="AA328" s="1"/>
      <c r="AB328" s="1"/>
      <c r="AC328" s="1"/>
    </row>
    <row r="329" spans="1:29" ht="14.25" customHeight="1" x14ac:dyDescent="0.2">
      <c r="A329" s="1"/>
      <c r="B329" s="1"/>
      <c r="C329" s="1"/>
      <c r="D329" s="1"/>
      <c r="E329" s="1"/>
      <c r="F329" s="1"/>
      <c r="G329" s="1"/>
      <c r="H329" s="1"/>
      <c r="I329" s="1"/>
      <c r="J329" s="1"/>
      <c r="K329" s="1"/>
      <c r="L329" s="1"/>
      <c r="M329" s="5"/>
      <c r="N329" s="5"/>
      <c r="O329" s="5"/>
      <c r="P329" s="5"/>
      <c r="Q329" s="1"/>
      <c r="R329" s="1"/>
      <c r="S329" s="1"/>
      <c r="T329" s="1"/>
      <c r="U329" s="1"/>
      <c r="V329" s="1"/>
      <c r="W329" s="1"/>
      <c r="X329" s="1"/>
      <c r="Y329" s="1"/>
      <c r="Z329" s="1"/>
      <c r="AA329" s="1"/>
      <c r="AB329" s="1"/>
      <c r="AC329" s="1"/>
    </row>
    <row r="330" spans="1:29" ht="14.25" customHeight="1" x14ac:dyDescent="0.2">
      <c r="A330" s="1"/>
      <c r="B330" s="1"/>
      <c r="C330" s="1"/>
      <c r="D330" s="1"/>
      <c r="E330" s="1"/>
      <c r="F330" s="1"/>
      <c r="G330" s="1"/>
      <c r="H330" s="1"/>
      <c r="I330" s="1"/>
      <c r="J330" s="1"/>
      <c r="K330" s="1"/>
      <c r="L330" s="1"/>
      <c r="M330" s="5"/>
      <c r="N330" s="5"/>
      <c r="O330" s="5"/>
      <c r="P330" s="5"/>
      <c r="Q330" s="1"/>
      <c r="R330" s="1"/>
      <c r="S330" s="1"/>
      <c r="T330" s="1"/>
      <c r="U330" s="1"/>
      <c r="V330" s="1"/>
      <c r="W330" s="1"/>
      <c r="X330" s="1"/>
      <c r="Y330" s="1"/>
      <c r="Z330" s="1"/>
      <c r="AA330" s="1"/>
      <c r="AB330" s="1"/>
      <c r="AC330" s="1"/>
    </row>
    <row r="331" spans="1:29" ht="14.25" customHeight="1" x14ac:dyDescent="0.2">
      <c r="A331" s="1"/>
      <c r="B331" s="1"/>
      <c r="C331" s="1"/>
      <c r="D331" s="1"/>
      <c r="E331" s="1"/>
      <c r="F331" s="1"/>
      <c r="G331" s="1"/>
      <c r="H331" s="1"/>
      <c r="I331" s="1"/>
      <c r="J331" s="1"/>
      <c r="K331" s="1"/>
      <c r="L331" s="1"/>
      <c r="M331" s="5"/>
      <c r="N331" s="5"/>
      <c r="O331" s="5"/>
      <c r="P331" s="5"/>
      <c r="Q331" s="1"/>
      <c r="R331" s="1"/>
      <c r="S331" s="1"/>
      <c r="T331" s="1"/>
      <c r="U331" s="1"/>
      <c r="V331" s="1"/>
      <c r="W331" s="1"/>
      <c r="X331" s="1"/>
      <c r="Y331" s="1"/>
      <c r="Z331" s="1"/>
      <c r="AA331" s="1"/>
      <c r="AB331" s="1"/>
      <c r="AC331" s="1"/>
    </row>
    <row r="332" spans="1:29" ht="14.25" customHeight="1" x14ac:dyDescent="0.2">
      <c r="A332" s="1"/>
      <c r="B332" s="1"/>
      <c r="C332" s="1"/>
      <c r="D332" s="1"/>
      <c r="E332" s="1"/>
      <c r="F332" s="1"/>
      <c r="G332" s="1"/>
      <c r="H332" s="1"/>
      <c r="I332" s="1"/>
      <c r="J332" s="1"/>
      <c r="K332" s="1"/>
      <c r="L332" s="1"/>
      <c r="M332" s="5"/>
      <c r="N332" s="5"/>
      <c r="O332" s="5"/>
      <c r="P332" s="5"/>
      <c r="Q332" s="1"/>
      <c r="R332" s="1"/>
      <c r="S332" s="1"/>
      <c r="T332" s="1"/>
      <c r="U332" s="1"/>
      <c r="V332" s="1"/>
      <c r="W332" s="1"/>
      <c r="X332" s="1"/>
      <c r="Y332" s="1"/>
      <c r="Z332" s="1"/>
      <c r="AA332" s="1"/>
      <c r="AB332" s="1"/>
      <c r="AC332" s="1"/>
    </row>
    <row r="333" spans="1:29" ht="14.25" customHeight="1" x14ac:dyDescent="0.2">
      <c r="A333" s="1"/>
      <c r="B333" s="1"/>
      <c r="C333" s="1"/>
      <c r="D333" s="1"/>
      <c r="E333" s="1"/>
      <c r="F333" s="1"/>
      <c r="G333" s="1"/>
      <c r="H333" s="1"/>
      <c r="I333" s="1"/>
      <c r="J333" s="1"/>
      <c r="K333" s="1"/>
      <c r="L333" s="1"/>
      <c r="M333" s="5"/>
      <c r="N333" s="5"/>
      <c r="O333" s="5"/>
      <c r="P333" s="5"/>
      <c r="Q333" s="1"/>
      <c r="R333" s="1"/>
      <c r="S333" s="1"/>
      <c r="T333" s="1"/>
      <c r="U333" s="1"/>
      <c r="V333" s="1"/>
      <c r="W333" s="1"/>
      <c r="X333" s="1"/>
      <c r="Y333" s="1"/>
      <c r="Z333" s="1"/>
      <c r="AA333" s="1"/>
      <c r="AB333" s="1"/>
      <c r="AC333" s="1"/>
    </row>
    <row r="334" spans="1:29" ht="14.25" customHeight="1" x14ac:dyDescent="0.2">
      <c r="A334" s="1"/>
      <c r="B334" s="1"/>
      <c r="C334" s="1"/>
      <c r="D334" s="1"/>
      <c r="E334" s="1"/>
      <c r="F334" s="1"/>
      <c r="G334" s="1"/>
      <c r="H334" s="1"/>
      <c r="I334" s="1"/>
      <c r="J334" s="1"/>
      <c r="K334" s="1"/>
      <c r="L334" s="1"/>
      <c r="M334" s="5"/>
      <c r="N334" s="5"/>
      <c r="O334" s="5"/>
      <c r="P334" s="5"/>
      <c r="Q334" s="1"/>
      <c r="R334" s="1"/>
      <c r="S334" s="1"/>
      <c r="T334" s="1"/>
      <c r="U334" s="1"/>
      <c r="V334" s="1"/>
      <c r="W334" s="1"/>
      <c r="X334" s="1"/>
      <c r="Y334" s="1"/>
      <c r="Z334" s="1"/>
      <c r="AA334" s="1"/>
      <c r="AB334" s="1"/>
      <c r="AC334" s="1"/>
    </row>
    <row r="335" spans="1:29" ht="14.25" customHeight="1" x14ac:dyDescent="0.2">
      <c r="A335" s="1"/>
      <c r="B335" s="1"/>
      <c r="C335" s="1"/>
      <c r="D335" s="1"/>
      <c r="E335" s="1"/>
      <c r="F335" s="1"/>
      <c r="G335" s="1"/>
      <c r="H335" s="1"/>
      <c r="I335" s="1"/>
      <c r="J335" s="1"/>
      <c r="K335" s="1"/>
      <c r="L335" s="1"/>
      <c r="M335" s="5"/>
      <c r="N335" s="5"/>
      <c r="O335" s="5"/>
      <c r="P335" s="5"/>
      <c r="Q335" s="1"/>
      <c r="R335" s="1"/>
      <c r="S335" s="1"/>
      <c r="T335" s="1"/>
      <c r="U335" s="1"/>
      <c r="V335" s="1"/>
      <c r="W335" s="1"/>
      <c r="X335" s="1"/>
      <c r="Y335" s="1"/>
      <c r="Z335" s="1"/>
      <c r="AA335" s="1"/>
      <c r="AB335" s="1"/>
      <c r="AC335" s="1"/>
    </row>
    <row r="336" spans="1:29" ht="14.25" customHeight="1" x14ac:dyDescent="0.2">
      <c r="A336" s="1"/>
      <c r="B336" s="1"/>
      <c r="C336" s="1"/>
      <c r="D336" s="1"/>
      <c r="E336" s="1"/>
      <c r="F336" s="1"/>
      <c r="G336" s="1"/>
      <c r="H336" s="1"/>
      <c r="I336" s="1"/>
      <c r="J336" s="1"/>
      <c r="K336" s="1"/>
      <c r="L336" s="1"/>
      <c r="M336" s="5"/>
      <c r="N336" s="5"/>
      <c r="O336" s="5"/>
      <c r="P336" s="5"/>
      <c r="Q336" s="1"/>
      <c r="R336" s="1"/>
      <c r="S336" s="1"/>
      <c r="T336" s="1"/>
      <c r="U336" s="1"/>
      <c r="V336" s="1"/>
      <c r="W336" s="1"/>
      <c r="X336" s="1"/>
      <c r="Y336" s="1"/>
      <c r="Z336" s="1"/>
      <c r="AA336" s="1"/>
      <c r="AB336" s="1"/>
      <c r="AC336" s="1"/>
    </row>
    <row r="337" spans="1:29" ht="14.25" customHeight="1" x14ac:dyDescent="0.2">
      <c r="A337" s="1"/>
      <c r="B337" s="1"/>
      <c r="C337" s="1"/>
      <c r="D337" s="1"/>
      <c r="E337" s="1"/>
      <c r="F337" s="1"/>
      <c r="G337" s="1"/>
      <c r="H337" s="1"/>
      <c r="I337" s="1"/>
      <c r="J337" s="1"/>
      <c r="K337" s="1"/>
      <c r="L337" s="1"/>
      <c r="M337" s="5"/>
      <c r="N337" s="5"/>
      <c r="O337" s="5"/>
      <c r="P337" s="5"/>
      <c r="Q337" s="1"/>
      <c r="R337" s="1"/>
      <c r="S337" s="1"/>
      <c r="T337" s="1"/>
      <c r="U337" s="1"/>
      <c r="V337" s="1"/>
      <c r="W337" s="1"/>
      <c r="X337" s="1"/>
      <c r="Y337" s="1"/>
      <c r="Z337" s="1"/>
      <c r="AA337" s="1"/>
      <c r="AB337" s="1"/>
      <c r="AC337" s="1"/>
    </row>
    <row r="338" spans="1:29" ht="14.25" customHeight="1" x14ac:dyDescent="0.2">
      <c r="A338" s="1"/>
      <c r="B338" s="1"/>
      <c r="C338" s="1"/>
      <c r="D338" s="1"/>
      <c r="E338" s="1"/>
      <c r="F338" s="1"/>
      <c r="G338" s="1"/>
      <c r="H338" s="1"/>
      <c r="I338" s="1"/>
      <c r="J338" s="1"/>
      <c r="K338" s="1"/>
      <c r="L338" s="1"/>
      <c r="M338" s="5"/>
      <c r="N338" s="5"/>
      <c r="O338" s="5"/>
      <c r="P338" s="5"/>
      <c r="Q338" s="1"/>
      <c r="R338" s="1"/>
      <c r="S338" s="1"/>
      <c r="T338" s="1"/>
      <c r="U338" s="1"/>
      <c r="V338" s="1"/>
      <c r="W338" s="1"/>
      <c r="X338" s="1"/>
      <c r="Y338" s="1"/>
      <c r="Z338" s="1"/>
      <c r="AA338" s="1"/>
      <c r="AB338" s="1"/>
      <c r="AC338" s="1"/>
    </row>
    <row r="339" spans="1:29" ht="14.25" customHeight="1" x14ac:dyDescent="0.2">
      <c r="A339" s="1"/>
      <c r="B339" s="1"/>
      <c r="C339" s="1"/>
      <c r="D339" s="1"/>
      <c r="E339" s="1"/>
      <c r="F339" s="1"/>
      <c r="G339" s="1"/>
      <c r="H339" s="1"/>
      <c r="I339" s="1"/>
      <c r="J339" s="1"/>
      <c r="K339" s="1"/>
      <c r="L339" s="1"/>
      <c r="M339" s="5"/>
      <c r="N339" s="5"/>
      <c r="O339" s="5"/>
      <c r="P339" s="5"/>
      <c r="Q339" s="1"/>
      <c r="R339" s="1"/>
      <c r="S339" s="1"/>
      <c r="T339" s="1"/>
      <c r="U339" s="1"/>
      <c r="V339" s="1"/>
      <c r="W339" s="1"/>
      <c r="X339" s="1"/>
      <c r="Y339" s="1"/>
      <c r="Z339" s="1"/>
      <c r="AA339" s="1"/>
      <c r="AB339" s="1"/>
      <c r="AC339" s="1"/>
    </row>
    <row r="340" spans="1:29" ht="14.25" customHeight="1" x14ac:dyDescent="0.2">
      <c r="A340" s="1"/>
      <c r="B340" s="1"/>
      <c r="C340" s="1"/>
      <c r="D340" s="1"/>
      <c r="E340" s="1"/>
      <c r="F340" s="1"/>
      <c r="G340" s="1"/>
      <c r="H340" s="1"/>
      <c r="I340" s="1"/>
      <c r="J340" s="1"/>
      <c r="K340" s="1"/>
      <c r="L340" s="1"/>
      <c r="M340" s="5"/>
      <c r="N340" s="5"/>
      <c r="O340" s="5"/>
      <c r="P340" s="5"/>
      <c r="Q340" s="1"/>
      <c r="R340" s="1"/>
      <c r="S340" s="1"/>
      <c r="T340" s="1"/>
      <c r="U340" s="1"/>
      <c r="V340" s="1"/>
      <c r="W340" s="1"/>
      <c r="X340" s="1"/>
      <c r="Y340" s="1"/>
      <c r="Z340" s="1"/>
      <c r="AA340" s="1"/>
      <c r="AB340" s="1"/>
      <c r="AC340" s="1"/>
    </row>
    <row r="341" spans="1:29" ht="14.25" customHeight="1" x14ac:dyDescent="0.2">
      <c r="A341" s="1"/>
      <c r="B341" s="1"/>
      <c r="C341" s="1"/>
      <c r="D341" s="1"/>
      <c r="E341" s="1"/>
      <c r="F341" s="1"/>
      <c r="G341" s="1"/>
      <c r="H341" s="1"/>
      <c r="I341" s="1"/>
      <c r="J341" s="1"/>
      <c r="K341" s="1"/>
      <c r="L341" s="1"/>
      <c r="M341" s="5"/>
      <c r="N341" s="5"/>
      <c r="O341" s="5"/>
      <c r="P341" s="5"/>
      <c r="Q341" s="1"/>
      <c r="R341" s="1"/>
      <c r="S341" s="1"/>
      <c r="T341" s="1"/>
      <c r="U341" s="1"/>
      <c r="V341" s="1"/>
      <c r="W341" s="1"/>
      <c r="X341" s="1"/>
      <c r="Y341" s="1"/>
      <c r="Z341" s="1"/>
      <c r="AA341" s="1"/>
      <c r="AB341" s="1"/>
      <c r="AC341" s="1"/>
    </row>
    <row r="342" spans="1:29" ht="14.25" customHeight="1" x14ac:dyDescent="0.2">
      <c r="A342" s="1"/>
      <c r="B342" s="1"/>
      <c r="C342" s="1"/>
      <c r="D342" s="1"/>
      <c r="E342" s="1"/>
      <c r="F342" s="1"/>
      <c r="G342" s="1"/>
      <c r="H342" s="1"/>
      <c r="I342" s="1"/>
      <c r="J342" s="1"/>
      <c r="K342" s="1"/>
      <c r="L342" s="1"/>
      <c r="M342" s="5"/>
      <c r="N342" s="5"/>
      <c r="O342" s="5"/>
      <c r="P342" s="5"/>
      <c r="Q342" s="1"/>
      <c r="R342" s="1"/>
      <c r="S342" s="1"/>
      <c r="T342" s="1"/>
      <c r="U342" s="1"/>
      <c r="V342" s="1"/>
      <c r="W342" s="1"/>
      <c r="X342" s="1"/>
      <c r="Y342" s="1"/>
      <c r="Z342" s="1"/>
      <c r="AA342" s="1"/>
      <c r="AB342" s="1"/>
      <c r="AC342" s="1"/>
    </row>
    <row r="343" spans="1:29" ht="14.25" customHeight="1" x14ac:dyDescent="0.2">
      <c r="A343" s="1"/>
      <c r="B343" s="1"/>
      <c r="C343" s="1"/>
      <c r="D343" s="1"/>
      <c r="E343" s="1"/>
      <c r="F343" s="1"/>
      <c r="G343" s="1"/>
      <c r="H343" s="1"/>
      <c r="I343" s="1"/>
      <c r="J343" s="1"/>
      <c r="K343" s="1"/>
      <c r="L343" s="1"/>
      <c r="M343" s="5"/>
      <c r="N343" s="5"/>
      <c r="O343" s="5"/>
      <c r="P343" s="5"/>
      <c r="Q343" s="1"/>
      <c r="R343" s="1"/>
      <c r="S343" s="1"/>
      <c r="T343" s="1"/>
      <c r="U343" s="1"/>
      <c r="V343" s="1"/>
      <c r="W343" s="1"/>
      <c r="X343" s="1"/>
      <c r="Y343" s="1"/>
      <c r="Z343" s="1"/>
      <c r="AA343" s="1"/>
      <c r="AB343" s="1"/>
      <c r="AC343" s="1"/>
    </row>
    <row r="344" spans="1:29" ht="14.25" customHeight="1" x14ac:dyDescent="0.2">
      <c r="A344" s="1"/>
      <c r="B344" s="1"/>
      <c r="C344" s="1"/>
      <c r="D344" s="1"/>
      <c r="E344" s="1"/>
      <c r="F344" s="1"/>
      <c r="G344" s="1"/>
      <c r="H344" s="1"/>
      <c r="I344" s="1"/>
      <c r="J344" s="1"/>
      <c r="K344" s="1"/>
      <c r="L344" s="1"/>
      <c r="M344" s="5"/>
      <c r="N344" s="5"/>
      <c r="O344" s="5"/>
      <c r="P344" s="5"/>
      <c r="Q344" s="1"/>
      <c r="R344" s="1"/>
      <c r="S344" s="1"/>
      <c r="T344" s="1"/>
      <c r="U344" s="1"/>
      <c r="V344" s="1"/>
      <c r="W344" s="1"/>
      <c r="X344" s="1"/>
      <c r="Y344" s="1"/>
      <c r="Z344" s="1"/>
      <c r="AA344" s="1"/>
      <c r="AB344" s="1"/>
      <c r="AC344" s="1"/>
    </row>
    <row r="345" spans="1:29" ht="14.25" customHeight="1" x14ac:dyDescent="0.2">
      <c r="A345" s="1"/>
      <c r="B345" s="1"/>
      <c r="C345" s="1"/>
      <c r="D345" s="1"/>
      <c r="E345" s="1"/>
      <c r="F345" s="1"/>
      <c r="G345" s="1"/>
      <c r="H345" s="1"/>
      <c r="I345" s="1"/>
      <c r="J345" s="1"/>
      <c r="K345" s="1"/>
      <c r="L345" s="1"/>
      <c r="M345" s="5"/>
      <c r="N345" s="5"/>
      <c r="O345" s="5"/>
      <c r="P345" s="5"/>
      <c r="Q345" s="1"/>
      <c r="R345" s="1"/>
      <c r="S345" s="1"/>
      <c r="T345" s="1"/>
      <c r="U345" s="1"/>
      <c r="V345" s="1"/>
      <c r="W345" s="1"/>
      <c r="X345" s="1"/>
      <c r="Y345" s="1"/>
      <c r="Z345" s="1"/>
      <c r="AA345" s="1"/>
      <c r="AB345" s="1"/>
      <c r="AC345" s="1"/>
    </row>
    <row r="346" spans="1:29" ht="14.25" customHeight="1" x14ac:dyDescent="0.2">
      <c r="A346" s="1"/>
      <c r="B346" s="1"/>
      <c r="C346" s="1"/>
      <c r="D346" s="1"/>
      <c r="E346" s="1"/>
      <c r="F346" s="1"/>
      <c r="G346" s="1"/>
      <c r="H346" s="1"/>
      <c r="I346" s="1"/>
      <c r="J346" s="1"/>
      <c r="K346" s="1"/>
      <c r="L346" s="1"/>
      <c r="M346" s="5"/>
      <c r="N346" s="5"/>
      <c r="O346" s="5"/>
      <c r="P346" s="5"/>
      <c r="Q346" s="1"/>
      <c r="R346" s="1"/>
      <c r="S346" s="1"/>
      <c r="T346" s="1"/>
      <c r="U346" s="1"/>
      <c r="V346" s="1"/>
      <c r="W346" s="1"/>
      <c r="X346" s="1"/>
      <c r="Y346" s="1"/>
      <c r="Z346" s="1"/>
      <c r="AA346" s="1"/>
      <c r="AB346" s="1"/>
      <c r="AC346" s="1"/>
    </row>
    <row r="347" spans="1:29" ht="14.25" customHeight="1" x14ac:dyDescent="0.2">
      <c r="A347" s="1"/>
      <c r="B347" s="1"/>
      <c r="C347" s="1"/>
      <c r="D347" s="1"/>
      <c r="E347" s="1"/>
      <c r="F347" s="1"/>
      <c r="G347" s="1"/>
      <c r="H347" s="1"/>
      <c r="I347" s="1"/>
      <c r="J347" s="1"/>
      <c r="K347" s="1"/>
      <c r="L347" s="1"/>
      <c r="M347" s="5"/>
      <c r="N347" s="5"/>
      <c r="O347" s="5"/>
      <c r="P347" s="5"/>
      <c r="Q347" s="1"/>
      <c r="R347" s="1"/>
      <c r="S347" s="1"/>
      <c r="T347" s="1"/>
      <c r="U347" s="1"/>
      <c r="V347" s="1"/>
      <c r="W347" s="1"/>
      <c r="X347" s="1"/>
      <c r="Y347" s="1"/>
      <c r="Z347" s="1"/>
      <c r="AA347" s="1"/>
      <c r="AB347" s="1"/>
      <c r="AC347" s="1"/>
    </row>
    <row r="348" spans="1:29" ht="14.25" customHeight="1" x14ac:dyDescent="0.2">
      <c r="A348" s="1"/>
      <c r="B348" s="1"/>
      <c r="C348" s="1"/>
      <c r="D348" s="1"/>
      <c r="E348" s="1"/>
      <c r="F348" s="1"/>
      <c r="G348" s="1"/>
      <c r="H348" s="1"/>
      <c r="I348" s="1"/>
      <c r="J348" s="1"/>
      <c r="K348" s="1"/>
      <c r="L348" s="1"/>
      <c r="M348" s="5"/>
      <c r="N348" s="5"/>
      <c r="O348" s="5"/>
      <c r="P348" s="5"/>
      <c r="Q348" s="1"/>
      <c r="R348" s="1"/>
      <c r="S348" s="1"/>
      <c r="T348" s="1"/>
      <c r="U348" s="1"/>
      <c r="V348" s="1"/>
      <c r="W348" s="1"/>
      <c r="X348" s="1"/>
      <c r="Y348" s="1"/>
      <c r="Z348" s="1"/>
      <c r="AA348" s="1"/>
      <c r="AB348" s="1"/>
      <c r="AC348" s="1"/>
    </row>
    <row r="349" spans="1:29" ht="14.25" customHeight="1" x14ac:dyDescent="0.2">
      <c r="A349" s="1"/>
      <c r="B349" s="1"/>
      <c r="C349" s="1"/>
      <c r="D349" s="1"/>
      <c r="E349" s="1"/>
      <c r="F349" s="1"/>
      <c r="G349" s="1"/>
      <c r="H349" s="1"/>
      <c r="I349" s="1"/>
      <c r="J349" s="1"/>
      <c r="K349" s="1"/>
      <c r="L349" s="1"/>
      <c r="M349" s="5"/>
      <c r="N349" s="5"/>
      <c r="O349" s="5"/>
      <c r="P349" s="5"/>
      <c r="Q349" s="1"/>
      <c r="R349" s="1"/>
      <c r="S349" s="1"/>
      <c r="T349" s="1"/>
      <c r="U349" s="1"/>
      <c r="V349" s="1"/>
      <c r="W349" s="1"/>
      <c r="X349" s="1"/>
      <c r="Y349" s="1"/>
      <c r="Z349" s="1"/>
      <c r="AA349" s="1"/>
      <c r="AB349" s="1"/>
      <c r="AC349" s="1"/>
    </row>
    <row r="350" spans="1:29" ht="14.25" customHeight="1" x14ac:dyDescent="0.2">
      <c r="A350" s="1"/>
      <c r="B350" s="1"/>
      <c r="C350" s="1"/>
      <c r="D350" s="1"/>
      <c r="E350" s="1"/>
      <c r="F350" s="1"/>
      <c r="G350" s="1"/>
      <c r="H350" s="1"/>
      <c r="I350" s="1"/>
      <c r="J350" s="1"/>
      <c r="K350" s="1"/>
      <c r="L350" s="1"/>
      <c r="M350" s="5"/>
      <c r="N350" s="5"/>
      <c r="O350" s="5"/>
      <c r="P350" s="5"/>
      <c r="Q350" s="1"/>
      <c r="R350" s="1"/>
      <c r="S350" s="1"/>
      <c r="T350" s="1"/>
      <c r="U350" s="1"/>
      <c r="V350" s="1"/>
      <c r="W350" s="1"/>
      <c r="X350" s="1"/>
      <c r="Y350" s="1"/>
      <c r="Z350" s="1"/>
      <c r="AA350" s="1"/>
      <c r="AB350" s="1"/>
      <c r="AC350" s="1"/>
    </row>
    <row r="351" spans="1:29" ht="14.25" customHeight="1" x14ac:dyDescent="0.2">
      <c r="A351" s="1"/>
      <c r="B351" s="1"/>
      <c r="C351" s="1"/>
      <c r="D351" s="1"/>
      <c r="E351" s="1"/>
      <c r="F351" s="1"/>
      <c r="G351" s="1"/>
      <c r="H351" s="1"/>
      <c r="I351" s="1"/>
      <c r="J351" s="1"/>
      <c r="K351" s="1"/>
      <c r="L351" s="1"/>
      <c r="M351" s="5"/>
      <c r="N351" s="5"/>
      <c r="O351" s="5"/>
      <c r="P351" s="5"/>
      <c r="Q351" s="1"/>
      <c r="R351" s="1"/>
      <c r="S351" s="1"/>
      <c r="T351" s="1"/>
      <c r="U351" s="1"/>
      <c r="V351" s="1"/>
      <c r="W351" s="1"/>
      <c r="X351" s="1"/>
      <c r="Y351" s="1"/>
      <c r="Z351" s="1"/>
      <c r="AA351" s="1"/>
      <c r="AB351" s="1"/>
      <c r="AC351" s="1"/>
    </row>
    <row r="352" spans="1:29" ht="14.25" customHeight="1" x14ac:dyDescent="0.2">
      <c r="A352" s="1"/>
      <c r="B352" s="1"/>
      <c r="C352" s="1"/>
      <c r="D352" s="1"/>
      <c r="E352" s="1"/>
      <c r="F352" s="1"/>
      <c r="G352" s="1"/>
      <c r="H352" s="1"/>
      <c r="I352" s="1"/>
      <c r="J352" s="1"/>
      <c r="K352" s="1"/>
      <c r="L352" s="1"/>
      <c r="M352" s="5"/>
      <c r="N352" s="5"/>
      <c r="O352" s="5"/>
      <c r="P352" s="5"/>
      <c r="Q352" s="1"/>
      <c r="R352" s="1"/>
      <c r="S352" s="1"/>
      <c r="T352" s="1"/>
      <c r="U352" s="1"/>
      <c r="V352" s="1"/>
      <c r="W352" s="1"/>
      <c r="X352" s="1"/>
      <c r="Y352" s="1"/>
      <c r="Z352" s="1"/>
      <c r="AA352" s="1"/>
      <c r="AB352" s="1"/>
      <c r="AC352" s="1"/>
    </row>
    <row r="353" spans="1:29" ht="14.25" customHeight="1" x14ac:dyDescent="0.2">
      <c r="A353" s="1"/>
      <c r="B353" s="1"/>
      <c r="C353" s="1"/>
      <c r="D353" s="1"/>
      <c r="E353" s="1"/>
      <c r="F353" s="1"/>
      <c r="G353" s="1"/>
      <c r="H353" s="1"/>
      <c r="I353" s="1"/>
      <c r="J353" s="1"/>
      <c r="K353" s="1"/>
      <c r="L353" s="1"/>
      <c r="M353" s="5"/>
      <c r="N353" s="5"/>
      <c r="O353" s="5"/>
      <c r="P353" s="5"/>
      <c r="Q353" s="1"/>
      <c r="R353" s="1"/>
      <c r="S353" s="1"/>
      <c r="T353" s="1"/>
      <c r="U353" s="1"/>
      <c r="V353" s="1"/>
      <c r="W353" s="1"/>
      <c r="X353" s="1"/>
      <c r="Y353" s="1"/>
      <c r="Z353" s="1"/>
      <c r="AA353" s="1"/>
      <c r="AB353" s="1"/>
      <c r="AC353" s="1"/>
    </row>
    <row r="354" spans="1:29" ht="14.25" customHeight="1" x14ac:dyDescent="0.2">
      <c r="A354" s="1"/>
      <c r="B354" s="1"/>
      <c r="C354" s="1"/>
      <c r="D354" s="1"/>
      <c r="E354" s="1"/>
      <c r="F354" s="1"/>
      <c r="G354" s="1"/>
      <c r="H354" s="1"/>
      <c r="I354" s="1"/>
      <c r="J354" s="1"/>
      <c r="K354" s="1"/>
      <c r="L354" s="1"/>
      <c r="M354" s="5"/>
      <c r="N354" s="5"/>
      <c r="O354" s="5"/>
      <c r="P354" s="5"/>
      <c r="Q354" s="1"/>
      <c r="R354" s="1"/>
      <c r="S354" s="1"/>
      <c r="T354" s="1"/>
      <c r="U354" s="1"/>
      <c r="V354" s="1"/>
      <c r="W354" s="1"/>
      <c r="X354" s="1"/>
      <c r="Y354" s="1"/>
      <c r="Z354" s="1"/>
      <c r="AA354" s="1"/>
      <c r="AB354" s="1"/>
      <c r="AC354" s="1"/>
    </row>
    <row r="355" spans="1:29" ht="14.25" customHeight="1" x14ac:dyDescent="0.2">
      <c r="A355" s="1"/>
      <c r="B355" s="1"/>
      <c r="C355" s="1"/>
      <c r="D355" s="1"/>
      <c r="E355" s="1"/>
      <c r="F355" s="1"/>
      <c r="G355" s="1"/>
      <c r="H355" s="1"/>
      <c r="I355" s="1"/>
      <c r="J355" s="1"/>
      <c r="K355" s="1"/>
      <c r="L355" s="1"/>
      <c r="M355" s="5"/>
      <c r="N355" s="5"/>
      <c r="O355" s="5"/>
      <c r="P355" s="5"/>
      <c r="Q355" s="1"/>
      <c r="R355" s="1"/>
      <c r="S355" s="1"/>
      <c r="T355" s="1"/>
      <c r="U355" s="1"/>
      <c r="V355" s="1"/>
      <c r="W355" s="1"/>
      <c r="X355" s="1"/>
      <c r="Y355" s="1"/>
      <c r="Z355" s="1"/>
      <c r="AA355" s="1"/>
      <c r="AB355" s="1"/>
      <c r="AC355" s="1"/>
    </row>
    <row r="356" spans="1:29" ht="14.25" customHeight="1" x14ac:dyDescent="0.2">
      <c r="A356" s="1"/>
      <c r="B356" s="1"/>
      <c r="C356" s="1"/>
      <c r="D356" s="1"/>
      <c r="E356" s="1"/>
      <c r="F356" s="1"/>
      <c r="G356" s="1"/>
      <c r="H356" s="1"/>
      <c r="I356" s="1"/>
      <c r="J356" s="1"/>
      <c r="K356" s="1"/>
      <c r="L356" s="1"/>
      <c r="M356" s="5"/>
      <c r="N356" s="5"/>
      <c r="O356" s="5"/>
      <c r="P356" s="5"/>
      <c r="Q356" s="1"/>
      <c r="R356" s="1"/>
      <c r="S356" s="1"/>
      <c r="T356" s="1"/>
      <c r="U356" s="1"/>
      <c r="V356" s="1"/>
      <c r="W356" s="1"/>
      <c r="X356" s="1"/>
      <c r="Y356" s="1"/>
      <c r="Z356" s="1"/>
      <c r="AA356" s="1"/>
      <c r="AB356" s="1"/>
      <c r="AC356" s="1"/>
    </row>
    <row r="357" spans="1:29" ht="14.25" customHeight="1" x14ac:dyDescent="0.2">
      <c r="A357" s="1"/>
      <c r="B357" s="1"/>
      <c r="C357" s="1"/>
      <c r="D357" s="1"/>
      <c r="E357" s="1"/>
      <c r="F357" s="1"/>
      <c r="G357" s="1"/>
      <c r="H357" s="1"/>
      <c r="I357" s="1"/>
      <c r="J357" s="1"/>
      <c r="K357" s="1"/>
      <c r="L357" s="1"/>
      <c r="M357" s="5"/>
      <c r="N357" s="5"/>
      <c r="O357" s="5"/>
      <c r="P357" s="5"/>
      <c r="Q357" s="1"/>
      <c r="R357" s="1"/>
      <c r="S357" s="1"/>
      <c r="T357" s="1"/>
      <c r="U357" s="1"/>
      <c r="V357" s="1"/>
      <c r="W357" s="1"/>
      <c r="X357" s="1"/>
      <c r="Y357" s="1"/>
      <c r="Z357" s="1"/>
      <c r="AA357" s="1"/>
      <c r="AB357" s="1"/>
      <c r="AC357" s="1"/>
    </row>
    <row r="358" spans="1:29" ht="14.25" customHeight="1" x14ac:dyDescent="0.2">
      <c r="A358" s="1"/>
      <c r="B358" s="1"/>
      <c r="C358" s="1"/>
      <c r="D358" s="1"/>
      <c r="E358" s="1"/>
      <c r="F358" s="1"/>
      <c r="G358" s="1"/>
      <c r="H358" s="1"/>
      <c r="I358" s="1"/>
      <c r="J358" s="1"/>
      <c r="K358" s="1"/>
      <c r="L358" s="1"/>
      <c r="M358" s="5"/>
      <c r="N358" s="5"/>
      <c r="O358" s="5"/>
      <c r="P358" s="5"/>
      <c r="Q358" s="1"/>
      <c r="R358" s="1"/>
      <c r="S358" s="1"/>
      <c r="T358" s="1"/>
      <c r="U358" s="1"/>
      <c r="V358" s="1"/>
      <c r="W358" s="1"/>
      <c r="X358" s="1"/>
      <c r="Y358" s="1"/>
      <c r="Z358" s="1"/>
      <c r="AA358" s="1"/>
      <c r="AB358" s="1"/>
      <c r="AC358" s="1"/>
    </row>
    <row r="359" spans="1:29" ht="14.25" customHeight="1" x14ac:dyDescent="0.2">
      <c r="A359" s="1"/>
      <c r="B359" s="1"/>
      <c r="C359" s="1"/>
      <c r="D359" s="1"/>
      <c r="E359" s="1"/>
      <c r="F359" s="1"/>
      <c r="G359" s="1"/>
      <c r="H359" s="1"/>
      <c r="I359" s="1"/>
      <c r="J359" s="1"/>
      <c r="K359" s="1"/>
      <c r="L359" s="1"/>
      <c r="M359" s="5"/>
      <c r="N359" s="5"/>
      <c r="O359" s="5"/>
      <c r="P359" s="5"/>
      <c r="Q359" s="1"/>
      <c r="R359" s="1"/>
      <c r="S359" s="1"/>
      <c r="T359" s="1"/>
      <c r="U359" s="1"/>
      <c r="V359" s="1"/>
      <c r="W359" s="1"/>
      <c r="X359" s="1"/>
      <c r="Y359" s="1"/>
      <c r="Z359" s="1"/>
      <c r="AA359" s="1"/>
      <c r="AB359" s="1"/>
      <c r="AC359" s="1"/>
    </row>
    <row r="360" spans="1:29" ht="14.25" customHeight="1" x14ac:dyDescent="0.2">
      <c r="A360" s="1"/>
      <c r="B360" s="1"/>
      <c r="C360" s="1"/>
      <c r="D360" s="1"/>
      <c r="E360" s="1"/>
      <c r="F360" s="1"/>
      <c r="G360" s="1"/>
      <c r="H360" s="1"/>
      <c r="I360" s="1"/>
      <c r="J360" s="1"/>
      <c r="K360" s="1"/>
      <c r="L360" s="1"/>
      <c r="M360" s="5"/>
      <c r="N360" s="5"/>
      <c r="O360" s="5"/>
      <c r="P360" s="5"/>
      <c r="Q360" s="1"/>
      <c r="R360" s="1"/>
      <c r="S360" s="1"/>
      <c r="T360" s="1"/>
      <c r="U360" s="1"/>
      <c r="V360" s="1"/>
      <c r="W360" s="1"/>
      <c r="X360" s="1"/>
      <c r="Y360" s="1"/>
      <c r="Z360" s="1"/>
      <c r="AA360" s="1"/>
      <c r="AB360" s="1"/>
      <c r="AC360" s="1"/>
    </row>
    <row r="361" spans="1:29" ht="14.25" customHeight="1" x14ac:dyDescent="0.2">
      <c r="A361" s="1"/>
      <c r="B361" s="1"/>
      <c r="C361" s="1"/>
      <c r="D361" s="1"/>
      <c r="E361" s="1"/>
      <c r="F361" s="1"/>
      <c r="G361" s="1"/>
      <c r="H361" s="1"/>
      <c r="I361" s="1"/>
      <c r="J361" s="1"/>
      <c r="K361" s="1"/>
      <c r="L361" s="1"/>
      <c r="M361" s="5"/>
      <c r="N361" s="5"/>
      <c r="O361" s="5"/>
      <c r="P361" s="5"/>
      <c r="Q361" s="1"/>
      <c r="R361" s="1"/>
      <c r="S361" s="1"/>
      <c r="T361" s="1"/>
      <c r="U361" s="1"/>
      <c r="V361" s="1"/>
      <c r="W361" s="1"/>
      <c r="X361" s="1"/>
      <c r="Y361" s="1"/>
      <c r="Z361" s="1"/>
      <c r="AA361" s="1"/>
      <c r="AB361" s="1"/>
      <c r="AC361" s="1"/>
    </row>
    <row r="362" spans="1:29" ht="14.25" customHeight="1" x14ac:dyDescent="0.2">
      <c r="A362" s="1"/>
      <c r="B362" s="1"/>
      <c r="C362" s="1"/>
      <c r="D362" s="1"/>
      <c r="E362" s="1"/>
      <c r="F362" s="1"/>
      <c r="G362" s="1"/>
      <c r="H362" s="1"/>
      <c r="I362" s="1"/>
      <c r="J362" s="1"/>
      <c r="K362" s="1"/>
      <c r="L362" s="1"/>
      <c r="M362" s="5"/>
      <c r="N362" s="5"/>
      <c r="O362" s="5"/>
      <c r="P362" s="5"/>
      <c r="Q362" s="1"/>
      <c r="R362" s="1"/>
      <c r="S362" s="1"/>
      <c r="T362" s="1"/>
      <c r="U362" s="1"/>
      <c r="V362" s="1"/>
      <c r="W362" s="1"/>
      <c r="X362" s="1"/>
      <c r="Y362" s="1"/>
      <c r="Z362" s="1"/>
      <c r="AA362" s="1"/>
      <c r="AB362" s="1"/>
      <c r="AC362" s="1"/>
    </row>
    <row r="363" spans="1:29" ht="14.25" customHeight="1" x14ac:dyDescent="0.2">
      <c r="A363" s="1"/>
      <c r="B363" s="1"/>
      <c r="C363" s="1"/>
      <c r="D363" s="1"/>
      <c r="E363" s="1"/>
      <c r="F363" s="1"/>
      <c r="G363" s="1"/>
      <c r="H363" s="1"/>
      <c r="I363" s="1"/>
      <c r="J363" s="1"/>
      <c r="K363" s="1"/>
      <c r="L363" s="1"/>
      <c r="M363" s="5"/>
      <c r="N363" s="5"/>
      <c r="O363" s="5"/>
      <c r="P363" s="5"/>
      <c r="Q363" s="1"/>
      <c r="R363" s="1"/>
      <c r="S363" s="1"/>
      <c r="T363" s="1"/>
      <c r="U363" s="1"/>
      <c r="V363" s="1"/>
      <c r="W363" s="1"/>
      <c r="X363" s="1"/>
      <c r="Y363" s="1"/>
      <c r="Z363" s="1"/>
      <c r="AA363" s="1"/>
      <c r="AB363" s="1"/>
      <c r="AC363" s="1"/>
    </row>
    <row r="364" spans="1:29" ht="14.25" customHeight="1" x14ac:dyDescent="0.2">
      <c r="A364" s="1"/>
      <c r="B364" s="1"/>
      <c r="C364" s="1"/>
      <c r="D364" s="1"/>
      <c r="E364" s="1"/>
      <c r="F364" s="1"/>
      <c r="G364" s="1"/>
      <c r="H364" s="1"/>
      <c r="I364" s="1"/>
      <c r="J364" s="1"/>
      <c r="K364" s="1"/>
      <c r="L364" s="1"/>
      <c r="M364" s="5"/>
      <c r="N364" s="5"/>
      <c r="O364" s="5"/>
      <c r="P364" s="5"/>
      <c r="Q364" s="1"/>
      <c r="R364" s="1"/>
      <c r="S364" s="1"/>
      <c r="T364" s="1"/>
      <c r="U364" s="1"/>
      <c r="V364" s="1"/>
      <c r="W364" s="1"/>
      <c r="X364" s="1"/>
      <c r="Y364" s="1"/>
      <c r="Z364" s="1"/>
      <c r="AA364" s="1"/>
      <c r="AB364" s="1"/>
      <c r="AC364" s="1"/>
    </row>
    <row r="365" spans="1:29" ht="14.25" customHeight="1" x14ac:dyDescent="0.2">
      <c r="A365" s="1"/>
      <c r="B365" s="1"/>
      <c r="C365" s="1"/>
      <c r="D365" s="1"/>
      <c r="E365" s="1"/>
      <c r="F365" s="1"/>
      <c r="G365" s="1"/>
      <c r="H365" s="1"/>
      <c r="I365" s="1"/>
      <c r="J365" s="1"/>
      <c r="K365" s="1"/>
      <c r="L365" s="1"/>
      <c r="M365" s="5"/>
      <c r="N365" s="5"/>
      <c r="O365" s="5"/>
      <c r="P365" s="5"/>
      <c r="Q365" s="1"/>
      <c r="R365" s="1"/>
      <c r="S365" s="1"/>
      <c r="T365" s="1"/>
      <c r="U365" s="1"/>
      <c r="V365" s="1"/>
      <c r="W365" s="1"/>
      <c r="X365" s="1"/>
      <c r="Y365" s="1"/>
      <c r="Z365" s="1"/>
      <c r="AA365" s="1"/>
      <c r="AB365" s="1"/>
      <c r="AC365" s="1"/>
    </row>
    <row r="366" spans="1:29" ht="14.25" customHeight="1" x14ac:dyDescent="0.2">
      <c r="A366" s="1"/>
      <c r="B366" s="1"/>
      <c r="C366" s="1"/>
      <c r="D366" s="1"/>
      <c r="E366" s="1"/>
      <c r="F366" s="1"/>
      <c r="G366" s="1"/>
      <c r="H366" s="1"/>
      <c r="I366" s="1"/>
      <c r="J366" s="1"/>
      <c r="K366" s="1"/>
      <c r="L366" s="1"/>
      <c r="M366" s="5"/>
      <c r="N366" s="5"/>
      <c r="O366" s="5"/>
      <c r="P366" s="5"/>
      <c r="Q366" s="1"/>
      <c r="R366" s="1"/>
      <c r="S366" s="1"/>
      <c r="T366" s="1"/>
      <c r="U366" s="1"/>
      <c r="V366" s="1"/>
      <c r="W366" s="1"/>
      <c r="X366" s="1"/>
      <c r="Y366" s="1"/>
      <c r="Z366" s="1"/>
      <c r="AA366" s="1"/>
      <c r="AB366" s="1"/>
      <c r="AC366" s="1"/>
    </row>
    <row r="367" spans="1:29" ht="14.25" customHeight="1" x14ac:dyDescent="0.2">
      <c r="A367" s="1"/>
      <c r="B367" s="1"/>
      <c r="C367" s="1"/>
      <c r="D367" s="1"/>
      <c r="E367" s="1"/>
      <c r="F367" s="1"/>
      <c r="G367" s="1"/>
      <c r="H367" s="1"/>
      <c r="I367" s="1"/>
      <c r="J367" s="1"/>
      <c r="K367" s="1"/>
      <c r="L367" s="1"/>
      <c r="M367" s="5"/>
      <c r="N367" s="5"/>
      <c r="O367" s="5"/>
      <c r="P367" s="5"/>
      <c r="Q367" s="1"/>
      <c r="R367" s="1"/>
      <c r="S367" s="1"/>
      <c r="T367" s="1"/>
      <c r="U367" s="1"/>
      <c r="V367" s="1"/>
      <c r="W367" s="1"/>
      <c r="X367" s="1"/>
      <c r="Y367" s="1"/>
      <c r="Z367" s="1"/>
      <c r="AA367" s="1"/>
      <c r="AB367" s="1"/>
      <c r="AC367" s="1"/>
    </row>
    <row r="368" spans="1:29" ht="14.25" customHeight="1" x14ac:dyDescent="0.2">
      <c r="A368" s="1"/>
      <c r="B368" s="1"/>
      <c r="C368" s="1"/>
      <c r="D368" s="1"/>
      <c r="E368" s="1"/>
      <c r="F368" s="1"/>
      <c r="G368" s="1"/>
      <c r="H368" s="1"/>
      <c r="I368" s="1"/>
      <c r="J368" s="1"/>
      <c r="K368" s="1"/>
      <c r="L368" s="1"/>
      <c r="M368" s="5"/>
      <c r="N368" s="5"/>
      <c r="O368" s="5"/>
      <c r="P368" s="5"/>
      <c r="Q368" s="1"/>
      <c r="R368" s="1"/>
      <c r="S368" s="1"/>
      <c r="T368" s="1"/>
      <c r="U368" s="1"/>
      <c r="V368" s="1"/>
      <c r="W368" s="1"/>
      <c r="X368" s="1"/>
      <c r="Y368" s="1"/>
      <c r="Z368" s="1"/>
      <c r="AA368" s="1"/>
      <c r="AB368" s="1"/>
      <c r="AC368" s="1"/>
    </row>
    <row r="369" spans="1:29" ht="14.25" customHeight="1" x14ac:dyDescent="0.2">
      <c r="A369" s="1"/>
      <c r="B369" s="1"/>
      <c r="C369" s="1"/>
      <c r="D369" s="1"/>
      <c r="E369" s="1"/>
      <c r="F369" s="1"/>
      <c r="G369" s="1"/>
      <c r="H369" s="1"/>
      <c r="I369" s="1"/>
      <c r="J369" s="1"/>
      <c r="K369" s="1"/>
      <c r="L369" s="1"/>
      <c r="M369" s="5"/>
      <c r="N369" s="5"/>
      <c r="O369" s="5"/>
      <c r="P369" s="5"/>
      <c r="Q369" s="1"/>
      <c r="R369" s="1"/>
      <c r="S369" s="1"/>
      <c r="T369" s="1"/>
      <c r="U369" s="1"/>
      <c r="V369" s="1"/>
      <c r="W369" s="1"/>
      <c r="X369" s="1"/>
      <c r="Y369" s="1"/>
      <c r="Z369" s="1"/>
      <c r="AA369" s="1"/>
      <c r="AB369" s="1"/>
      <c r="AC369" s="1"/>
    </row>
    <row r="370" spans="1:29" ht="14.25" customHeight="1" x14ac:dyDescent="0.2">
      <c r="A370" s="1"/>
      <c r="B370" s="1"/>
      <c r="C370" s="1"/>
      <c r="D370" s="1"/>
      <c r="E370" s="1"/>
      <c r="F370" s="1"/>
      <c r="G370" s="1"/>
      <c r="H370" s="1"/>
      <c r="I370" s="1"/>
      <c r="J370" s="1"/>
      <c r="K370" s="1"/>
      <c r="L370" s="1"/>
      <c r="M370" s="5"/>
      <c r="N370" s="5"/>
      <c r="O370" s="5"/>
      <c r="P370" s="5"/>
      <c r="Q370" s="1"/>
      <c r="R370" s="1"/>
      <c r="S370" s="1"/>
      <c r="T370" s="1"/>
      <c r="U370" s="1"/>
      <c r="V370" s="1"/>
      <c r="W370" s="1"/>
      <c r="X370" s="1"/>
      <c r="Y370" s="1"/>
      <c r="Z370" s="1"/>
      <c r="AA370" s="1"/>
      <c r="AB370" s="1"/>
      <c r="AC370" s="1"/>
    </row>
    <row r="371" spans="1:29" ht="14.25" customHeight="1" x14ac:dyDescent="0.2">
      <c r="A371" s="1"/>
      <c r="B371" s="1"/>
      <c r="C371" s="1"/>
      <c r="D371" s="1"/>
      <c r="E371" s="1"/>
      <c r="F371" s="1"/>
      <c r="G371" s="1"/>
      <c r="H371" s="1"/>
      <c r="I371" s="1"/>
      <c r="J371" s="1"/>
      <c r="K371" s="1"/>
      <c r="L371" s="1"/>
      <c r="M371" s="5"/>
      <c r="N371" s="5"/>
      <c r="O371" s="5"/>
      <c r="P371" s="5"/>
      <c r="Q371" s="1"/>
      <c r="R371" s="1"/>
      <c r="S371" s="1"/>
      <c r="T371" s="1"/>
      <c r="U371" s="1"/>
      <c r="V371" s="1"/>
      <c r="W371" s="1"/>
      <c r="X371" s="1"/>
      <c r="Y371" s="1"/>
      <c r="Z371" s="1"/>
      <c r="AA371" s="1"/>
      <c r="AB371" s="1"/>
      <c r="AC371" s="1"/>
    </row>
    <row r="372" spans="1:29" ht="14.25" customHeight="1" x14ac:dyDescent="0.2">
      <c r="A372" s="1"/>
      <c r="B372" s="1"/>
      <c r="C372" s="1"/>
      <c r="D372" s="1"/>
      <c r="E372" s="1"/>
      <c r="F372" s="1"/>
      <c r="G372" s="1"/>
      <c r="H372" s="1"/>
      <c r="I372" s="1"/>
      <c r="J372" s="1"/>
      <c r="K372" s="1"/>
      <c r="L372" s="1"/>
      <c r="M372" s="5"/>
      <c r="N372" s="5"/>
      <c r="O372" s="5"/>
      <c r="P372" s="5"/>
      <c r="Q372" s="1"/>
      <c r="R372" s="1"/>
      <c r="S372" s="1"/>
      <c r="T372" s="1"/>
      <c r="U372" s="1"/>
      <c r="V372" s="1"/>
      <c r="W372" s="1"/>
      <c r="X372" s="1"/>
      <c r="Y372" s="1"/>
      <c r="Z372" s="1"/>
      <c r="AA372" s="1"/>
      <c r="AB372" s="1"/>
      <c r="AC372" s="1"/>
    </row>
    <row r="373" spans="1:29" ht="14.25" customHeight="1" x14ac:dyDescent="0.2">
      <c r="A373" s="1"/>
      <c r="B373" s="1"/>
      <c r="C373" s="1"/>
      <c r="D373" s="1"/>
      <c r="E373" s="1"/>
      <c r="F373" s="1"/>
      <c r="G373" s="1"/>
      <c r="H373" s="1"/>
      <c r="I373" s="1"/>
      <c r="J373" s="1"/>
      <c r="K373" s="1"/>
      <c r="L373" s="1"/>
      <c r="M373" s="5"/>
      <c r="N373" s="5"/>
      <c r="O373" s="5"/>
      <c r="P373" s="5"/>
      <c r="Q373" s="1"/>
      <c r="R373" s="1"/>
      <c r="S373" s="1"/>
      <c r="T373" s="1"/>
      <c r="U373" s="1"/>
      <c r="V373" s="1"/>
      <c r="W373" s="1"/>
      <c r="X373" s="1"/>
      <c r="Y373" s="1"/>
      <c r="Z373" s="1"/>
      <c r="AA373" s="1"/>
      <c r="AB373" s="1"/>
      <c r="AC373" s="1"/>
    </row>
    <row r="374" spans="1:29" ht="14.25" customHeight="1" x14ac:dyDescent="0.2">
      <c r="A374" s="1"/>
      <c r="B374" s="1"/>
      <c r="C374" s="1"/>
      <c r="D374" s="1"/>
      <c r="E374" s="1"/>
      <c r="F374" s="1"/>
      <c r="G374" s="1"/>
      <c r="H374" s="1"/>
      <c r="I374" s="1"/>
      <c r="J374" s="1"/>
      <c r="K374" s="1"/>
      <c r="L374" s="1"/>
      <c r="M374" s="5"/>
      <c r="N374" s="5"/>
      <c r="O374" s="5"/>
      <c r="P374" s="5"/>
      <c r="Q374" s="1"/>
      <c r="R374" s="1"/>
      <c r="S374" s="1"/>
      <c r="T374" s="1"/>
      <c r="U374" s="1"/>
      <c r="V374" s="1"/>
      <c r="W374" s="1"/>
      <c r="X374" s="1"/>
      <c r="Y374" s="1"/>
      <c r="Z374" s="1"/>
      <c r="AA374" s="1"/>
      <c r="AB374" s="1"/>
      <c r="AC374" s="1"/>
    </row>
    <row r="375" spans="1:29" ht="14.25" customHeight="1" x14ac:dyDescent="0.2">
      <c r="A375" s="1"/>
      <c r="B375" s="1"/>
      <c r="C375" s="1"/>
      <c r="D375" s="1"/>
      <c r="E375" s="1"/>
      <c r="F375" s="1"/>
      <c r="G375" s="1"/>
      <c r="H375" s="1"/>
      <c r="I375" s="1"/>
      <c r="J375" s="1"/>
      <c r="K375" s="1"/>
      <c r="L375" s="1"/>
      <c r="M375" s="5"/>
      <c r="N375" s="5"/>
      <c r="O375" s="5"/>
      <c r="P375" s="5"/>
      <c r="Q375" s="1"/>
      <c r="R375" s="1"/>
      <c r="S375" s="1"/>
      <c r="T375" s="1"/>
      <c r="U375" s="1"/>
      <c r="V375" s="1"/>
      <c r="W375" s="1"/>
      <c r="X375" s="1"/>
      <c r="Y375" s="1"/>
      <c r="Z375" s="1"/>
      <c r="AA375" s="1"/>
      <c r="AB375" s="1"/>
      <c r="AC375" s="1"/>
    </row>
    <row r="376" spans="1:29" ht="14.25" customHeight="1" x14ac:dyDescent="0.2">
      <c r="A376" s="1"/>
      <c r="B376" s="1"/>
      <c r="C376" s="1"/>
      <c r="D376" s="1"/>
      <c r="E376" s="1"/>
      <c r="F376" s="1"/>
      <c r="G376" s="1"/>
      <c r="H376" s="1"/>
      <c r="I376" s="1"/>
      <c r="J376" s="1"/>
      <c r="K376" s="1"/>
      <c r="L376" s="1"/>
      <c r="M376" s="5"/>
      <c r="N376" s="5"/>
      <c r="O376" s="5"/>
      <c r="P376" s="5"/>
      <c r="Q376" s="1"/>
      <c r="R376" s="1"/>
      <c r="S376" s="1"/>
      <c r="T376" s="1"/>
      <c r="U376" s="1"/>
      <c r="V376" s="1"/>
      <c r="W376" s="1"/>
      <c r="X376" s="1"/>
      <c r="Y376" s="1"/>
      <c r="Z376" s="1"/>
      <c r="AA376" s="1"/>
      <c r="AB376" s="1"/>
      <c r="AC376" s="1"/>
    </row>
    <row r="377" spans="1:29" ht="14.25" customHeight="1" x14ac:dyDescent="0.2">
      <c r="A377" s="1"/>
      <c r="B377" s="1"/>
      <c r="C377" s="1"/>
      <c r="D377" s="1"/>
      <c r="E377" s="1"/>
      <c r="F377" s="1"/>
      <c r="G377" s="1"/>
      <c r="H377" s="1"/>
      <c r="I377" s="1"/>
      <c r="J377" s="1"/>
      <c r="K377" s="1"/>
      <c r="L377" s="1"/>
      <c r="M377" s="5"/>
      <c r="N377" s="5"/>
      <c r="O377" s="5"/>
      <c r="P377" s="5"/>
      <c r="Q377" s="1"/>
      <c r="R377" s="1"/>
      <c r="S377" s="1"/>
      <c r="T377" s="1"/>
      <c r="U377" s="1"/>
      <c r="V377" s="1"/>
      <c r="W377" s="1"/>
      <c r="X377" s="1"/>
      <c r="Y377" s="1"/>
      <c r="Z377" s="1"/>
      <c r="AA377" s="1"/>
      <c r="AB377" s="1"/>
      <c r="AC377" s="1"/>
    </row>
    <row r="378" spans="1:29" ht="14.25" customHeight="1" x14ac:dyDescent="0.2">
      <c r="A378" s="1"/>
      <c r="B378" s="1"/>
      <c r="C378" s="1"/>
      <c r="D378" s="1"/>
      <c r="E378" s="1"/>
      <c r="F378" s="1"/>
      <c r="G378" s="1"/>
      <c r="H378" s="1"/>
      <c r="I378" s="1"/>
      <c r="J378" s="1"/>
      <c r="K378" s="1"/>
      <c r="L378" s="1"/>
      <c r="M378" s="5"/>
      <c r="N378" s="5"/>
      <c r="O378" s="5"/>
      <c r="P378" s="5"/>
      <c r="Q378" s="1"/>
      <c r="R378" s="1"/>
      <c r="S378" s="1"/>
      <c r="T378" s="1"/>
      <c r="U378" s="1"/>
      <c r="V378" s="1"/>
      <c r="W378" s="1"/>
      <c r="X378" s="1"/>
      <c r="Y378" s="1"/>
      <c r="Z378" s="1"/>
      <c r="AA378" s="1"/>
      <c r="AB378" s="1"/>
      <c r="AC378" s="1"/>
    </row>
    <row r="379" spans="1:29" ht="14.25" customHeight="1" x14ac:dyDescent="0.2">
      <c r="A379" s="1"/>
      <c r="B379" s="1"/>
      <c r="C379" s="1"/>
      <c r="D379" s="1"/>
      <c r="E379" s="1"/>
      <c r="F379" s="1"/>
      <c r="G379" s="1"/>
      <c r="H379" s="1"/>
      <c r="I379" s="1"/>
      <c r="J379" s="1"/>
      <c r="K379" s="1"/>
      <c r="L379" s="1"/>
      <c r="M379" s="5"/>
      <c r="N379" s="5"/>
      <c r="O379" s="5"/>
      <c r="P379" s="5"/>
      <c r="Q379" s="1"/>
      <c r="R379" s="1"/>
      <c r="S379" s="1"/>
      <c r="T379" s="1"/>
      <c r="U379" s="1"/>
      <c r="V379" s="1"/>
      <c r="W379" s="1"/>
      <c r="X379" s="1"/>
      <c r="Y379" s="1"/>
      <c r="Z379" s="1"/>
      <c r="AA379" s="1"/>
      <c r="AB379" s="1"/>
      <c r="AC379" s="1"/>
    </row>
    <row r="380" spans="1:29" ht="14.25" customHeight="1" x14ac:dyDescent="0.2">
      <c r="A380" s="1"/>
      <c r="B380" s="1"/>
      <c r="C380" s="1"/>
      <c r="D380" s="1"/>
      <c r="E380" s="1"/>
      <c r="F380" s="1"/>
      <c r="G380" s="1"/>
      <c r="H380" s="1"/>
      <c r="I380" s="1"/>
      <c r="J380" s="1"/>
      <c r="K380" s="1"/>
      <c r="L380" s="1"/>
      <c r="M380" s="5"/>
      <c r="N380" s="5"/>
      <c r="O380" s="5"/>
      <c r="P380" s="5"/>
      <c r="Q380" s="1"/>
      <c r="R380" s="1"/>
      <c r="S380" s="1"/>
      <c r="T380" s="1"/>
      <c r="U380" s="1"/>
      <c r="V380" s="1"/>
      <c r="W380" s="1"/>
      <c r="X380" s="1"/>
      <c r="Y380" s="1"/>
      <c r="Z380" s="1"/>
      <c r="AA380" s="1"/>
      <c r="AB380" s="1"/>
      <c r="AC380" s="1"/>
    </row>
    <row r="381" spans="1:29" ht="14.25" customHeight="1" x14ac:dyDescent="0.2">
      <c r="A381" s="1"/>
      <c r="B381" s="1"/>
      <c r="C381" s="1"/>
      <c r="D381" s="1"/>
      <c r="E381" s="1"/>
      <c r="F381" s="1"/>
      <c r="G381" s="1"/>
      <c r="H381" s="1"/>
      <c r="I381" s="1"/>
      <c r="J381" s="1"/>
      <c r="K381" s="1"/>
      <c r="L381" s="1"/>
      <c r="M381" s="5"/>
      <c r="N381" s="5"/>
      <c r="O381" s="5"/>
      <c r="P381" s="5"/>
      <c r="Q381" s="1"/>
      <c r="R381" s="1"/>
      <c r="S381" s="1"/>
      <c r="T381" s="1"/>
      <c r="U381" s="1"/>
      <c r="V381" s="1"/>
      <c r="W381" s="1"/>
      <c r="X381" s="1"/>
      <c r="Y381" s="1"/>
      <c r="Z381" s="1"/>
      <c r="AA381" s="1"/>
      <c r="AB381" s="1"/>
      <c r="AC381" s="1"/>
    </row>
    <row r="382" spans="1:29" ht="14.25" customHeight="1" x14ac:dyDescent="0.2">
      <c r="A382" s="1"/>
      <c r="B382" s="1"/>
      <c r="C382" s="1"/>
      <c r="D382" s="1"/>
      <c r="E382" s="1"/>
      <c r="F382" s="1"/>
      <c r="G382" s="1"/>
      <c r="H382" s="1"/>
      <c r="I382" s="1"/>
      <c r="J382" s="1"/>
      <c r="K382" s="1"/>
      <c r="L382" s="1"/>
      <c r="M382" s="5"/>
      <c r="N382" s="5"/>
      <c r="O382" s="5"/>
      <c r="P382" s="5"/>
      <c r="Q382" s="1"/>
      <c r="R382" s="1"/>
      <c r="S382" s="1"/>
      <c r="T382" s="1"/>
      <c r="U382" s="1"/>
      <c r="V382" s="1"/>
      <c r="W382" s="1"/>
      <c r="X382" s="1"/>
      <c r="Y382" s="1"/>
      <c r="Z382" s="1"/>
      <c r="AA382" s="1"/>
      <c r="AB382" s="1"/>
      <c r="AC382" s="1"/>
    </row>
    <row r="383" spans="1:29" ht="14.25" customHeight="1" x14ac:dyDescent="0.2">
      <c r="A383" s="1"/>
      <c r="B383" s="1"/>
      <c r="C383" s="1"/>
      <c r="D383" s="1"/>
      <c r="E383" s="1"/>
      <c r="F383" s="1"/>
      <c r="G383" s="1"/>
      <c r="H383" s="1"/>
      <c r="I383" s="1"/>
      <c r="J383" s="1"/>
      <c r="K383" s="1"/>
      <c r="L383" s="1"/>
      <c r="M383" s="5"/>
      <c r="N383" s="5"/>
      <c r="O383" s="5"/>
      <c r="P383" s="5"/>
      <c r="Q383" s="1"/>
      <c r="R383" s="1"/>
      <c r="S383" s="1"/>
      <c r="T383" s="1"/>
      <c r="U383" s="1"/>
      <c r="V383" s="1"/>
      <c r="W383" s="1"/>
      <c r="X383" s="1"/>
      <c r="Y383" s="1"/>
      <c r="Z383" s="1"/>
      <c r="AA383" s="1"/>
      <c r="AB383" s="1"/>
      <c r="AC383" s="1"/>
    </row>
    <row r="384" spans="1:29" ht="14.25" customHeight="1" x14ac:dyDescent="0.2">
      <c r="A384" s="1"/>
      <c r="B384" s="1"/>
      <c r="C384" s="1"/>
      <c r="D384" s="1"/>
      <c r="E384" s="1"/>
      <c r="F384" s="1"/>
      <c r="G384" s="1"/>
      <c r="H384" s="1"/>
      <c r="I384" s="1"/>
      <c r="J384" s="1"/>
      <c r="K384" s="1"/>
      <c r="L384" s="1"/>
      <c r="M384" s="5"/>
      <c r="N384" s="5"/>
      <c r="O384" s="5"/>
      <c r="P384" s="5"/>
      <c r="Q384" s="1"/>
      <c r="R384" s="1"/>
      <c r="S384" s="1"/>
      <c r="T384" s="1"/>
      <c r="U384" s="1"/>
      <c r="V384" s="1"/>
      <c r="W384" s="1"/>
      <c r="X384" s="1"/>
      <c r="Y384" s="1"/>
      <c r="Z384" s="1"/>
      <c r="AA384" s="1"/>
      <c r="AB384" s="1"/>
      <c r="AC384" s="1"/>
    </row>
    <row r="385" spans="1:29" ht="14.25" customHeight="1" x14ac:dyDescent="0.2">
      <c r="A385" s="1"/>
      <c r="B385" s="1"/>
      <c r="C385" s="1"/>
      <c r="D385" s="1"/>
      <c r="E385" s="1"/>
      <c r="F385" s="1"/>
      <c r="G385" s="1"/>
      <c r="H385" s="1"/>
      <c r="I385" s="1"/>
      <c r="J385" s="1"/>
      <c r="K385" s="1"/>
      <c r="L385" s="1"/>
      <c r="M385" s="5"/>
      <c r="N385" s="5"/>
      <c r="O385" s="5"/>
      <c r="P385" s="5"/>
      <c r="Q385" s="1"/>
      <c r="R385" s="1"/>
      <c r="S385" s="1"/>
      <c r="T385" s="1"/>
      <c r="U385" s="1"/>
      <c r="V385" s="1"/>
      <c r="W385" s="1"/>
      <c r="X385" s="1"/>
      <c r="Y385" s="1"/>
      <c r="Z385" s="1"/>
      <c r="AA385" s="1"/>
      <c r="AB385" s="1"/>
      <c r="AC385" s="1"/>
    </row>
    <row r="386" spans="1:29" ht="14.25" customHeight="1" x14ac:dyDescent="0.2">
      <c r="A386" s="1"/>
      <c r="B386" s="1"/>
      <c r="C386" s="1"/>
      <c r="D386" s="1"/>
      <c r="E386" s="1"/>
      <c r="F386" s="1"/>
      <c r="G386" s="1"/>
      <c r="H386" s="1"/>
      <c r="I386" s="1"/>
      <c r="J386" s="1"/>
      <c r="K386" s="1"/>
      <c r="L386" s="1"/>
      <c r="M386" s="5"/>
      <c r="N386" s="5"/>
      <c r="O386" s="5"/>
      <c r="P386" s="5"/>
      <c r="Q386" s="1"/>
      <c r="R386" s="1"/>
      <c r="S386" s="1"/>
      <c r="T386" s="1"/>
      <c r="U386" s="1"/>
      <c r="V386" s="1"/>
      <c r="W386" s="1"/>
      <c r="X386" s="1"/>
      <c r="Y386" s="1"/>
      <c r="Z386" s="1"/>
      <c r="AA386" s="1"/>
      <c r="AB386" s="1"/>
      <c r="AC386" s="1"/>
    </row>
    <row r="387" spans="1:29" ht="14.25" customHeight="1" x14ac:dyDescent="0.2">
      <c r="A387" s="1"/>
      <c r="B387" s="1"/>
      <c r="C387" s="1"/>
      <c r="D387" s="1"/>
      <c r="E387" s="1"/>
      <c r="F387" s="1"/>
      <c r="G387" s="1"/>
      <c r="H387" s="1"/>
      <c r="I387" s="1"/>
      <c r="J387" s="1"/>
      <c r="K387" s="1"/>
      <c r="L387" s="1"/>
      <c r="M387" s="5"/>
      <c r="N387" s="5"/>
      <c r="O387" s="5"/>
      <c r="P387" s="5"/>
      <c r="Q387" s="1"/>
      <c r="R387" s="1"/>
      <c r="S387" s="1"/>
      <c r="T387" s="1"/>
      <c r="U387" s="1"/>
      <c r="V387" s="1"/>
      <c r="W387" s="1"/>
      <c r="X387" s="1"/>
      <c r="Y387" s="1"/>
      <c r="Z387" s="1"/>
      <c r="AA387" s="1"/>
      <c r="AB387" s="1"/>
      <c r="AC387" s="1"/>
    </row>
    <row r="388" spans="1:29" ht="14.25" customHeight="1" x14ac:dyDescent="0.2">
      <c r="A388" s="1"/>
      <c r="B388" s="1"/>
      <c r="C388" s="1"/>
      <c r="D388" s="1"/>
      <c r="E388" s="1"/>
      <c r="F388" s="1"/>
      <c r="G388" s="1"/>
      <c r="H388" s="1"/>
      <c r="I388" s="1"/>
      <c r="J388" s="1"/>
      <c r="K388" s="1"/>
      <c r="L388" s="1"/>
      <c r="M388" s="5"/>
      <c r="N388" s="5"/>
      <c r="O388" s="5"/>
      <c r="P388" s="5"/>
      <c r="Q388" s="1"/>
      <c r="R388" s="1"/>
      <c r="S388" s="1"/>
      <c r="T388" s="1"/>
      <c r="U388" s="1"/>
      <c r="V388" s="1"/>
      <c r="W388" s="1"/>
      <c r="X388" s="1"/>
      <c r="Y388" s="1"/>
      <c r="Z388" s="1"/>
      <c r="AA388" s="1"/>
      <c r="AB388" s="1"/>
      <c r="AC388" s="1"/>
    </row>
    <row r="389" spans="1:29" ht="14.25" customHeight="1" x14ac:dyDescent="0.2">
      <c r="A389" s="1"/>
      <c r="B389" s="1"/>
      <c r="C389" s="1"/>
      <c r="D389" s="1"/>
      <c r="E389" s="1"/>
      <c r="F389" s="1"/>
      <c r="G389" s="1"/>
      <c r="H389" s="1"/>
      <c r="I389" s="1"/>
      <c r="J389" s="1"/>
      <c r="K389" s="1"/>
      <c r="L389" s="1"/>
      <c r="M389" s="5"/>
      <c r="N389" s="5"/>
      <c r="O389" s="5"/>
      <c r="P389" s="5"/>
      <c r="Q389" s="1"/>
      <c r="R389" s="1"/>
      <c r="S389" s="1"/>
      <c r="T389" s="1"/>
      <c r="U389" s="1"/>
      <c r="V389" s="1"/>
      <c r="W389" s="1"/>
      <c r="X389" s="1"/>
      <c r="Y389" s="1"/>
      <c r="Z389" s="1"/>
      <c r="AA389" s="1"/>
      <c r="AB389" s="1"/>
      <c r="AC389" s="1"/>
    </row>
    <row r="390" spans="1:29" ht="14.25" customHeight="1" x14ac:dyDescent="0.2">
      <c r="A390" s="1"/>
      <c r="B390" s="1"/>
      <c r="C390" s="1"/>
      <c r="D390" s="1"/>
      <c r="E390" s="1"/>
      <c r="F390" s="1"/>
      <c r="G390" s="1"/>
      <c r="H390" s="1"/>
      <c r="I390" s="1"/>
      <c r="J390" s="1"/>
      <c r="K390" s="1"/>
      <c r="L390" s="1"/>
      <c r="M390" s="5"/>
      <c r="N390" s="5"/>
      <c r="O390" s="5"/>
      <c r="P390" s="5"/>
      <c r="Q390" s="1"/>
      <c r="R390" s="1"/>
      <c r="S390" s="1"/>
      <c r="T390" s="1"/>
      <c r="U390" s="1"/>
      <c r="V390" s="1"/>
      <c r="W390" s="1"/>
      <c r="X390" s="1"/>
      <c r="Y390" s="1"/>
      <c r="Z390" s="1"/>
      <c r="AA390" s="1"/>
      <c r="AB390" s="1"/>
      <c r="AC390" s="1"/>
    </row>
    <row r="391" spans="1:29" ht="14.25" customHeight="1" x14ac:dyDescent="0.2">
      <c r="A391" s="1"/>
      <c r="B391" s="1"/>
      <c r="C391" s="1"/>
      <c r="D391" s="1"/>
      <c r="E391" s="1"/>
      <c r="F391" s="1"/>
      <c r="G391" s="1"/>
      <c r="H391" s="1"/>
      <c r="I391" s="1"/>
      <c r="J391" s="1"/>
      <c r="K391" s="1"/>
      <c r="L391" s="1"/>
      <c r="M391" s="5"/>
      <c r="N391" s="5"/>
      <c r="O391" s="5"/>
      <c r="P391" s="5"/>
      <c r="Q391" s="1"/>
      <c r="R391" s="1"/>
      <c r="S391" s="1"/>
      <c r="T391" s="1"/>
      <c r="U391" s="1"/>
      <c r="V391" s="1"/>
      <c r="W391" s="1"/>
      <c r="X391" s="1"/>
      <c r="Y391" s="1"/>
      <c r="Z391" s="1"/>
      <c r="AA391" s="1"/>
      <c r="AB391" s="1"/>
      <c r="AC391" s="1"/>
    </row>
    <row r="392" spans="1:29" ht="14.25" customHeight="1" x14ac:dyDescent="0.2">
      <c r="A392" s="1"/>
      <c r="B392" s="1"/>
      <c r="C392" s="1"/>
      <c r="D392" s="1"/>
      <c r="E392" s="1"/>
      <c r="F392" s="1"/>
      <c r="G392" s="1"/>
      <c r="H392" s="1"/>
      <c r="I392" s="1"/>
      <c r="J392" s="1"/>
      <c r="K392" s="1"/>
      <c r="L392" s="1"/>
      <c r="M392" s="5"/>
      <c r="N392" s="5"/>
      <c r="O392" s="5"/>
      <c r="P392" s="5"/>
      <c r="Q392" s="1"/>
      <c r="R392" s="1"/>
      <c r="S392" s="1"/>
      <c r="T392" s="1"/>
      <c r="U392" s="1"/>
      <c r="V392" s="1"/>
      <c r="W392" s="1"/>
      <c r="X392" s="1"/>
      <c r="Y392" s="1"/>
      <c r="Z392" s="1"/>
      <c r="AA392" s="1"/>
      <c r="AB392" s="1"/>
      <c r="AC392" s="1"/>
    </row>
    <row r="393" spans="1:29" ht="14.25" customHeight="1" x14ac:dyDescent="0.2">
      <c r="A393" s="1"/>
      <c r="B393" s="1"/>
      <c r="C393" s="1"/>
      <c r="D393" s="1"/>
      <c r="E393" s="1"/>
      <c r="F393" s="1"/>
      <c r="G393" s="1"/>
      <c r="H393" s="1"/>
      <c r="I393" s="1"/>
      <c r="J393" s="1"/>
      <c r="K393" s="1"/>
      <c r="L393" s="1"/>
      <c r="M393" s="5"/>
      <c r="N393" s="5"/>
      <c r="O393" s="5"/>
      <c r="P393" s="5"/>
      <c r="Q393" s="1"/>
      <c r="R393" s="1"/>
      <c r="S393" s="1"/>
      <c r="T393" s="1"/>
      <c r="U393" s="1"/>
      <c r="V393" s="1"/>
      <c r="W393" s="1"/>
      <c r="X393" s="1"/>
      <c r="Y393" s="1"/>
      <c r="Z393" s="1"/>
      <c r="AA393" s="1"/>
      <c r="AB393" s="1"/>
      <c r="AC393" s="1"/>
    </row>
    <row r="394" spans="1:29" ht="14.25" customHeight="1" x14ac:dyDescent="0.2">
      <c r="A394" s="1"/>
      <c r="B394" s="1"/>
      <c r="C394" s="1"/>
      <c r="D394" s="1"/>
      <c r="E394" s="1"/>
      <c r="F394" s="1"/>
      <c r="G394" s="1"/>
      <c r="H394" s="1"/>
      <c r="I394" s="1"/>
      <c r="J394" s="1"/>
      <c r="K394" s="1"/>
      <c r="L394" s="1"/>
      <c r="M394" s="5"/>
      <c r="N394" s="5"/>
      <c r="O394" s="5"/>
      <c r="P394" s="5"/>
      <c r="Q394" s="1"/>
      <c r="R394" s="1"/>
      <c r="S394" s="1"/>
      <c r="T394" s="1"/>
      <c r="U394" s="1"/>
      <c r="V394" s="1"/>
      <c r="W394" s="1"/>
      <c r="X394" s="1"/>
      <c r="Y394" s="1"/>
      <c r="Z394" s="1"/>
      <c r="AA394" s="1"/>
      <c r="AB394" s="1"/>
      <c r="AC394" s="1"/>
    </row>
    <row r="395" spans="1:29" ht="14.25" customHeight="1" x14ac:dyDescent="0.2">
      <c r="A395" s="1"/>
      <c r="B395" s="1"/>
      <c r="C395" s="1"/>
      <c r="D395" s="1"/>
      <c r="E395" s="1"/>
      <c r="F395" s="1"/>
      <c r="G395" s="1"/>
      <c r="H395" s="1"/>
      <c r="I395" s="1"/>
      <c r="J395" s="1"/>
      <c r="K395" s="1"/>
      <c r="L395" s="1"/>
      <c r="M395" s="5"/>
      <c r="N395" s="5"/>
      <c r="O395" s="5"/>
      <c r="P395" s="5"/>
      <c r="Q395" s="1"/>
      <c r="R395" s="1"/>
      <c r="S395" s="1"/>
      <c r="T395" s="1"/>
      <c r="U395" s="1"/>
      <c r="V395" s="1"/>
      <c r="W395" s="1"/>
      <c r="X395" s="1"/>
      <c r="Y395" s="1"/>
      <c r="Z395" s="1"/>
      <c r="AA395" s="1"/>
      <c r="AB395" s="1"/>
      <c r="AC395" s="1"/>
    </row>
    <row r="396" spans="1:29" ht="14.25" customHeight="1" x14ac:dyDescent="0.2">
      <c r="A396" s="1"/>
      <c r="B396" s="1"/>
      <c r="C396" s="1"/>
      <c r="D396" s="1"/>
      <c r="E396" s="1"/>
      <c r="F396" s="1"/>
      <c r="G396" s="1"/>
      <c r="H396" s="1"/>
      <c r="I396" s="1"/>
      <c r="J396" s="1"/>
      <c r="K396" s="1"/>
      <c r="L396" s="1"/>
      <c r="M396" s="5"/>
      <c r="N396" s="5"/>
      <c r="O396" s="5"/>
      <c r="P396" s="5"/>
      <c r="Q396" s="1"/>
      <c r="R396" s="1"/>
      <c r="S396" s="1"/>
      <c r="T396" s="1"/>
      <c r="U396" s="1"/>
      <c r="V396" s="1"/>
      <c r="W396" s="1"/>
      <c r="X396" s="1"/>
      <c r="Y396" s="1"/>
      <c r="Z396" s="1"/>
      <c r="AA396" s="1"/>
      <c r="AB396" s="1"/>
      <c r="AC396" s="1"/>
    </row>
    <row r="397" spans="1:29" ht="14.25" customHeight="1" x14ac:dyDescent="0.2">
      <c r="A397" s="1"/>
      <c r="B397" s="1"/>
      <c r="C397" s="1"/>
      <c r="D397" s="1"/>
      <c r="E397" s="1"/>
      <c r="F397" s="1"/>
      <c r="G397" s="1"/>
      <c r="H397" s="1"/>
      <c r="I397" s="1"/>
      <c r="J397" s="1"/>
      <c r="K397" s="1"/>
      <c r="L397" s="1"/>
      <c r="M397" s="5"/>
      <c r="N397" s="5"/>
      <c r="O397" s="5"/>
      <c r="P397" s="5"/>
      <c r="Q397" s="1"/>
      <c r="R397" s="1"/>
      <c r="S397" s="1"/>
      <c r="T397" s="1"/>
      <c r="U397" s="1"/>
      <c r="V397" s="1"/>
      <c r="W397" s="1"/>
      <c r="X397" s="1"/>
      <c r="Y397" s="1"/>
      <c r="Z397" s="1"/>
      <c r="AA397" s="1"/>
      <c r="AB397" s="1"/>
      <c r="AC397" s="1"/>
    </row>
    <row r="398" spans="1:29" ht="14.25" customHeight="1" x14ac:dyDescent="0.2">
      <c r="A398" s="1"/>
      <c r="B398" s="1"/>
      <c r="C398" s="1"/>
      <c r="D398" s="1"/>
      <c r="E398" s="1"/>
      <c r="F398" s="1"/>
      <c r="G398" s="1"/>
      <c r="H398" s="1"/>
      <c r="I398" s="1"/>
      <c r="J398" s="1"/>
      <c r="K398" s="1"/>
      <c r="L398" s="1"/>
      <c r="M398" s="5"/>
      <c r="N398" s="5"/>
      <c r="O398" s="5"/>
      <c r="P398" s="5"/>
      <c r="Q398" s="1"/>
      <c r="R398" s="1"/>
      <c r="S398" s="1"/>
      <c r="T398" s="1"/>
      <c r="U398" s="1"/>
      <c r="V398" s="1"/>
      <c r="W398" s="1"/>
      <c r="X398" s="1"/>
      <c r="Y398" s="1"/>
      <c r="Z398" s="1"/>
      <c r="AA398" s="1"/>
      <c r="AB398" s="1"/>
      <c r="AC398" s="1"/>
    </row>
    <row r="399" spans="1:29" ht="14.25" customHeight="1" x14ac:dyDescent="0.2">
      <c r="A399" s="1"/>
      <c r="B399" s="1"/>
      <c r="C399" s="1"/>
      <c r="D399" s="1"/>
      <c r="E399" s="1"/>
      <c r="F399" s="1"/>
      <c r="G399" s="1"/>
      <c r="H399" s="1"/>
      <c r="I399" s="1"/>
      <c r="J399" s="1"/>
      <c r="K399" s="1"/>
      <c r="L399" s="1"/>
      <c r="M399" s="5"/>
      <c r="N399" s="5"/>
      <c r="O399" s="5"/>
      <c r="P399" s="5"/>
      <c r="Q399" s="1"/>
      <c r="R399" s="1"/>
      <c r="S399" s="1"/>
      <c r="T399" s="1"/>
      <c r="U399" s="1"/>
      <c r="V399" s="1"/>
      <c r="W399" s="1"/>
      <c r="X399" s="1"/>
      <c r="Y399" s="1"/>
      <c r="Z399" s="1"/>
      <c r="AA399" s="1"/>
      <c r="AB399" s="1"/>
      <c r="AC399" s="1"/>
    </row>
    <row r="400" spans="1:29" ht="14.25" customHeight="1" x14ac:dyDescent="0.2">
      <c r="A400" s="1"/>
      <c r="B400" s="1"/>
      <c r="C400" s="1"/>
      <c r="D400" s="1"/>
      <c r="E400" s="1"/>
      <c r="F400" s="1"/>
      <c r="G400" s="1"/>
      <c r="H400" s="1"/>
      <c r="I400" s="1"/>
      <c r="J400" s="1"/>
      <c r="K400" s="1"/>
      <c r="L400" s="1"/>
      <c r="M400" s="5"/>
      <c r="N400" s="5"/>
      <c r="O400" s="5"/>
      <c r="P400" s="5"/>
      <c r="Q400" s="1"/>
      <c r="R400" s="1"/>
      <c r="S400" s="1"/>
      <c r="T400" s="1"/>
      <c r="U400" s="1"/>
      <c r="V400" s="1"/>
      <c r="W400" s="1"/>
      <c r="X400" s="1"/>
      <c r="Y400" s="1"/>
      <c r="Z400" s="1"/>
      <c r="AA400" s="1"/>
      <c r="AB400" s="1"/>
      <c r="AC400" s="1"/>
    </row>
    <row r="401" spans="1:29" ht="14.25" customHeight="1" x14ac:dyDescent="0.2">
      <c r="A401" s="1"/>
      <c r="B401" s="1"/>
      <c r="C401" s="1"/>
      <c r="D401" s="1"/>
      <c r="E401" s="1"/>
      <c r="F401" s="1"/>
      <c r="G401" s="1"/>
      <c r="H401" s="1"/>
      <c r="I401" s="1"/>
      <c r="J401" s="1"/>
      <c r="K401" s="1"/>
      <c r="L401" s="1"/>
      <c r="M401" s="5"/>
      <c r="N401" s="5"/>
      <c r="O401" s="5"/>
      <c r="P401" s="5"/>
      <c r="Q401" s="1"/>
      <c r="R401" s="1"/>
      <c r="S401" s="1"/>
      <c r="T401" s="1"/>
      <c r="U401" s="1"/>
      <c r="V401" s="1"/>
      <c r="W401" s="1"/>
      <c r="X401" s="1"/>
      <c r="Y401" s="1"/>
      <c r="Z401" s="1"/>
      <c r="AA401" s="1"/>
      <c r="AB401" s="1"/>
      <c r="AC401" s="1"/>
    </row>
    <row r="402" spans="1:29" ht="14.25" customHeight="1" x14ac:dyDescent="0.2">
      <c r="A402" s="1"/>
      <c r="B402" s="1"/>
      <c r="C402" s="1"/>
      <c r="D402" s="1"/>
      <c r="E402" s="1"/>
      <c r="F402" s="1"/>
      <c r="G402" s="1"/>
      <c r="H402" s="1"/>
      <c r="I402" s="1"/>
      <c r="J402" s="1"/>
      <c r="K402" s="1"/>
      <c r="L402" s="1"/>
      <c r="M402" s="5"/>
      <c r="N402" s="5"/>
      <c r="O402" s="5"/>
      <c r="P402" s="5"/>
      <c r="Q402" s="1"/>
      <c r="R402" s="1"/>
      <c r="S402" s="1"/>
      <c r="T402" s="1"/>
      <c r="U402" s="1"/>
      <c r="V402" s="1"/>
      <c r="W402" s="1"/>
      <c r="X402" s="1"/>
      <c r="Y402" s="1"/>
      <c r="Z402" s="1"/>
      <c r="AA402" s="1"/>
      <c r="AB402" s="1"/>
      <c r="AC402" s="1"/>
    </row>
    <row r="403" spans="1:29" ht="14.25" customHeight="1" x14ac:dyDescent="0.2">
      <c r="A403" s="1"/>
      <c r="B403" s="1"/>
      <c r="C403" s="1"/>
      <c r="D403" s="1"/>
      <c r="E403" s="1"/>
      <c r="F403" s="1"/>
      <c r="G403" s="1"/>
      <c r="H403" s="1"/>
      <c r="I403" s="1"/>
      <c r="J403" s="1"/>
      <c r="K403" s="1"/>
      <c r="L403" s="1"/>
      <c r="M403" s="5"/>
      <c r="N403" s="5"/>
      <c r="O403" s="5"/>
      <c r="P403" s="5"/>
      <c r="Q403" s="1"/>
      <c r="R403" s="1"/>
      <c r="S403" s="1"/>
      <c r="T403" s="1"/>
      <c r="U403" s="1"/>
      <c r="V403" s="1"/>
      <c r="W403" s="1"/>
      <c r="X403" s="1"/>
      <c r="Y403" s="1"/>
      <c r="Z403" s="1"/>
      <c r="AA403" s="1"/>
      <c r="AB403" s="1"/>
      <c r="AC403" s="1"/>
    </row>
    <row r="404" spans="1:29" ht="14.25" customHeight="1" x14ac:dyDescent="0.2">
      <c r="A404" s="1"/>
      <c r="B404" s="1"/>
      <c r="C404" s="1"/>
      <c r="D404" s="1"/>
      <c r="E404" s="1"/>
      <c r="F404" s="1"/>
      <c r="G404" s="1"/>
      <c r="H404" s="1"/>
      <c r="I404" s="1"/>
      <c r="J404" s="1"/>
      <c r="K404" s="1"/>
      <c r="L404" s="1"/>
      <c r="M404" s="5"/>
      <c r="N404" s="5"/>
      <c r="O404" s="5"/>
      <c r="P404" s="5"/>
      <c r="Q404" s="1"/>
      <c r="R404" s="1"/>
      <c r="S404" s="1"/>
      <c r="T404" s="1"/>
      <c r="U404" s="1"/>
      <c r="V404" s="1"/>
      <c r="W404" s="1"/>
      <c r="X404" s="1"/>
      <c r="Y404" s="1"/>
      <c r="Z404" s="1"/>
      <c r="AA404" s="1"/>
      <c r="AB404" s="1"/>
      <c r="AC404" s="1"/>
    </row>
    <row r="405" spans="1:29" ht="14.25" customHeight="1" x14ac:dyDescent="0.2">
      <c r="A405" s="1"/>
      <c r="B405" s="1"/>
      <c r="C405" s="1"/>
      <c r="D405" s="1"/>
      <c r="E405" s="1"/>
      <c r="F405" s="1"/>
      <c r="G405" s="1"/>
      <c r="H405" s="1"/>
      <c r="I405" s="1"/>
      <c r="J405" s="1"/>
      <c r="K405" s="1"/>
      <c r="L405" s="1"/>
      <c r="M405" s="5"/>
      <c r="N405" s="5"/>
      <c r="O405" s="5"/>
      <c r="P405" s="5"/>
      <c r="Q405" s="1"/>
      <c r="R405" s="1"/>
      <c r="S405" s="1"/>
      <c r="T405" s="1"/>
      <c r="U405" s="1"/>
      <c r="V405" s="1"/>
      <c r="W405" s="1"/>
      <c r="X405" s="1"/>
      <c r="Y405" s="1"/>
      <c r="Z405" s="1"/>
      <c r="AA405" s="1"/>
      <c r="AB405" s="1"/>
      <c r="AC405" s="1"/>
    </row>
    <row r="406" spans="1:29" ht="14.25" customHeight="1" x14ac:dyDescent="0.2">
      <c r="A406" s="1"/>
      <c r="B406" s="1"/>
      <c r="C406" s="1"/>
      <c r="D406" s="1"/>
      <c r="E406" s="1"/>
      <c r="F406" s="1"/>
      <c r="G406" s="1"/>
      <c r="H406" s="1"/>
      <c r="I406" s="1"/>
      <c r="J406" s="1"/>
      <c r="K406" s="1"/>
      <c r="L406" s="1"/>
      <c r="M406" s="5"/>
      <c r="N406" s="5"/>
      <c r="O406" s="5"/>
      <c r="P406" s="5"/>
      <c r="Q406" s="1"/>
      <c r="R406" s="1"/>
      <c r="S406" s="1"/>
      <c r="T406" s="1"/>
      <c r="U406" s="1"/>
      <c r="V406" s="1"/>
      <c r="W406" s="1"/>
      <c r="X406" s="1"/>
      <c r="Y406" s="1"/>
      <c r="Z406" s="1"/>
      <c r="AA406" s="1"/>
      <c r="AB406" s="1"/>
      <c r="AC406" s="1"/>
    </row>
    <row r="407" spans="1:29" ht="14.25" customHeight="1" x14ac:dyDescent="0.2">
      <c r="A407" s="1"/>
      <c r="B407" s="1"/>
      <c r="C407" s="1"/>
      <c r="D407" s="1"/>
      <c r="E407" s="1"/>
      <c r="F407" s="1"/>
      <c r="G407" s="1"/>
      <c r="H407" s="1"/>
      <c r="I407" s="1"/>
      <c r="J407" s="1"/>
      <c r="K407" s="1"/>
      <c r="L407" s="1"/>
      <c r="M407" s="5"/>
      <c r="N407" s="5"/>
      <c r="O407" s="5"/>
      <c r="P407" s="5"/>
      <c r="Q407" s="1"/>
      <c r="R407" s="1"/>
      <c r="S407" s="1"/>
      <c r="T407" s="1"/>
      <c r="U407" s="1"/>
      <c r="V407" s="1"/>
      <c r="W407" s="1"/>
      <c r="X407" s="1"/>
      <c r="Y407" s="1"/>
      <c r="Z407" s="1"/>
      <c r="AA407" s="1"/>
      <c r="AB407" s="1"/>
      <c r="AC407" s="1"/>
    </row>
    <row r="408" spans="1:29" ht="14.25" customHeight="1" x14ac:dyDescent="0.2">
      <c r="A408" s="1"/>
      <c r="B408" s="1"/>
      <c r="C408" s="1"/>
      <c r="D408" s="1"/>
      <c r="E408" s="1"/>
      <c r="F408" s="1"/>
      <c r="G408" s="1"/>
      <c r="H408" s="1"/>
      <c r="I408" s="1"/>
      <c r="J408" s="1"/>
      <c r="K408" s="1"/>
      <c r="L408" s="1"/>
      <c r="M408" s="5"/>
      <c r="N408" s="5"/>
      <c r="O408" s="5"/>
      <c r="P408" s="5"/>
      <c r="Q408" s="1"/>
      <c r="R408" s="1"/>
      <c r="S408" s="1"/>
      <c r="T408" s="1"/>
      <c r="U408" s="1"/>
      <c r="V408" s="1"/>
      <c r="W408" s="1"/>
      <c r="X408" s="1"/>
      <c r="Y408" s="1"/>
      <c r="Z408" s="1"/>
      <c r="AA408" s="1"/>
      <c r="AB408" s="1"/>
      <c r="AC408" s="1"/>
    </row>
    <row r="409" spans="1:29" ht="14.25" customHeight="1" x14ac:dyDescent="0.2">
      <c r="A409" s="1"/>
      <c r="B409" s="1"/>
      <c r="C409" s="1"/>
      <c r="D409" s="1"/>
      <c r="E409" s="1"/>
      <c r="F409" s="1"/>
      <c r="G409" s="1"/>
      <c r="H409" s="1"/>
      <c r="I409" s="1"/>
      <c r="J409" s="1"/>
      <c r="K409" s="1"/>
      <c r="L409" s="1"/>
      <c r="M409" s="5"/>
      <c r="N409" s="5"/>
      <c r="O409" s="5"/>
      <c r="P409" s="5"/>
      <c r="Q409" s="1"/>
      <c r="R409" s="1"/>
      <c r="S409" s="1"/>
      <c r="T409" s="1"/>
      <c r="U409" s="1"/>
      <c r="V409" s="1"/>
      <c r="W409" s="1"/>
      <c r="X409" s="1"/>
      <c r="Y409" s="1"/>
      <c r="Z409" s="1"/>
      <c r="AA409" s="1"/>
      <c r="AB409" s="1"/>
      <c r="AC409" s="1"/>
    </row>
    <row r="410" spans="1:29" ht="14.25" customHeight="1" x14ac:dyDescent="0.2">
      <c r="A410" s="1"/>
      <c r="B410" s="1"/>
      <c r="C410" s="1"/>
      <c r="D410" s="1"/>
      <c r="E410" s="1"/>
      <c r="F410" s="1"/>
      <c r="G410" s="1"/>
      <c r="H410" s="1"/>
      <c r="I410" s="1"/>
      <c r="J410" s="1"/>
      <c r="K410" s="1"/>
      <c r="L410" s="1"/>
      <c r="M410" s="5"/>
      <c r="N410" s="5"/>
      <c r="O410" s="5"/>
      <c r="P410" s="5"/>
      <c r="Q410" s="1"/>
      <c r="R410" s="1"/>
      <c r="S410" s="1"/>
      <c r="T410" s="1"/>
      <c r="U410" s="1"/>
      <c r="V410" s="1"/>
      <c r="W410" s="1"/>
      <c r="X410" s="1"/>
      <c r="Y410" s="1"/>
      <c r="Z410" s="1"/>
      <c r="AA410" s="1"/>
      <c r="AB410" s="1"/>
      <c r="AC410" s="1"/>
    </row>
    <row r="411" spans="1:29" ht="14.25" customHeight="1" x14ac:dyDescent="0.2">
      <c r="A411" s="1"/>
      <c r="B411" s="1"/>
      <c r="C411" s="1"/>
      <c r="D411" s="1"/>
      <c r="E411" s="1"/>
      <c r="F411" s="1"/>
      <c r="G411" s="1"/>
      <c r="H411" s="1"/>
      <c r="I411" s="1"/>
      <c r="J411" s="1"/>
      <c r="K411" s="1"/>
      <c r="L411" s="1"/>
      <c r="M411" s="5"/>
      <c r="N411" s="5"/>
      <c r="O411" s="5"/>
      <c r="P411" s="5"/>
      <c r="Q411" s="1"/>
      <c r="R411" s="1"/>
      <c r="S411" s="1"/>
      <c r="T411" s="1"/>
      <c r="U411" s="1"/>
      <c r="V411" s="1"/>
      <c r="W411" s="1"/>
      <c r="X411" s="1"/>
      <c r="Y411" s="1"/>
      <c r="Z411" s="1"/>
      <c r="AA411" s="1"/>
      <c r="AB411" s="1"/>
      <c r="AC411" s="1"/>
    </row>
    <row r="412" spans="1:29" ht="14.25" customHeight="1" x14ac:dyDescent="0.2">
      <c r="A412" s="1"/>
      <c r="B412" s="1"/>
      <c r="C412" s="1"/>
      <c r="D412" s="1"/>
      <c r="E412" s="1"/>
      <c r="F412" s="1"/>
      <c r="G412" s="1"/>
      <c r="H412" s="1"/>
      <c r="I412" s="1"/>
      <c r="J412" s="1"/>
      <c r="K412" s="1"/>
      <c r="L412" s="1"/>
      <c r="M412" s="5"/>
      <c r="N412" s="5"/>
      <c r="O412" s="5"/>
      <c r="P412" s="5"/>
      <c r="Q412" s="1"/>
      <c r="R412" s="1"/>
      <c r="S412" s="1"/>
      <c r="T412" s="1"/>
      <c r="U412" s="1"/>
      <c r="V412" s="1"/>
      <c r="W412" s="1"/>
      <c r="X412" s="1"/>
      <c r="Y412" s="1"/>
      <c r="Z412" s="1"/>
      <c r="AA412" s="1"/>
      <c r="AB412" s="1"/>
      <c r="AC412" s="1"/>
    </row>
    <row r="413" spans="1:29" ht="14.25" customHeight="1" x14ac:dyDescent="0.2">
      <c r="A413" s="1"/>
      <c r="B413" s="1"/>
      <c r="C413" s="1"/>
      <c r="D413" s="1"/>
      <c r="E413" s="1"/>
      <c r="F413" s="1"/>
      <c r="G413" s="1"/>
      <c r="H413" s="1"/>
      <c r="I413" s="1"/>
      <c r="J413" s="1"/>
      <c r="K413" s="1"/>
      <c r="L413" s="1"/>
      <c r="M413" s="5"/>
      <c r="N413" s="5"/>
      <c r="O413" s="5"/>
      <c r="P413" s="5"/>
      <c r="Q413" s="1"/>
      <c r="R413" s="1"/>
      <c r="S413" s="1"/>
      <c r="T413" s="1"/>
      <c r="U413" s="1"/>
      <c r="V413" s="1"/>
      <c r="W413" s="1"/>
      <c r="X413" s="1"/>
      <c r="Y413" s="1"/>
      <c r="Z413" s="1"/>
      <c r="AA413" s="1"/>
      <c r="AB413" s="1"/>
      <c r="AC413" s="1"/>
    </row>
    <row r="414" spans="1:29" ht="14.25" customHeight="1" x14ac:dyDescent="0.2">
      <c r="A414" s="1"/>
      <c r="B414" s="1"/>
      <c r="C414" s="1"/>
      <c r="D414" s="1"/>
      <c r="E414" s="1"/>
      <c r="F414" s="1"/>
      <c r="G414" s="1"/>
      <c r="H414" s="1"/>
      <c r="I414" s="1"/>
      <c r="J414" s="1"/>
      <c r="K414" s="1"/>
      <c r="L414" s="1"/>
      <c r="M414" s="5"/>
      <c r="N414" s="5"/>
      <c r="O414" s="5"/>
      <c r="P414" s="5"/>
      <c r="Q414" s="1"/>
      <c r="R414" s="1"/>
      <c r="S414" s="1"/>
      <c r="T414" s="1"/>
      <c r="U414" s="1"/>
      <c r="V414" s="1"/>
      <c r="W414" s="1"/>
      <c r="X414" s="1"/>
      <c r="Y414" s="1"/>
      <c r="Z414" s="1"/>
      <c r="AA414" s="1"/>
      <c r="AB414" s="1"/>
      <c r="AC414" s="1"/>
    </row>
    <row r="415" spans="1:29" ht="14.25" customHeight="1" x14ac:dyDescent="0.2">
      <c r="A415" s="1"/>
      <c r="B415" s="1"/>
      <c r="C415" s="1"/>
      <c r="D415" s="1"/>
      <c r="E415" s="1"/>
      <c r="F415" s="1"/>
      <c r="G415" s="1"/>
      <c r="H415" s="1"/>
      <c r="I415" s="1"/>
      <c r="J415" s="1"/>
      <c r="K415" s="1"/>
      <c r="L415" s="1"/>
      <c r="M415" s="5"/>
      <c r="N415" s="5"/>
      <c r="O415" s="5"/>
      <c r="P415" s="5"/>
      <c r="Q415" s="1"/>
      <c r="R415" s="1"/>
      <c r="S415" s="1"/>
      <c r="T415" s="1"/>
      <c r="U415" s="1"/>
      <c r="V415" s="1"/>
      <c r="W415" s="1"/>
      <c r="X415" s="1"/>
      <c r="Y415" s="1"/>
      <c r="Z415" s="1"/>
      <c r="AA415" s="1"/>
      <c r="AB415" s="1"/>
      <c r="AC415" s="1"/>
    </row>
    <row r="416" spans="1:29" ht="14.25" customHeight="1" x14ac:dyDescent="0.2">
      <c r="A416" s="1"/>
      <c r="B416" s="1"/>
      <c r="C416" s="1"/>
      <c r="D416" s="1"/>
      <c r="E416" s="1"/>
      <c r="F416" s="1"/>
      <c r="G416" s="1"/>
      <c r="H416" s="1"/>
      <c r="I416" s="1"/>
      <c r="J416" s="1"/>
      <c r="K416" s="1"/>
      <c r="L416" s="1"/>
      <c r="M416" s="5"/>
      <c r="N416" s="5"/>
      <c r="O416" s="5"/>
      <c r="P416" s="5"/>
      <c r="Q416" s="1"/>
      <c r="R416" s="1"/>
      <c r="S416" s="1"/>
      <c r="T416" s="1"/>
      <c r="U416" s="1"/>
      <c r="V416" s="1"/>
      <c r="W416" s="1"/>
      <c r="X416" s="1"/>
      <c r="Y416" s="1"/>
      <c r="Z416" s="1"/>
      <c r="AA416" s="1"/>
      <c r="AB416" s="1"/>
      <c r="AC416" s="1"/>
    </row>
    <row r="417" spans="1:29" ht="14.25" customHeight="1" x14ac:dyDescent="0.2">
      <c r="A417" s="1"/>
      <c r="B417" s="1"/>
      <c r="C417" s="1"/>
      <c r="D417" s="1"/>
      <c r="E417" s="1"/>
      <c r="F417" s="1"/>
      <c r="G417" s="1"/>
      <c r="H417" s="1"/>
      <c r="I417" s="1"/>
      <c r="J417" s="1"/>
      <c r="K417" s="1"/>
      <c r="L417" s="1"/>
      <c r="M417" s="5"/>
      <c r="N417" s="5"/>
      <c r="O417" s="5"/>
      <c r="P417" s="5"/>
      <c r="Q417" s="1"/>
      <c r="R417" s="1"/>
      <c r="S417" s="1"/>
      <c r="T417" s="1"/>
      <c r="U417" s="1"/>
      <c r="V417" s="1"/>
      <c r="W417" s="1"/>
      <c r="X417" s="1"/>
      <c r="Y417" s="1"/>
      <c r="Z417" s="1"/>
      <c r="AA417" s="1"/>
      <c r="AB417" s="1"/>
      <c r="AC417" s="1"/>
    </row>
    <row r="418" spans="1:29" ht="14.25" customHeight="1" x14ac:dyDescent="0.2">
      <c r="A418" s="1"/>
      <c r="B418" s="1"/>
      <c r="C418" s="1"/>
      <c r="D418" s="1"/>
      <c r="E418" s="1"/>
      <c r="F418" s="1"/>
      <c r="G418" s="1"/>
      <c r="H418" s="1"/>
      <c r="I418" s="1"/>
      <c r="J418" s="1"/>
      <c r="K418" s="1"/>
      <c r="L418" s="1"/>
      <c r="M418" s="5"/>
      <c r="N418" s="5"/>
      <c r="O418" s="5"/>
      <c r="P418" s="5"/>
      <c r="Q418" s="1"/>
      <c r="R418" s="1"/>
      <c r="S418" s="1"/>
      <c r="T418" s="1"/>
      <c r="U418" s="1"/>
      <c r="V418" s="1"/>
      <c r="W418" s="1"/>
      <c r="X418" s="1"/>
      <c r="Y418" s="1"/>
      <c r="Z418" s="1"/>
      <c r="AA418" s="1"/>
      <c r="AB418" s="1"/>
      <c r="AC418" s="1"/>
    </row>
    <row r="419" spans="1:29" ht="14.25" customHeight="1" x14ac:dyDescent="0.2">
      <c r="A419" s="1"/>
      <c r="B419" s="1"/>
      <c r="C419" s="1"/>
      <c r="D419" s="1"/>
      <c r="E419" s="1"/>
      <c r="F419" s="1"/>
      <c r="G419" s="1"/>
      <c r="H419" s="1"/>
      <c r="I419" s="1"/>
      <c r="J419" s="1"/>
      <c r="K419" s="1"/>
      <c r="L419" s="1"/>
      <c r="M419" s="5"/>
      <c r="N419" s="5"/>
      <c r="O419" s="5"/>
      <c r="P419" s="5"/>
      <c r="Q419" s="1"/>
      <c r="R419" s="1"/>
      <c r="S419" s="1"/>
      <c r="T419" s="1"/>
      <c r="U419" s="1"/>
      <c r="V419" s="1"/>
      <c r="W419" s="1"/>
      <c r="X419" s="1"/>
      <c r="Y419" s="1"/>
      <c r="Z419" s="1"/>
      <c r="AA419" s="1"/>
      <c r="AB419" s="1"/>
      <c r="AC419" s="1"/>
    </row>
    <row r="420" spans="1:29" ht="14.25" customHeight="1" x14ac:dyDescent="0.2">
      <c r="A420" s="1"/>
      <c r="B420" s="1"/>
      <c r="C420" s="1"/>
      <c r="D420" s="1"/>
      <c r="E420" s="1"/>
      <c r="F420" s="1"/>
      <c r="G420" s="1"/>
      <c r="H420" s="1"/>
      <c r="I420" s="1"/>
      <c r="J420" s="1"/>
      <c r="K420" s="1"/>
      <c r="L420" s="1"/>
      <c r="M420" s="5"/>
      <c r="N420" s="5"/>
      <c r="O420" s="5"/>
      <c r="P420" s="5"/>
      <c r="Q420" s="1"/>
      <c r="R420" s="1"/>
      <c r="S420" s="1"/>
      <c r="T420" s="1"/>
      <c r="U420" s="1"/>
      <c r="V420" s="1"/>
      <c r="W420" s="1"/>
      <c r="X420" s="1"/>
      <c r="Y420" s="1"/>
      <c r="Z420" s="1"/>
      <c r="AA420" s="1"/>
      <c r="AB420" s="1"/>
      <c r="AC420" s="1"/>
    </row>
    <row r="421" spans="1:29" ht="14.25" customHeight="1" x14ac:dyDescent="0.2">
      <c r="A421" s="1"/>
      <c r="B421" s="1"/>
      <c r="C421" s="1"/>
      <c r="D421" s="1"/>
      <c r="E421" s="1"/>
      <c r="F421" s="1"/>
      <c r="G421" s="1"/>
      <c r="H421" s="1"/>
      <c r="I421" s="1"/>
      <c r="J421" s="1"/>
      <c r="K421" s="1"/>
      <c r="L421" s="1"/>
      <c r="M421" s="5"/>
      <c r="N421" s="5"/>
      <c r="O421" s="5"/>
      <c r="P421" s="5"/>
      <c r="Q421" s="1"/>
      <c r="R421" s="1"/>
      <c r="S421" s="1"/>
      <c r="T421" s="1"/>
      <c r="U421" s="1"/>
      <c r="V421" s="1"/>
      <c r="W421" s="1"/>
      <c r="X421" s="1"/>
      <c r="Y421" s="1"/>
      <c r="Z421" s="1"/>
      <c r="AA421" s="1"/>
      <c r="AB421" s="1"/>
      <c r="AC421" s="1"/>
    </row>
    <row r="422" spans="1:29" ht="14.25" customHeight="1" x14ac:dyDescent="0.2">
      <c r="A422" s="1"/>
      <c r="B422" s="1"/>
      <c r="C422" s="1"/>
      <c r="D422" s="1"/>
      <c r="E422" s="1"/>
      <c r="F422" s="1"/>
      <c r="G422" s="1"/>
      <c r="H422" s="1"/>
      <c r="I422" s="1"/>
      <c r="J422" s="1"/>
      <c r="K422" s="1"/>
      <c r="L422" s="1"/>
      <c r="M422" s="5"/>
      <c r="N422" s="5"/>
      <c r="O422" s="5"/>
      <c r="P422" s="5"/>
      <c r="Q422" s="1"/>
      <c r="R422" s="1"/>
      <c r="S422" s="1"/>
      <c r="T422" s="1"/>
      <c r="U422" s="1"/>
      <c r="V422" s="1"/>
      <c r="W422" s="1"/>
      <c r="X422" s="1"/>
      <c r="Y422" s="1"/>
      <c r="Z422" s="1"/>
      <c r="AA422" s="1"/>
      <c r="AB422" s="1"/>
      <c r="AC422" s="1"/>
    </row>
    <row r="423" spans="1:29" ht="14.25" customHeight="1" x14ac:dyDescent="0.2">
      <c r="A423" s="1"/>
      <c r="B423" s="1"/>
      <c r="C423" s="1"/>
      <c r="D423" s="1"/>
      <c r="E423" s="1"/>
      <c r="F423" s="1"/>
      <c r="G423" s="1"/>
      <c r="H423" s="1"/>
      <c r="I423" s="1"/>
      <c r="J423" s="1"/>
      <c r="K423" s="1"/>
      <c r="L423" s="1"/>
      <c r="M423" s="5"/>
      <c r="N423" s="5"/>
      <c r="O423" s="5"/>
      <c r="P423" s="5"/>
      <c r="Q423" s="1"/>
      <c r="R423" s="1"/>
      <c r="S423" s="1"/>
      <c r="T423" s="1"/>
      <c r="U423" s="1"/>
      <c r="V423" s="1"/>
      <c r="W423" s="1"/>
      <c r="X423" s="1"/>
      <c r="Y423" s="1"/>
      <c r="Z423" s="1"/>
      <c r="AA423" s="1"/>
      <c r="AB423" s="1"/>
      <c r="AC423" s="1"/>
    </row>
    <row r="424" spans="1:29" ht="14.25" customHeight="1" x14ac:dyDescent="0.2">
      <c r="A424" s="1"/>
      <c r="B424" s="1"/>
      <c r="C424" s="1"/>
      <c r="D424" s="1"/>
      <c r="E424" s="1"/>
      <c r="F424" s="1"/>
      <c r="G424" s="1"/>
      <c r="H424" s="1"/>
      <c r="I424" s="1"/>
      <c r="J424" s="1"/>
      <c r="K424" s="1"/>
      <c r="L424" s="1"/>
      <c r="M424" s="5"/>
      <c r="N424" s="5"/>
      <c r="O424" s="5"/>
      <c r="P424" s="5"/>
      <c r="Q424" s="1"/>
      <c r="R424" s="1"/>
      <c r="S424" s="1"/>
      <c r="T424" s="1"/>
      <c r="U424" s="1"/>
      <c r="V424" s="1"/>
      <c r="W424" s="1"/>
      <c r="X424" s="1"/>
      <c r="Y424" s="1"/>
      <c r="Z424" s="1"/>
      <c r="AA424" s="1"/>
      <c r="AB424" s="1"/>
      <c r="AC424" s="1"/>
    </row>
    <row r="425" spans="1:29" ht="14.25" customHeight="1" x14ac:dyDescent="0.2">
      <c r="A425" s="1"/>
      <c r="B425" s="1"/>
      <c r="C425" s="1"/>
      <c r="D425" s="1"/>
      <c r="E425" s="1"/>
      <c r="F425" s="1"/>
      <c r="G425" s="1"/>
      <c r="H425" s="1"/>
      <c r="I425" s="1"/>
      <c r="J425" s="1"/>
      <c r="K425" s="1"/>
      <c r="L425" s="1"/>
      <c r="M425" s="5"/>
      <c r="N425" s="5"/>
      <c r="O425" s="5"/>
      <c r="P425" s="5"/>
      <c r="Q425" s="1"/>
      <c r="R425" s="1"/>
      <c r="S425" s="1"/>
      <c r="T425" s="1"/>
      <c r="U425" s="1"/>
      <c r="V425" s="1"/>
      <c r="W425" s="1"/>
      <c r="X425" s="1"/>
      <c r="Y425" s="1"/>
      <c r="Z425" s="1"/>
      <c r="AA425" s="1"/>
      <c r="AB425" s="1"/>
      <c r="AC425" s="1"/>
    </row>
    <row r="426" spans="1:29" ht="14.25" customHeight="1" x14ac:dyDescent="0.2">
      <c r="A426" s="1"/>
      <c r="B426" s="1"/>
      <c r="C426" s="1"/>
      <c r="D426" s="1"/>
      <c r="E426" s="1"/>
      <c r="F426" s="1"/>
      <c r="G426" s="1"/>
      <c r="H426" s="1"/>
      <c r="I426" s="1"/>
      <c r="J426" s="1"/>
      <c r="K426" s="1"/>
      <c r="L426" s="1"/>
      <c r="M426" s="5"/>
      <c r="N426" s="5"/>
      <c r="O426" s="5"/>
      <c r="P426" s="5"/>
      <c r="Q426" s="1"/>
      <c r="R426" s="1"/>
      <c r="S426" s="1"/>
      <c r="T426" s="1"/>
      <c r="U426" s="1"/>
      <c r="V426" s="1"/>
      <c r="W426" s="1"/>
      <c r="X426" s="1"/>
      <c r="Y426" s="1"/>
      <c r="Z426" s="1"/>
      <c r="AA426" s="1"/>
      <c r="AB426" s="1"/>
      <c r="AC426" s="1"/>
    </row>
    <row r="427" spans="1:29" ht="14.25" customHeight="1" x14ac:dyDescent="0.2">
      <c r="A427" s="1"/>
      <c r="B427" s="1"/>
      <c r="C427" s="1"/>
      <c r="D427" s="1"/>
      <c r="E427" s="1"/>
      <c r="F427" s="1"/>
      <c r="G427" s="1"/>
      <c r="H427" s="1"/>
      <c r="I427" s="1"/>
      <c r="J427" s="1"/>
      <c r="K427" s="1"/>
      <c r="L427" s="1"/>
      <c r="M427" s="5"/>
      <c r="N427" s="5"/>
      <c r="O427" s="5"/>
      <c r="P427" s="5"/>
      <c r="Q427" s="1"/>
      <c r="R427" s="1"/>
      <c r="S427" s="1"/>
      <c r="T427" s="1"/>
      <c r="U427" s="1"/>
      <c r="V427" s="1"/>
      <c r="W427" s="1"/>
      <c r="X427" s="1"/>
      <c r="Y427" s="1"/>
      <c r="Z427" s="1"/>
      <c r="AA427" s="1"/>
      <c r="AB427" s="1"/>
      <c r="AC427" s="1"/>
    </row>
    <row r="428" spans="1:29" ht="14.25" customHeight="1" x14ac:dyDescent="0.2">
      <c r="A428" s="1"/>
      <c r="B428" s="1"/>
      <c r="C428" s="1"/>
      <c r="D428" s="1"/>
      <c r="E428" s="1"/>
      <c r="F428" s="1"/>
      <c r="G428" s="1"/>
      <c r="H428" s="1"/>
      <c r="I428" s="1"/>
      <c r="J428" s="1"/>
      <c r="K428" s="1"/>
      <c r="L428" s="1"/>
      <c r="M428" s="5"/>
      <c r="N428" s="5"/>
      <c r="O428" s="5"/>
      <c r="P428" s="5"/>
      <c r="Q428" s="1"/>
      <c r="R428" s="1"/>
      <c r="S428" s="1"/>
      <c r="T428" s="1"/>
      <c r="U428" s="1"/>
      <c r="V428" s="1"/>
      <c r="W428" s="1"/>
      <c r="X428" s="1"/>
      <c r="Y428" s="1"/>
      <c r="Z428" s="1"/>
      <c r="AA428" s="1"/>
      <c r="AB428" s="1"/>
      <c r="AC428" s="1"/>
    </row>
    <row r="429" spans="1:29" ht="14.25" customHeight="1" x14ac:dyDescent="0.2">
      <c r="A429" s="1"/>
      <c r="B429" s="1"/>
      <c r="C429" s="1"/>
      <c r="D429" s="1"/>
      <c r="E429" s="1"/>
      <c r="F429" s="1"/>
      <c r="G429" s="1"/>
      <c r="H429" s="1"/>
      <c r="I429" s="1"/>
      <c r="J429" s="1"/>
      <c r="K429" s="1"/>
      <c r="L429" s="1"/>
      <c r="M429" s="5"/>
      <c r="N429" s="5"/>
      <c r="O429" s="5"/>
      <c r="P429" s="5"/>
      <c r="Q429" s="1"/>
      <c r="R429" s="1"/>
      <c r="S429" s="1"/>
      <c r="T429" s="1"/>
      <c r="U429" s="1"/>
      <c r="V429" s="1"/>
      <c r="W429" s="1"/>
      <c r="X429" s="1"/>
      <c r="Y429" s="1"/>
      <c r="Z429" s="1"/>
      <c r="AA429" s="1"/>
      <c r="AB429" s="1"/>
      <c r="AC429" s="1"/>
    </row>
    <row r="430" spans="1:29" ht="14.25" customHeight="1" x14ac:dyDescent="0.2">
      <c r="A430" s="1"/>
      <c r="B430" s="1"/>
      <c r="C430" s="1"/>
      <c r="D430" s="1"/>
      <c r="E430" s="1"/>
      <c r="F430" s="1"/>
      <c r="G430" s="1"/>
      <c r="H430" s="1"/>
      <c r="I430" s="1"/>
      <c r="J430" s="1"/>
      <c r="K430" s="1"/>
      <c r="L430" s="1"/>
      <c r="M430" s="5"/>
      <c r="N430" s="5"/>
      <c r="O430" s="5"/>
      <c r="P430" s="5"/>
      <c r="Q430" s="1"/>
      <c r="R430" s="1"/>
      <c r="S430" s="1"/>
      <c r="T430" s="1"/>
      <c r="U430" s="1"/>
      <c r="V430" s="1"/>
      <c r="W430" s="1"/>
      <c r="X430" s="1"/>
      <c r="Y430" s="1"/>
      <c r="Z430" s="1"/>
      <c r="AA430" s="1"/>
      <c r="AB430" s="1"/>
      <c r="AC430" s="1"/>
    </row>
    <row r="431" spans="1:29" ht="14.25" customHeight="1" x14ac:dyDescent="0.2">
      <c r="A431" s="1"/>
      <c r="B431" s="1"/>
      <c r="C431" s="1"/>
      <c r="D431" s="1"/>
      <c r="E431" s="1"/>
      <c r="F431" s="1"/>
      <c r="G431" s="1"/>
      <c r="H431" s="1"/>
      <c r="I431" s="1"/>
      <c r="J431" s="1"/>
      <c r="K431" s="1"/>
      <c r="L431" s="1"/>
      <c r="M431" s="5"/>
      <c r="N431" s="5"/>
      <c r="O431" s="5"/>
      <c r="P431" s="5"/>
      <c r="Q431" s="1"/>
      <c r="R431" s="1"/>
      <c r="S431" s="1"/>
      <c r="T431" s="1"/>
      <c r="U431" s="1"/>
      <c r="V431" s="1"/>
      <c r="W431" s="1"/>
      <c r="X431" s="1"/>
      <c r="Y431" s="1"/>
      <c r="Z431" s="1"/>
      <c r="AA431" s="1"/>
      <c r="AB431" s="1"/>
      <c r="AC431" s="1"/>
    </row>
    <row r="432" spans="1:29" ht="14.25" customHeight="1" x14ac:dyDescent="0.2">
      <c r="A432" s="1"/>
      <c r="B432" s="1"/>
      <c r="C432" s="1"/>
      <c r="D432" s="1"/>
      <c r="E432" s="1"/>
      <c r="F432" s="1"/>
      <c r="G432" s="1"/>
      <c r="H432" s="1"/>
      <c r="I432" s="1"/>
      <c r="J432" s="1"/>
      <c r="K432" s="1"/>
      <c r="L432" s="1"/>
      <c r="M432" s="5"/>
      <c r="N432" s="5"/>
      <c r="O432" s="5"/>
      <c r="P432" s="5"/>
      <c r="Q432" s="1"/>
      <c r="R432" s="1"/>
      <c r="S432" s="1"/>
      <c r="T432" s="1"/>
      <c r="U432" s="1"/>
      <c r="V432" s="1"/>
      <c r="W432" s="1"/>
      <c r="X432" s="1"/>
      <c r="Y432" s="1"/>
      <c r="Z432" s="1"/>
      <c r="AA432" s="1"/>
      <c r="AB432" s="1"/>
      <c r="AC432" s="1"/>
    </row>
    <row r="433" spans="1:29" ht="14.25" customHeight="1" x14ac:dyDescent="0.2">
      <c r="A433" s="1"/>
      <c r="B433" s="1"/>
      <c r="C433" s="1"/>
      <c r="D433" s="1"/>
      <c r="E433" s="1"/>
      <c r="F433" s="1"/>
      <c r="G433" s="1"/>
      <c r="H433" s="1"/>
      <c r="I433" s="1"/>
      <c r="J433" s="1"/>
      <c r="K433" s="1"/>
      <c r="L433" s="1"/>
      <c r="M433" s="5"/>
      <c r="N433" s="5"/>
      <c r="O433" s="5"/>
      <c r="P433" s="5"/>
      <c r="Q433" s="1"/>
      <c r="R433" s="1"/>
      <c r="S433" s="1"/>
      <c r="T433" s="1"/>
      <c r="U433" s="1"/>
      <c r="V433" s="1"/>
      <c r="W433" s="1"/>
      <c r="X433" s="1"/>
      <c r="Y433" s="1"/>
      <c r="Z433" s="1"/>
      <c r="AA433" s="1"/>
      <c r="AB433" s="1"/>
      <c r="AC433" s="1"/>
    </row>
    <row r="434" spans="1:29" ht="14.25" customHeight="1" x14ac:dyDescent="0.2">
      <c r="A434" s="1"/>
      <c r="B434" s="1"/>
      <c r="C434" s="1"/>
      <c r="D434" s="1"/>
      <c r="E434" s="1"/>
      <c r="F434" s="1"/>
      <c r="G434" s="1"/>
      <c r="H434" s="1"/>
      <c r="I434" s="1"/>
      <c r="J434" s="1"/>
      <c r="K434" s="1"/>
      <c r="L434" s="1"/>
      <c r="M434" s="5"/>
      <c r="N434" s="5"/>
      <c r="O434" s="5"/>
      <c r="P434" s="5"/>
      <c r="Q434" s="1"/>
      <c r="R434" s="1"/>
      <c r="S434" s="1"/>
      <c r="T434" s="1"/>
      <c r="U434" s="1"/>
      <c r="V434" s="1"/>
      <c r="W434" s="1"/>
      <c r="X434" s="1"/>
      <c r="Y434" s="1"/>
      <c r="Z434" s="1"/>
      <c r="AA434" s="1"/>
      <c r="AB434" s="1"/>
      <c r="AC434" s="1"/>
    </row>
    <row r="435" spans="1:29" ht="14.25" customHeight="1" x14ac:dyDescent="0.2">
      <c r="A435" s="1"/>
      <c r="B435" s="1"/>
      <c r="C435" s="1"/>
      <c r="D435" s="1"/>
      <c r="E435" s="1"/>
      <c r="F435" s="1"/>
      <c r="G435" s="1"/>
      <c r="H435" s="1"/>
      <c r="I435" s="1"/>
      <c r="J435" s="1"/>
      <c r="K435" s="1"/>
      <c r="L435" s="1"/>
      <c r="M435" s="5"/>
      <c r="N435" s="5"/>
      <c r="O435" s="5"/>
      <c r="P435" s="5"/>
      <c r="Q435" s="1"/>
      <c r="R435" s="1"/>
      <c r="S435" s="1"/>
      <c r="T435" s="1"/>
      <c r="U435" s="1"/>
      <c r="V435" s="1"/>
      <c r="W435" s="1"/>
      <c r="X435" s="1"/>
      <c r="Y435" s="1"/>
      <c r="Z435" s="1"/>
      <c r="AA435" s="1"/>
      <c r="AB435" s="1"/>
      <c r="AC435" s="1"/>
    </row>
    <row r="436" spans="1:29" ht="14.25" customHeight="1" x14ac:dyDescent="0.2">
      <c r="A436" s="1"/>
      <c r="B436" s="1"/>
      <c r="C436" s="1"/>
      <c r="D436" s="1"/>
      <c r="E436" s="1"/>
      <c r="F436" s="1"/>
      <c r="G436" s="1"/>
      <c r="H436" s="1"/>
      <c r="I436" s="1"/>
      <c r="J436" s="1"/>
      <c r="K436" s="1"/>
      <c r="L436" s="1"/>
      <c r="M436" s="5"/>
      <c r="N436" s="5"/>
      <c r="O436" s="5"/>
      <c r="P436" s="5"/>
      <c r="Q436" s="1"/>
      <c r="R436" s="1"/>
      <c r="S436" s="1"/>
      <c r="T436" s="1"/>
      <c r="U436" s="1"/>
      <c r="V436" s="1"/>
      <c r="W436" s="1"/>
      <c r="X436" s="1"/>
      <c r="Y436" s="1"/>
      <c r="Z436" s="1"/>
      <c r="AA436" s="1"/>
      <c r="AB436" s="1"/>
      <c r="AC436" s="1"/>
    </row>
    <row r="437" spans="1:29" ht="14.25" customHeight="1" x14ac:dyDescent="0.2">
      <c r="A437" s="1"/>
      <c r="B437" s="1"/>
      <c r="C437" s="1"/>
      <c r="D437" s="1"/>
      <c r="E437" s="1"/>
      <c r="F437" s="1"/>
      <c r="G437" s="1"/>
      <c r="H437" s="1"/>
      <c r="I437" s="1"/>
      <c r="J437" s="1"/>
      <c r="K437" s="1"/>
      <c r="L437" s="1"/>
      <c r="M437" s="5"/>
      <c r="N437" s="5"/>
      <c r="O437" s="5"/>
      <c r="P437" s="5"/>
      <c r="Q437" s="1"/>
      <c r="R437" s="1"/>
      <c r="S437" s="1"/>
      <c r="T437" s="1"/>
      <c r="U437" s="1"/>
      <c r="V437" s="1"/>
      <c r="W437" s="1"/>
      <c r="X437" s="1"/>
      <c r="Y437" s="1"/>
      <c r="Z437" s="1"/>
      <c r="AA437" s="1"/>
      <c r="AB437" s="1"/>
      <c r="AC437" s="1"/>
    </row>
    <row r="438" spans="1:29" ht="14.25" customHeight="1" x14ac:dyDescent="0.2">
      <c r="A438" s="1"/>
      <c r="B438" s="1"/>
      <c r="C438" s="1"/>
      <c r="D438" s="1"/>
      <c r="E438" s="1"/>
      <c r="F438" s="1"/>
      <c r="G438" s="1"/>
      <c r="H438" s="1"/>
      <c r="I438" s="1"/>
      <c r="J438" s="1"/>
      <c r="K438" s="1"/>
      <c r="L438" s="1"/>
      <c r="M438" s="5"/>
      <c r="N438" s="5"/>
      <c r="O438" s="5"/>
      <c r="P438" s="5"/>
      <c r="Q438" s="1"/>
      <c r="R438" s="1"/>
      <c r="S438" s="1"/>
      <c r="T438" s="1"/>
      <c r="U438" s="1"/>
      <c r="V438" s="1"/>
      <c r="W438" s="1"/>
      <c r="X438" s="1"/>
      <c r="Y438" s="1"/>
      <c r="Z438" s="1"/>
      <c r="AA438" s="1"/>
      <c r="AB438" s="1"/>
      <c r="AC438" s="1"/>
    </row>
    <row r="439" spans="1:29" ht="14.25" customHeight="1" x14ac:dyDescent="0.2">
      <c r="A439" s="1"/>
      <c r="B439" s="1"/>
      <c r="C439" s="1"/>
      <c r="D439" s="1"/>
      <c r="E439" s="1"/>
      <c r="F439" s="1"/>
      <c r="G439" s="1"/>
      <c r="H439" s="1"/>
      <c r="I439" s="1"/>
      <c r="J439" s="1"/>
      <c r="K439" s="1"/>
      <c r="L439" s="1"/>
      <c r="M439" s="5"/>
      <c r="N439" s="5"/>
      <c r="O439" s="5"/>
      <c r="P439" s="5"/>
      <c r="Q439" s="1"/>
      <c r="R439" s="1"/>
      <c r="S439" s="1"/>
      <c r="T439" s="1"/>
      <c r="U439" s="1"/>
      <c r="V439" s="1"/>
      <c r="W439" s="1"/>
      <c r="X439" s="1"/>
      <c r="Y439" s="1"/>
      <c r="Z439" s="1"/>
      <c r="AA439" s="1"/>
      <c r="AB439" s="1"/>
      <c r="AC439" s="1"/>
    </row>
    <row r="440" spans="1:29" ht="14.25" customHeight="1" x14ac:dyDescent="0.2">
      <c r="A440" s="1"/>
      <c r="B440" s="1"/>
      <c r="C440" s="1"/>
      <c r="D440" s="1"/>
      <c r="E440" s="1"/>
      <c r="F440" s="1"/>
      <c r="G440" s="1"/>
      <c r="H440" s="1"/>
      <c r="I440" s="1"/>
      <c r="J440" s="1"/>
      <c r="K440" s="1"/>
      <c r="L440" s="1"/>
      <c r="M440" s="5"/>
      <c r="N440" s="5"/>
      <c r="O440" s="5"/>
      <c r="P440" s="5"/>
      <c r="Q440" s="1"/>
      <c r="R440" s="1"/>
      <c r="S440" s="1"/>
      <c r="T440" s="1"/>
      <c r="U440" s="1"/>
      <c r="V440" s="1"/>
      <c r="W440" s="1"/>
      <c r="X440" s="1"/>
      <c r="Y440" s="1"/>
      <c r="Z440" s="1"/>
      <c r="AA440" s="1"/>
      <c r="AB440" s="1"/>
      <c r="AC440" s="1"/>
    </row>
    <row r="441" spans="1:29" ht="14.25" customHeight="1" x14ac:dyDescent="0.2">
      <c r="A441" s="1"/>
      <c r="B441" s="1"/>
      <c r="C441" s="1"/>
      <c r="D441" s="1"/>
      <c r="E441" s="1"/>
      <c r="F441" s="1"/>
      <c r="G441" s="1"/>
      <c r="H441" s="1"/>
      <c r="I441" s="1"/>
      <c r="J441" s="1"/>
      <c r="K441" s="1"/>
      <c r="L441" s="1"/>
      <c r="M441" s="5"/>
      <c r="N441" s="5"/>
      <c r="O441" s="5"/>
      <c r="P441" s="5"/>
      <c r="Q441" s="1"/>
      <c r="R441" s="1"/>
      <c r="S441" s="1"/>
      <c r="T441" s="1"/>
      <c r="U441" s="1"/>
      <c r="V441" s="1"/>
      <c r="W441" s="1"/>
      <c r="X441" s="1"/>
      <c r="Y441" s="1"/>
      <c r="Z441" s="1"/>
      <c r="AA441" s="1"/>
      <c r="AB441" s="1"/>
      <c r="AC441" s="1"/>
    </row>
    <row r="442" spans="1:29" ht="14.25" customHeight="1" x14ac:dyDescent="0.2">
      <c r="A442" s="1"/>
      <c r="B442" s="1"/>
      <c r="C442" s="1"/>
      <c r="D442" s="1"/>
      <c r="E442" s="1"/>
      <c r="F442" s="1"/>
      <c r="G442" s="1"/>
      <c r="H442" s="1"/>
      <c r="I442" s="1"/>
      <c r="J442" s="1"/>
      <c r="K442" s="1"/>
      <c r="L442" s="1"/>
      <c r="M442" s="5"/>
      <c r="N442" s="5"/>
      <c r="O442" s="5"/>
      <c r="P442" s="5"/>
      <c r="Q442" s="1"/>
      <c r="R442" s="1"/>
      <c r="S442" s="1"/>
      <c r="T442" s="1"/>
      <c r="U442" s="1"/>
      <c r="V442" s="1"/>
      <c r="W442" s="1"/>
      <c r="X442" s="1"/>
      <c r="Y442" s="1"/>
      <c r="Z442" s="1"/>
      <c r="AA442" s="1"/>
      <c r="AB442" s="1"/>
      <c r="AC442" s="1"/>
    </row>
    <row r="443" spans="1:29" ht="14.25" customHeight="1" x14ac:dyDescent="0.2">
      <c r="A443" s="1"/>
      <c r="B443" s="1"/>
      <c r="C443" s="1"/>
      <c r="D443" s="1"/>
      <c r="E443" s="1"/>
      <c r="F443" s="1"/>
      <c r="G443" s="1"/>
      <c r="H443" s="1"/>
      <c r="I443" s="1"/>
      <c r="J443" s="1"/>
      <c r="K443" s="1"/>
      <c r="L443" s="1"/>
      <c r="M443" s="5"/>
      <c r="N443" s="5"/>
      <c r="O443" s="5"/>
      <c r="P443" s="5"/>
      <c r="Q443" s="1"/>
      <c r="R443" s="1"/>
      <c r="S443" s="1"/>
      <c r="T443" s="1"/>
      <c r="U443" s="1"/>
      <c r="V443" s="1"/>
      <c r="W443" s="1"/>
      <c r="X443" s="1"/>
      <c r="Y443" s="1"/>
      <c r="Z443" s="1"/>
      <c r="AA443" s="1"/>
      <c r="AB443" s="1"/>
      <c r="AC443" s="1"/>
    </row>
    <row r="444" spans="1:29" ht="14.25" customHeight="1" x14ac:dyDescent="0.2">
      <c r="A444" s="1"/>
      <c r="B444" s="1"/>
      <c r="C444" s="1"/>
      <c r="D444" s="1"/>
      <c r="E444" s="1"/>
      <c r="F444" s="1"/>
      <c r="G444" s="1"/>
      <c r="H444" s="1"/>
      <c r="I444" s="1"/>
      <c r="J444" s="1"/>
      <c r="K444" s="1"/>
      <c r="L444" s="1"/>
      <c r="M444" s="5"/>
      <c r="N444" s="5"/>
      <c r="O444" s="5"/>
      <c r="P444" s="5"/>
      <c r="Q444" s="1"/>
      <c r="R444" s="1"/>
      <c r="S444" s="1"/>
      <c r="T444" s="1"/>
      <c r="U444" s="1"/>
      <c r="V444" s="1"/>
      <c r="W444" s="1"/>
      <c r="X444" s="1"/>
      <c r="Y444" s="1"/>
      <c r="Z444" s="1"/>
      <c r="AA444" s="1"/>
      <c r="AB444" s="1"/>
      <c r="AC444" s="1"/>
    </row>
    <row r="445" spans="1:29" ht="14.25" customHeight="1" x14ac:dyDescent="0.2">
      <c r="A445" s="1"/>
      <c r="B445" s="1"/>
      <c r="C445" s="1"/>
      <c r="D445" s="1"/>
      <c r="E445" s="1"/>
      <c r="F445" s="1"/>
      <c r="G445" s="1"/>
      <c r="H445" s="1"/>
      <c r="I445" s="1"/>
      <c r="J445" s="1"/>
      <c r="K445" s="1"/>
      <c r="L445" s="1"/>
      <c r="M445" s="5"/>
      <c r="N445" s="5"/>
      <c r="O445" s="5"/>
      <c r="P445" s="5"/>
      <c r="Q445" s="1"/>
      <c r="R445" s="1"/>
      <c r="S445" s="1"/>
      <c r="T445" s="1"/>
      <c r="U445" s="1"/>
      <c r="V445" s="1"/>
      <c r="W445" s="1"/>
      <c r="X445" s="1"/>
      <c r="Y445" s="1"/>
      <c r="Z445" s="1"/>
      <c r="AA445" s="1"/>
      <c r="AB445" s="1"/>
      <c r="AC445" s="1"/>
    </row>
    <row r="446" spans="1:29" ht="14.25" customHeight="1" x14ac:dyDescent="0.2">
      <c r="A446" s="1"/>
      <c r="B446" s="1"/>
      <c r="C446" s="1"/>
      <c r="D446" s="1"/>
      <c r="E446" s="1"/>
      <c r="F446" s="1"/>
      <c r="G446" s="1"/>
      <c r="H446" s="1"/>
      <c r="I446" s="1"/>
      <c r="J446" s="1"/>
      <c r="K446" s="1"/>
      <c r="L446" s="1"/>
      <c r="M446" s="5"/>
      <c r="N446" s="5"/>
      <c r="O446" s="5"/>
      <c r="P446" s="5"/>
      <c r="Q446" s="1"/>
      <c r="R446" s="1"/>
      <c r="S446" s="1"/>
      <c r="T446" s="1"/>
      <c r="U446" s="1"/>
      <c r="V446" s="1"/>
      <c r="W446" s="1"/>
      <c r="X446" s="1"/>
      <c r="Y446" s="1"/>
      <c r="Z446" s="1"/>
      <c r="AA446" s="1"/>
      <c r="AB446" s="1"/>
      <c r="AC446" s="1"/>
    </row>
    <row r="447" spans="1:29" ht="14.25" customHeight="1" x14ac:dyDescent="0.2">
      <c r="A447" s="1"/>
      <c r="B447" s="1"/>
      <c r="C447" s="1"/>
      <c r="D447" s="1"/>
      <c r="E447" s="1"/>
      <c r="F447" s="1"/>
      <c r="G447" s="1"/>
      <c r="H447" s="1"/>
      <c r="I447" s="1"/>
      <c r="J447" s="1"/>
      <c r="K447" s="1"/>
      <c r="L447" s="1"/>
      <c r="M447" s="5"/>
      <c r="N447" s="5"/>
      <c r="O447" s="5"/>
      <c r="P447" s="5"/>
      <c r="Q447" s="1"/>
      <c r="R447" s="1"/>
      <c r="S447" s="1"/>
      <c r="T447" s="1"/>
      <c r="U447" s="1"/>
      <c r="V447" s="1"/>
      <c r="W447" s="1"/>
      <c r="X447" s="1"/>
      <c r="Y447" s="1"/>
      <c r="Z447" s="1"/>
      <c r="AA447" s="1"/>
      <c r="AB447" s="1"/>
      <c r="AC447" s="1"/>
    </row>
    <row r="448" spans="1:29" ht="14.25" customHeight="1" x14ac:dyDescent="0.2">
      <c r="A448" s="1"/>
      <c r="B448" s="1"/>
      <c r="C448" s="1"/>
      <c r="D448" s="1"/>
      <c r="E448" s="1"/>
      <c r="F448" s="1"/>
      <c r="G448" s="1"/>
      <c r="H448" s="1"/>
      <c r="I448" s="1"/>
      <c r="J448" s="1"/>
      <c r="K448" s="1"/>
      <c r="L448" s="1"/>
      <c r="M448" s="5"/>
      <c r="N448" s="5"/>
      <c r="O448" s="5"/>
      <c r="P448" s="5"/>
      <c r="Q448" s="1"/>
      <c r="R448" s="1"/>
      <c r="S448" s="1"/>
      <c r="T448" s="1"/>
      <c r="U448" s="1"/>
      <c r="V448" s="1"/>
      <c r="W448" s="1"/>
      <c r="X448" s="1"/>
      <c r="Y448" s="1"/>
      <c r="Z448" s="1"/>
      <c r="AA448" s="1"/>
      <c r="AB448" s="1"/>
      <c r="AC448" s="1"/>
    </row>
    <row r="449" spans="1:29" ht="14.25" customHeight="1" x14ac:dyDescent="0.2">
      <c r="A449" s="1"/>
      <c r="B449" s="1"/>
      <c r="C449" s="1"/>
      <c r="D449" s="1"/>
      <c r="E449" s="1"/>
      <c r="F449" s="1"/>
      <c r="G449" s="1"/>
      <c r="H449" s="1"/>
      <c r="I449" s="1"/>
      <c r="J449" s="1"/>
      <c r="K449" s="1"/>
      <c r="L449" s="1"/>
      <c r="M449" s="5"/>
      <c r="N449" s="5"/>
      <c r="O449" s="5"/>
      <c r="P449" s="5"/>
      <c r="Q449" s="1"/>
      <c r="R449" s="1"/>
      <c r="S449" s="1"/>
      <c r="T449" s="1"/>
      <c r="U449" s="1"/>
      <c r="V449" s="1"/>
      <c r="W449" s="1"/>
      <c r="X449" s="1"/>
      <c r="Y449" s="1"/>
      <c r="Z449" s="1"/>
      <c r="AA449" s="1"/>
      <c r="AB449" s="1"/>
      <c r="AC449" s="1"/>
    </row>
    <row r="450" spans="1:29" ht="14.25" customHeight="1" x14ac:dyDescent="0.2">
      <c r="A450" s="1"/>
      <c r="B450" s="1"/>
      <c r="C450" s="1"/>
      <c r="D450" s="1"/>
      <c r="E450" s="1"/>
      <c r="F450" s="1"/>
      <c r="G450" s="1"/>
      <c r="H450" s="1"/>
      <c r="I450" s="1"/>
      <c r="J450" s="1"/>
      <c r="K450" s="1"/>
      <c r="L450" s="1"/>
      <c r="M450" s="5"/>
      <c r="N450" s="5"/>
      <c r="O450" s="5"/>
      <c r="P450" s="5"/>
      <c r="Q450" s="1"/>
      <c r="R450" s="1"/>
      <c r="S450" s="1"/>
      <c r="T450" s="1"/>
      <c r="U450" s="1"/>
      <c r="V450" s="1"/>
      <c r="W450" s="1"/>
      <c r="X450" s="1"/>
      <c r="Y450" s="1"/>
      <c r="Z450" s="1"/>
      <c r="AA450" s="1"/>
      <c r="AB450" s="1"/>
      <c r="AC450" s="1"/>
    </row>
    <row r="451" spans="1:29" ht="14.25" customHeight="1" x14ac:dyDescent="0.2">
      <c r="A451" s="1"/>
      <c r="B451" s="1"/>
      <c r="C451" s="1"/>
      <c r="D451" s="1"/>
      <c r="E451" s="1"/>
      <c r="F451" s="1"/>
      <c r="G451" s="1"/>
      <c r="H451" s="1"/>
      <c r="I451" s="1"/>
      <c r="J451" s="1"/>
      <c r="K451" s="1"/>
      <c r="L451" s="1"/>
      <c r="M451" s="5"/>
      <c r="N451" s="5"/>
      <c r="O451" s="5"/>
      <c r="P451" s="5"/>
      <c r="Q451" s="1"/>
      <c r="R451" s="1"/>
      <c r="S451" s="1"/>
      <c r="T451" s="1"/>
      <c r="U451" s="1"/>
      <c r="V451" s="1"/>
      <c r="W451" s="1"/>
      <c r="X451" s="1"/>
      <c r="Y451" s="1"/>
      <c r="Z451" s="1"/>
      <c r="AA451" s="1"/>
      <c r="AB451" s="1"/>
      <c r="AC451" s="1"/>
    </row>
    <row r="452" spans="1:29" ht="14.25" customHeight="1" x14ac:dyDescent="0.2">
      <c r="A452" s="1"/>
      <c r="B452" s="1"/>
      <c r="C452" s="1"/>
      <c r="D452" s="1"/>
      <c r="E452" s="1"/>
      <c r="F452" s="1"/>
      <c r="G452" s="1"/>
      <c r="H452" s="1"/>
      <c r="I452" s="1"/>
      <c r="J452" s="1"/>
      <c r="K452" s="1"/>
      <c r="L452" s="1"/>
      <c r="M452" s="5"/>
      <c r="N452" s="5"/>
      <c r="O452" s="5"/>
      <c r="P452" s="5"/>
      <c r="Q452" s="1"/>
      <c r="R452" s="1"/>
      <c r="S452" s="1"/>
      <c r="T452" s="1"/>
      <c r="U452" s="1"/>
      <c r="V452" s="1"/>
      <c r="W452" s="1"/>
      <c r="X452" s="1"/>
      <c r="Y452" s="1"/>
      <c r="Z452" s="1"/>
      <c r="AA452" s="1"/>
      <c r="AB452" s="1"/>
      <c r="AC452" s="1"/>
    </row>
    <row r="453" spans="1:29" ht="14.25" customHeight="1" x14ac:dyDescent="0.2">
      <c r="A453" s="1"/>
      <c r="B453" s="1"/>
      <c r="C453" s="1"/>
      <c r="D453" s="1"/>
      <c r="E453" s="1"/>
      <c r="F453" s="1"/>
      <c r="G453" s="1"/>
      <c r="H453" s="1"/>
      <c r="I453" s="1"/>
      <c r="J453" s="1"/>
      <c r="K453" s="1"/>
      <c r="L453" s="1"/>
      <c r="M453" s="5"/>
      <c r="N453" s="5"/>
      <c r="O453" s="5"/>
      <c r="P453" s="5"/>
      <c r="Q453" s="1"/>
      <c r="R453" s="1"/>
      <c r="S453" s="1"/>
      <c r="T453" s="1"/>
      <c r="U453" s="1"/>
      <c r="V453" s="1"/>
      <c r="W453" s="1"/>
      <c r="X453" s="1"/>
      <c r="Y453" s="1"/>
      <c r="Z453" s="1"/>
      <c r="AA453" s="1"/>
      <c r="AB453" s="1"/>
      <c r="AC453" s="1"/>
    </row>
    <row r="454" spans="1:29" ht="14.25" customHeight="1" x14ac:dyDescent="0.2">
      <c r="A454" s="1"/>
      <c r="B454" s="1"/>
      <c r="C454" s="1"/>
      <c r="D454" s="1"/>
      <c r="E454" s="1"/>
      <c r="F454" s="1"/>
      <c r="G454" s="1"/>
      <c r="H454" s="1"/>
      <c r="I454" s="1"/>
      <c r="J454" s="1"/>
      <c r="K454" s="1"/>
      <c r="L454" s="1"/>
      <c r="M454" s="5"/>
      <c r="N454" s="5"/>
      <c r="O454" s="5"/>
      <c r="P454" s="5"/>
      <c r="Q454" s="1"/>
      <c r="R454" s="1"/>
      <c r="S454" s="1"/>
      <c r="T454" s="1"/>
      <c r="U454" s="1"/>
      <c r="V454" s="1"/>
      <c r="W454" s="1"/>
      <c r="X454" s="1"/>
      <c r="Y454" s="1"/>
      <c r="Z454" s="1"/>
      <c r="AA454" s="1"/>
      <c r="AB454" s="1"/>
      <c r="AC454" s="1"/>
    </row>
    <row r="455" spans="1:29" ht="14.25" customHeight="1" x14ac:dyDescent="0.2">
      <c r="A455" s="1"/>
      <c r="B455" s="1"/>
      <c r="C455" s="1"/>
      <c r="D455" s="1"/>
      <c r="E455" s="1"/>
      <c r="F455" s="1"/>
      <c r="G455" s="1"/>
      <c r="H455" s="1"/>
      <c r="I455" s="1"/>
      <c r="J455" s="1"/>
      <c r="K455" s="1"/>
      <c r="L455" s="1"/>
      <c r="M455" s="5"/>
      <c r="N455" s="5"/>
      <c r="O455" s="5"/>
      <c r="P455" s="5"/>
      <c r="Q455" s="1"/>
      <c r="R455" s="1"/>
      <c r="S455" s="1"/>
      <c r="T455" s="1"/>
      <c r="U455" s="1"/>
      <c r="V455" s="1"/>
      <c r="W455" s="1"/>
      <c r="X455" s="1"/>
      <c r="Y455" s="1"/>
      <c r="Z455" s="1"/>
      <c r="AA455" s="1"/>
      <c r="AB455" s="1"/>
      <c r="AC455" s="1"/>
    </row>
    <row r="456" spans="1:29" ht="14.25" customHeight="1" x14ac:dyDescent="0.2">
      <c r="A456" s="1"/>
      <c r="B456" s="1"/>
      <c r="C456" s="1"/>
      <c r="D456" s="1"/>
      <c r="E456" s="1"/>
      <c r="F456" s="1"/>
      <c r="G456" s="1"/>
      <c r="H456" s="1"/>
      <c r="I456" s="1"/>
      <c r="J456" s="1"/>
      <c r="K456" s="1"/>
      <c r="L456" s="1"/>
      <c r="M456" s="5"/>
      <c r="N456" s="5"/>
      <c r="O456" s="5"/>
      <c r="P456" s="5"/>
      <c r="Q456" s="1"/>
      <c r="R456" s="1"/>
      <c r="S456" s="1"/>
      <c r="T456" s="1"/>
      <c r="U456" s="1"/>
      <c r="V456" s="1"/>
      <c r="W456" s="1"/>
      <c r="X456" s="1"/>
      <c r="Y456" s="1"/>
      <c r="Z456" s="1"/>
      <c r="AA456" s="1"/>
      <c r="AB456" s="1"/>
      <c r="AC456" s="1"/>
    </row>
    <row r="457" spans="1:29" ht="14.25" customHeight="1" x14ac:dyDescent="0.2">
      <c r="A457" s="1"/>
      <c r="B457" s="1"/>
      <c r="C457" s="1"/>
      <c r="D457" s="1"/>
      <c r="E457" s="1"/>
      <c r="F457" s="1"/>
      <c r="G457" s="1"/>
      <c r="H457" s="1"/>
      <c r="I457" s="1"/>
      <c r="J457" s="1"/>
      <c r="K457" s="1"/>
      <c r="L457" s="1"/>
      <c r="M457" s="5"/>
      <c r="N457" s="5"/>
      <c r="O457" s="5"/>
      <c r="P457" s="5"/>
      <c r="Q457" s="1"/>
      <c r="R457" s="1"/>
      <c r="S457" s="1"/>
      <c r="T457" s="1"/>
      <c r="U457" s="1"/>
      <c r="V457" s="1"/>
      <c r="W457" s="1"/>
      <c r="X457" s="1"/>
      <c r="Y457" s="1"/>
      <c r="Z457" s="1"/>
      <c r="AA457" s="1"/>
      <c r="AB457" s="1"/>
      <c r="AC457" s="1"/>
    </row>
    <row r="458" spans="1:29" ht="14.25" customHeight="1" x14ac:dyDescent="0.2">
      <c r="A458" s="1"/>
      <c r="B458" s="1"/>
      <c r="C458" s="1"/>
      <c r="D458" s="1"/>
      <c r="E458" s="1"/>
      <c r="F458" s="1"/>
      <c r="G458" s="1"/>
      <c r="H458" s="1"/>
      <c r="I458" s="1"/>
      <c r="J458" s="1"/>
      <c r="K458" s="1"/>
      <c r="L458" s="1"/>
      <c r="M458" s="5"/>
      <c r="N458" s="5"/>
      <c r="O458" s="5"/>
      <c r="P458" s="5"/>
      <c r="Q458" s="1"/>
      <c r="R458" s="1"/>
      <c r="S458" s="1"/>
      <c r="T458" s="1"/>
      <c r="U458" s="1"/>
      <c r="V458" s="1"/>
      <c r="W458" s="1"/>
      <c r="X458" s="1"/>
      <c r="Y458" s="1"/>
      <c r="Z458" s="1"/>
      <c r="AA458" s="1"/>
      <c r="AB458" s="1"/>
      <c r="AC458" s="1"/>
    </row>
    <row r="459" spans="1:29" ht="14.25" customHeight="1" x14ac:dyDescent="0.2">
      <c r="A459" s="1"/>
      <c r="B459" s="1"/>
      <c r="C459" s="1"/>
      <c r="D459" s="1"/>
      <c r="E459" s="1"/>
      <c r="F459" s="1"/>
      <c r="G459" s="1"/>
      <c r="H459" s="1"/>
      <c r="I459" s="1"/>
      <c r="J459" s="1"/>
      <c r="K459" s="1"/>
      <c r="L459" s="1"/>
      <c r="M459" s="5"/>
      <c r="N459" s="5"/>
      <c r="O459" s="5"/>
      <c r="P459" s="5"/>
      <c r="Q459" s="1"/>
      <c r="R459" s="1"/>
      <c r="S459" s="1"/>
      <c r="T459" s="1"/>
      <c r="U459" s="1"/>
      <c r="V459" s="1"/>
      <c r="W459" s="1"/>
      <c r="X459" s="1"/>
      <c r="Y459" s="1"/>
      <c r="Z459" s="1"/>
      <c r="AA459" s="1"/>
      <c r="AB459" s="1"/>
      <c r="AC459" s="1"/>
    </row>
    <row r="460" spans="1:29" ht="14.25" customHeight="1" x14ac:dyDescent="0.2">
      <c r="A460" s="1"/>
      <c r="B460" s="1"/>
      <c r="C460" s="1"/>
      <c r="D460" s="1"/>
      <c r="E460" s="1"/>
      <c r="F460" s="1"/>
      <c r="G460" s="1"/>
      <c r="H460" s="1"/>
      <c r="I460" s="1"/>
      <c r="J460" s="1"/>
      <c r="K460" s="1"/>
      <c r="L460" s="1"/>
      <c r="M460" s="5"/>
      <c r="N460" s="5"/>
      <c r="O460" s="5"/>
      <c r="P460" s="5"/>
      <c r="Q460" s="1"/>
      <c r="R460" s="1"/>
      <c r="S460" s="1"/>
      <c r="T460" s="1"/>
      <c r="U460" s="1"/>
      <c r="V460" s="1"/>
      <c r="W460" s="1"/>
      <c r="X460" s="1"/>
      <c r="Y460" s="1"/>
      <c r="Z460" s="1"/>
      <c r="AA460" s="1"/>
      <c r="AB460" s="1"/>
      <c r="AC460" s="1"/>
    </row>
    <row r="461" spans="1:29" ht="14.25" customHeight="1" x14ac:dyDescent="0.2">
      <c r="A461" s="1"/>
      <c r="B461" s="1"/>
      <c r="C461" s="1"/>
      <c r="D461" s="1"/>
      <c r="E461" s="1"/>
      <c r="F461" s="1"/>
      <c r="G461" s="1"/>
      <c r="H461" s="1"/>
      <c r="I461" s="1"/>
      <c r="J461" s="1"/>
      <c r="K461" s="1"/>
      <c r="L461" s="1"/>
      <c r="M461" s="5"/>
      <c r="N461" s="5"/>
      <c r="O461" s="5"/>
      <c r="P461" s="5"/>
      <c r="Q461" s="1"/>
      <c r="R461" s="1"/>
      <c r="S461" s="1"/>
      <c r="T461" s="1"/>
      <c r="U461" s="1"/>
      <c r="V461" s="1"/>
      <c r="W461" s="1"/>
      <c r="X461" s="1"/>
      <c r="Y461" s="1"/>
      <c r="Z461" s="1"/>
      <c r="AA461" s="1"/>
      <c r="AB461" s="1"/>
      <c r="AC461" s="1"/>
    </row>
    <row r="462" spans="1:29" ht="14.25" customHeight="1" x14ac:dyDescent="0.2">
      <c r="A462" s="1"/>
      <c r="B462" s="1"/>
      <c r="C462" s="1"/>
      <c r="D462" s="1"/>
      <c r="E462" s="1"/>
      <c r="F462" s="1"/>
      <c r="G462" s="1"/>
      <c r="H462" s="1"/>
      <c r="I462" s="1"/>
      <c r="J462" s="1"/>
      <c r="K462" s="1"/>
      <c r="L462" s="1"/>
      <c r="M462" s="5"/>
      <c r="N462" s="5"/>
      <c r="O462" s="5"/>
      <c r="P462" s="5"/>
      <c r="Q462" s="1"/>
      <c r="R462" s="1"/>
      <c r="S462" s="1"/>
      <c r="T462" s="1"/>
      <c r="U462" s="1"/>
      <c r="V462" s="1"/>
      <c r="W462" s="1"/>
      <c r="X462" s="1"/>
      <c r="Y462" s="1"/>
      <c r="Z462" s="1"/>
      <c r="AA462" s="1"/>
      <c r="AB462" s="1"/>
      <c r="AC462" s="1"/>
    </row>
    <row r="463" spans="1:29" ht="14.25" customHeight="1" x14ac:dyDescent="0.2">
      <c r="A463" s="1"/>
      <c r="B463" s="1"/>
      <c r="C463" s="1"/>
      <c r="D463" s="1"/>
      <c r="E463" s="1"/>
      <c r="F463" s="1"/>
      <c r="G463" s="1"/>
      <c r="H463" s="1"/>
      <c r="I463" s="1"/>
      <c r="J463" s="1"/>
      <c r="K463" s="1"/>
      <c r="L463" s="1"/>
      <c r="M463" s="5"/>
      <c r="N463" s="5"/>
      <c r="O463" s="5"/>
      <c r="P463" s="5"/>
      <c r="Q463" s="1"/>
      <c r="R463" s="1"/>
      <c r="S463" s="1"/>
      <c r="T463" s="1"/>
      <c r="U463" s="1"/>
      <c r="V463" s="1"/>
      <c r="W463" s="1"/>
      <c r="X463" s="1"/>
      <c r="Y463" s="1"/>
      <c r="Z463" s="1"/>
      <c r="AA463" s="1"/>
      <c r="AB463" s="1"/>
      <c r="AC463" s="1"/>
    </row>
    <row r="464" spans="1:29" ht="14.25" customHeight="1" x14ac:dyDescent="0.2">
      <c r="A464" s="1"/>
      <c r="B464" s="1"/>
      <c r="C464" s="1"/>
      <c r="D464" s="1"/>
      <c r="E464" s="1"/>
      <c r="F464" s="1"/>
      <c r="G464" s="1"/>
      <c r="H464" s="1"/>
      <c r="I464" s="1"/>
      <c r="J464" s="1"/>
      <c r="K464" s="1"/>
      <c r="L464" s="1"/>
      <c r="M464" s="5"/>
      <c r="N464" s="5"/>
      <c r="O464" s="5"/>
      <c r="P464" s="5"/>
      <c r="Q464" s="1"/>
      <c r="R464" s="1"/>
      <c r="S464" s="1"/>
      <c r="T464" s="1"/>
      <c r="U464" s="1"/>
      <c r="V464" s="1"/>
      <c r="W464" s="1"/>
      <c r="X464" s="1"/>
      <c r="Y464" s="1"/>
      <c r="Z464" s="1"/>
      <c r="AA464" s="1"/>
      <c r="AB464" s="1"/>
      <c r="AC464" s="1"/>
    </row>
    <row r="465" spans="1:29" ht="14.25" customHeight="1" x14ac:dyDescent="0.2">
      <c r="A465" s="1"/>
      <c r="B465" s="1"/>
      <c r="C465" s="1"/>
      <c r="D465" s="1"/>
      <c r="E465" s="1"/>
      <c r="F465" s="1"/>
      <c r="G465" s="1"/>
      <c r="H465" s="1"/>
      <c r="I465" s="1"/>
      <c r="J465" s="1"/>
      <c r="K465" s="1"/>
      <c r="L465" s="1"/>
      <c r="M465" s="5"/>
      <c r="N465" s="5"/>
      <c r="O465" s="5"/>
      <c r="P465" s="5"/>
      <c r="Q465" s="1"/>
      <c r="R465" s="1"/>
      <c r="S465" s="1"/>
      <c r="T465" s="1"/>
      <c r="U465" s="1"/>
      <c r="V465" s="1"/>
      <c r="W465" s="1"/>
      <c r="X465" s="1"/>
      <c r="Y465" s="1"/>
      <c r="Z465" s="1"/>
      <c r="AA465" s="1"/>
      <c r="AB465" s="1"/>
      <c r="AC465" s="1"/>
    </row>
    <row r="466" spans="1:29" ht="14.25" customHeight="1" x14ac:dyDescent="0.2">
      <c r="A466" s="1"/>
      <c r="B466" s="1"/>
      <c r="C466" s="1"/>
      <c r="D466" s="1"/>
      <c r="E466" s="1"/>
      <c r="F466" s="1"/>
      <c r="G466" s="1"/>
      <c r="H466" s="1"/>
      <c r="I466" s="1"/>
      <c r="J466" s="1"/>
      <c r="K466" s="1"/>
      <c r="L466" s="1"/>
      <c r="M466" s="5"/>
      <c r="N466" s="5"/>
      <c r="O466" s="5"/>
      <c r="P466" s="5"/>
      <c r="Q466" s="1"/>
      <c r="R466" s="1"/>
      <c r="S466" s="1"/>
      <c r="T466" s="1"/>
      <c r="U466" s="1"/>
      <c r="V466" s="1"/>
      <c r="W466" s="1"/>
      <c r="X466" s="1"/>
      <c r="Y466" s="1"/>
      <c r="Z466" s="1"/>
      <c r="AA466" s="1"/>
      <c r="AB466" s="1"/>
      <c r="AC466" s="1"/>
    </row>
    <row r="467" spans="1:29" ht="14.25" customHeight="1" x14ac:dyDescent="0.2">
      <c r="A467" s="1"/>
      <c r="B467" s="1"/>
      <c r="C467" s="1"/>
      <c r="D467" s="1"/>
      <c r="E467" s="1"/>
      <c r="F467" s="1"/>
      <c r="G467" s="1"/>
      <c r="H467" s="1"/>
      <c r="I467" s="1"/>
      <c r="J467" s="1"/>
      <c r="K467" s="1"/>
      <c r="L467" s="1"/>
      <c r="M467" s="5"/>
      <c r="N467" s="5"/>
      <c r="O467" s="5"/>
      <c r="P467" s="5"/>
      <c r="Q467" s="1"/>
      <c r="R467" s="1"/>
      <c r="S467" s="1"/>
      <c r="T467" s="1"/>
      <c r="U467" s="1"/>
      <c r="V467" s="1"/>
      <c r="W467" s="1"/>
      <c r="X467" s="1"/>
      <c r="Y467" s="1"/>
      <c r="Z467" s="1"/>
      <c r="AA467" s="1"/>
      <c r="AB467" s="1"/>
      <c r="AC467" s="1"/>
    </row>
    <row r="468" spans="1:29" ht="14.25" customHeight="1" x14ac:dyDescent="0.2">
      <c r="A468" s="1"/>
      <c r="B468" s="1"/>
      <c r="C468" s="1"/>
      <c r="D468" s="1"/>
      <c r="E468" s="1"/>
      <c r="F468" s="1"/>
      <c r="G468" s="1"/>
      <c r="H468" s="1"/>
      <c r="I468" s="1"/>
      <c r="J468" s="1"/>
      <c r="K468" s="1"/>
      <c r="L468" s="1"/>
      <c r="M468" s="5"/>
      <c r="N468" s="5"/>
      <c r="O468" s="5"/>
      <c r="P468" s="5"/>
      <c r="Q468" s="1"/>
      <c r="R468" s="1"/>
      <c r="S468" s="1"/>
      <c r="T468" s="1"/>
      <c r="U468" s="1"/>
      <c r="V468" s="1"/>
      <c r="W468" s="1"/>
      <c r="X468" s="1"/>
      <c r="Y468" s="1"/>
      <c r="Z468" s="1"/>
      <c r="AA468" s="1"/>
      <c r="AB468" s="1"/>
      <c r="AC468" s="1"/>
    </row>
    <row r="469" spans="1:29" ht="14.25" customHeight="1" x14ac:dyDescent="0.2">
      <c r="A469" s="1"/>
      <c r="B469" s="1"/>
      <c r="C469" s="1"/>
      <c r="D469" s="1"/>
      <c r="E469" s="1"/>
      <c r="F469" s="1"/>
      <c r="G469" s="1"/>
      <c r="H469" s="1"/>
      <c r="I469" s="1"/>
      <c r="J469" s="1"/>
      <c r="K469" s="1"/>
      <c r="L469" s="1"/>
      <c r="M469" s="5"/>
      <c r="N469" s="5"/>
      <c r="O469" s="5"/>
      <c r="P469" s="5"/>
      <c r="Q469" s="1"/>
      <c r="R469" s="1"/>
      <c r="S469" s="1"/>
      <c r="T469" s="1"/>
      <c r="U469" s="1"/>
      <c r="V469" s="1"/>
      <c r="W469" s="1"/>
      <c r="X469" s="1"/>
      <c r="Y469" s="1"/>
      <c r="Z469" s="1"/>
      <c r="AA469" s="1"/>
      <c r="AB469" s="1"/>
      <c r="AC469" s="1"/>
    </row>
    <row r="470" spans="1:29" ht="14.25" customHeight="1" x14ac:dyDescent="0.2">
      <c r="A470" s="1"/>
      <c r="B470" s="1"/>
      <c r="C470" s="1"/>
      <c r="D470" s="1"/>
      <c r="E470" s="1"/>
      <c r="F470" s="1"/>
      <c r="G470" s="1"/>
      <c r="H470" s="1"/>
      <c r="I470" s="1"/>
      <c r="J470" s="1"/>
      <c r="K470" s="1"/>
      <c r="L470" s="1"/>
      <c r="M470" s="5"/>
      <c r="N470" s="5"/>
      <c r="O470" s="5"/>
      <c r="P470" s="5"/>
      <c r="Q470" s="1"/>
      <c r="R470" s="1"/>
      <c r="S470" s="1"/>
      <c r="T470" s="1"/>
      <c r="U470" s="1"/>
      <c r="V470" s="1"/>
      <c r="W470" s="1"/>
      <c r="X470" s="1"/>
      <c r="Y470" s="1"/>
      <c r="Z470" s="1"/>
      <c r="AA470" s="1"/>
      <c r="AB470" s="1"/>
      <c r="AC470" s="1"/>
    </row>
    <row r="471" spans="1:29" ht="14.25" customHeight="1" x14ac:dyDescent="0.2">
      <c r="A471" s="1"/>
      <c r="B471" s="1"/>
      <c r="C471" s="1"/>
      <c r="D471" s="1"/>
      <c r="E471" s="1"/>
      <c r="F471" s="1"/>
      <c r="G471" s="1"/>
      <c r="H471" s="1"/>
      <c r="I471" s="1"/>
      <c r="J471" s="1"/>
      <c r="K471" s="1"/>
      <c r="L471" s="1"/>
      <c r="M471" s="5"/>
      <c r="N471" s="5"/>
      <c r="O471" s="5"/>
      <c r="P471" s="5"/>
      <c r="Q471" s="1"/>
      <c r="R471" s="1"/>
      <c r="S471" s="1"/>
      <c r="T471" s="1"/>
      <c r="U471" s="1"/>
      <c r="V471" s="1"/>
      <c r="W471" s="1"/>
      <c r="X471" s="1"/>
      <c r="Y471" s="1"/>
      <c r="Z471" s="1"/>
      <c r="AA471" s="1"/>
      <c r="AB471" s="1"/>
      <c r="AC471" s="1"/>
    </row>
    <row r="472" spans="1:29" ht="14.25" customHeight="1" x14ac:dyDescent="0.2">
      <c r="A472" s="1"/>
      <c r="B472" s="1"/>
      <c r="C472" s="1"/>
      <c r="D472" s="1"/>
      <c r="E472" s="1"/>
      <c r="F472" s="1"/>
      <c r="G472" s="1"/>
      <c r="H472" s="1"/>
      <c r="I472" s="1"/>
      <c r="J472" s="1"/>
      <c r="K472" s="1"/>
      <c r="L472" s="1"/>
      <c r="M472" s="5"/>
      <c r="N472" s="5"/>
      <c r="O472" s="5"/>
      <c r="P472" s="5"/>
      <c r="Q472" s="1"/>
      <c r="R472" s="1"/>
      <c r="S472" s="1"/>
      <c r="T472" s="1"/>
      <c r="U472" s="1"/>
      <c r="V472" s="1"/>
      <c r="W472" s="1"/>
      <c r="X472" s="1"/>
      <c r="Y472" s="1"/>
      <c r="Z472" s="1"/>
      <c r="AA472" s="1"/>
      <c r="AB472" s="1"/>
      <c r="AC472" s="1"/>
    </row>
    <row r="473" spans="1:29" ht="14.25" customHeight="1" x14ac:dyDescent="0.2">
      <c r="A473" s="1"/>
      <c r="B473" s="1"/>
      <c r="C473" s="1"/>
      <c r="D473" s="1"/>
      <c r="E473" s="1"/>
      <c r="F473" s="1"/>
      <c r="G473" s="1"/>
      <c r="H473" s="1"/>
      <c r="I473" s="1"/>
      <c r="J473" s="1"/>
      <c r="K473" s="1"/>
      <c r="L473" s="1"/>
      <c r="M473" s="5"/>
      <c r="N473" s="5"/>
      <c r="O473" s="5"/>
      <c r="P473" s="5"/>
      <c r="Q473" s="1"/>
      <c r="R473" s="1"/>
      <c r="S473" s="1"/>
      <c r="T473" s="1"/>
      <c r="U473" s="1"/>
      <c r="V473" s="1"/>
      <c r="W473" s="1"/>
      <c r="X473" s="1"/>
      <c r="Y473" s="1"/>
      <c r="Z473" s="1"/>
      <c r="AA473" s="1"/>
      <c r="AB473" s="1"/>
      <c r="AC473" s="1"/>
    </row>
    <row r="474" spans="1:29" ht="14.25" customHeight="1" x14ac:dyDescent="0.2">
      <c r="A474" s="1"/>
      <c r="B474" s="1"/>
      <c r="C474" s="1"/>
      <c r="D474" s="1"/>
      <c r="E474" s="1"/>
      <c r="F474" s="1"/>
      <c r="G474" s="1"/>
      <c r="H474" s="1"/>
      <c r="I474" s="1"/>
      <c r="J474" s="1"/>
      <c r="K474" s="1"/>
      <c r="L474" s="1"/>
      <c r="M474" s="5"/>
      <c r="N474" s="5"/>
      <c r="O474" s="5"/>
      <c r="P474" s="5"/>
      <c r="Q474" s="1"/>
      <c r="R474" s="1"/>
      <c r="S474" s="1"/>
      <c r="T474" s="1"/>
      <c r="U474" s="1"/>
      <c r="V474" s="1"/>
      <c r="W474" s="1"/>
      <c r="X474" s="1"/>
      <c r="Y474" s="1"/>
      <c r="Z474" s="1"/>
      <c r="AA474" s="1"/>
      <c r="AB474" s="1"/>
      <c r="AC474" s="1"/>
    </row>
    <row r="475" spans="1:29" ht="14.25" customHeight="1" x14ac:dyDescent="0.2">
      <c r="A475" s="1"/>
      <c r="B475" s="1"/>
      <c r="C475" s="1"/>
      <c r="D475" s="1"/>
      <c r="E475" s="1"/>
      <c r="F475" s="1"/>
      <c r="G475" s="1"/>
      <c r="H475" s="1"/>
      <c r="I475" s="1"/>
      <c r="J475" s="1"/>
      <c r="K475" s="1"/>
      <c r="L475" s="1"/>
      <c r="M475" s="5"/>
      <c r="N475" s="5"/>
      <c r="O475" s="5"/>
      <c r="P475" s="5"/>
      <c r="Q475" s="1"/>
      <c r="R475" s="1"/>
      <c r="S475" s="1"/>
      <c r="T475" s="1"/>
      <c r="U475" s="1"/>
      <c r="V475" s="1"/>
      <c r="W475" s="1"/>
      <c r="X475" s="1"/>
      <c r="Y475" s="1"/>
      <c r="Z475" s="1"/>
      <c r="AA475" s="1"/>
      <c r="AB475" s="1"/>
      <c r="AC475" s="1"/>
    </row>
    <row r="476" spans="1:29" ht="14.25" customHeight="1" x14ac:dyDescent="0.2">
      <c r="A476" s="1"/>
      <c r="B476" s="1"/>
      <c r="C476" s="1"/>
      <c r="D476" s="1"/>
      <c r="E476" s="1"/>
      <c r="F476" s="1"/>
      <c r="G476" s="1"/>
      <c r="H476" s="1"/>
      <c r="I476" s="1"/>
      <c r="J476" s="1"/>
      <c r="K476" s="1"/>
      <c r="L476" s="1"/>
      <c r="M476" s="5"/>
      <c r="N476" s="5"/>
      <c r="O476" s="5"/>
      <c r="P476" s="5"/>
      <c r="Q476" s="1"/>
      <c r="R476" s="1"/>
      <c r="S476" s="1"/>
      <c r="T476" s="1"/>
      <c r="U476" s="1"/>
      <c r="V476" s="1"/>
      <c r="W476" s="1"/>
      <c r="X476" s="1"/>
      <c r="Y476" s="1"/>
      <c r="Z476" s="1"/>
      <c r="AA476" s="1"/>
      <c r="AB476" s="1"/>
      <c r="AC476" s="1"/>
    </row>
    <row r="477" spans="1:29" ht="14.25" customHeight="1" x14ac:dyDescent="0.2">
      <c r="A477" s="1"/>
      <c r="B477" s="1"/>
      <c r="C477" s="1"/>
      <c r="D477" s="1"/>
      <c r="E477" s="1"/>
      <c r="F477" s="1"/>
      <c r="G477" s="1"/>
      <c r="H477" s="1"/>
      <c r="I477" s="1"/>
      <c r="J477" s="1"/>
      <c r="K477" s="1"/>
      <c r="L477" s="1"/>
      <c r="M477" s="5"/>
      <c r="N477" s="5"/>
      <c r="O477" s="5"/>
      <c r="P477" s="5"/>
      <c r="Q477" s="1"/>
      <c r="R477" s="1"/>
      <c r="S477" s="1"/>
      <c r="T477" s="1"/>
      <c r="U477" s="1"/>
      <c r="V477" s="1"/>
      <c r="W477" s="1"/>
      <c r="X477" s="1"/>
      <c r="Y477" s="1"/>
      <c r="Z477" s="1"/>
      <c r="AA477" s="1"/>
      <c r="AB477" s="1"/>
      <c r="AC477" s="1"/>
    </row>
    <row r="478" spans="1:29" ht="14.25" customHeight="1" x14ac:dyDescent="0.2">
      <c r="A478" s="1"/>
      <c r="B478" s="1"/>
      <c r="C478" s="1"/>
      <c r="D478" s="1"/>
      <c r="E478" s="1"/>
      <c r="F478" s="1"/>
      <c r="G478" s="1"/>
      <c r="H478" s="1"/>
      <c r="I478" s="1"/>
      <c r="J478" s="1"/>
      <c r="K478" s="1"/>
      <c r="L478" s="1"/>
      <c r="M478" s="5"/>
      <c r="N478" s="5"/>
      <c r="O478" s="5"/>
      <c r="P478" s="5"/>
      <c r="Q478" s="1"/>
      <c r="R478" s="1"/>
      <c r="S478" s="1"/>
      <c r="T478" s="1"/>
      <c r="U478" s="1"/>
      <c r="V478" s="1"/>
      <c r="W478" s="1"/>
      <c r="X478" s="1"/>
      <c r="Y478" s="1"/>
      <c r="Z478" s="1"/>
      <c r="AA478" s="1"/>
      <c r="AB478" s="1"/>
      <c r="AC478" s="1"/>
    </row>
    <row r="479" spans="1:29" ht="14.25" customHeight="1" x14ac:dyDescent="0.2">
      <c r="A479" s="1"/>
      <c r="B479" s="1"/>
      <c r="C479" s="1"/>
      <c r="D479" s="1"/>
      <c r="E479" s="1"/>
      <c r="F479" s="1"/>
      <c r="G479" s="1"/>
      <c r="H479" s="1"/>
      <c r="I479" s="1"/>
      <c r="J479" s="1"/>
      <c r="K479" s="1"/>
      <c r="L479" s="1"/>
      <c r="M479" s="5"/>
      <c r="N479" s="5"/>
      <c r="O479" s="5"/>
      <c r="P479" s="5"/>
      <c r="Q479" s="1"/>
      <c r="R479" s="1"/>
      <c r="S479" s="1"/>
      <c r="T479" s="1"/>
      <c r="U479" s="1"/>
      <c r="V479" s="1"/>
      <c r="W479" s="1"/>
      <c r="X479" s="1"/>
      <c r="Y479" s="1"/>
      <c r="Z479" s="1"/>
      <c r="AA479" s="1"/>
      <c r="AB479" s="1"/>
      <c r="AC479" s="1"/>
    </row>
    <row r="480" spans="1:29" ht="14.25" customHeight="1" x14ac:dyDescent="0.2">
      <c r="A480" s="1"/>
      <c r="B480" s="1"/>
      <c r="C480" s="1"/>
      <c r="D480" s="1"/>
      <c r="E480" s="1"/>
      <c r="F480" s="1"/>
      <c r="G480" s="1"/>
      <c r="H480" s="1"/>
      <c r="I480" s="1"/>
      <c r="J480" s="1"/>
      <c r="K480" s="1"/>
      <c r="L480" s="1"/>
      <c r="M480" s="5"/>
      <c r="N480" s="5"/>
      <c r="O480" s="5"/>
      <c r="P480" s="5"/>
      <c r="Q480" s="1"/>
      <c r="R480" s="1"/>
      <c r="S480" s="1"/>
      <c r="T480" s="1"/>
      <c r="U480" s="1"/>
      <c r="V480" s="1"/>
      <c r="W480" s="1"/>
      <c r="X480" s="1"/>
      <c r="Y480" s="1"/>
      <c r="Z480" s="1"/>
      <c r="AA480" s="1"/>
      <c r="AB480" s="1"/>
      <c r="AC480" s="1"/>
    </row>
    <row r="481" spans="1:29" ht="14.25" customHeight="1" x14ac:dyDescent="0.2">
      <c r="A481" s="1"/>
      <c r="B481" s="1"/>
      <c r="C481" s="1"/>
      <c r="D481" s="1"/>
      <c r="E481" s="1"/>
      <c r="F481" s="1"/>
      <c r="G481" s="1"/>
      <c r="H481" s="1"/>
      <c r="I481" s="1"/>
      <c r="J481" s="1"/>
      <c r="K481" s="1"/>
      <c r="L481" s="1"/>
      <c r="M481" s="5"/>
      <c r="N481" s="5"/>
      <c r="O481" s="5"/>
      <c r="P481" s="5"/>
      <c r="Q481" s="1"/>
      <c r="R481" s="1"/>
      <c r="S481" s="1"/>
      <c r="T481" s="1"/>
      <c r="U481" s="1"/>
      <c r="V481" s="1"/>
      <c r="W481" s="1"/>
      <c r="X481" s="1"/>
      <c r="Y481" s="1"/>
      <c r="Z481" s="1"/>
      <c r="AA481" s="1"/>
      <c r="AB481" s="1"/>
      <c r="AC481" s="1"/>
    </row>
    <row r="482" spans="1:29" ht="14.25" customHeight="1" x14ac:dyDescent="0.2">
      <c r="A482" s="1"/>
      <c r="B482" s="1"/>
      <c r="C482" s="1"/>
      <c r="D482" s="1"/>
      <c r="E482" s="1"/>
      <c r="F482" s="1"/>
      <c r="G482" s="1"/>
      <c r="H482" s="1"/>
      <c r="I482" s="1"/>
      <c r="J482" s="1"/>
      <c r="K482" s="1"/>
      <c r="L482" s="1"/>
      <c r="M482" s="5"/>
      <c r="N482" s="5"/>
      <c r="O482" s="5"/>
      <c r="P482" s="5"/>
      <c r="Q482" s="1"/>
      <c r="R482" s="1"/>
      <c r="S482" s="1"/>
      <c r="T482" s="1"/>
      <c r="U482" s="1"/>
      <c r="V482" s="1"/>
      <c r="W482" s="1"/>
      <c r="X482" s="1"/>
      <c r="Y482" s="1"/>
      <c r="Z482" s="1"/>
      <c r="AA482" s="1"/>
      <c r="AB482" s="1"/>
      <c r="AC482" s="1"/>
    </row>
    <row r="483" spans="1:29" ht="14.25" customHeight="1" x14ac:dyDescent="0.2">
      <c r="A483" s="1"/>
      <c r="B483" s="1"/>
      <c r="C483" s="1"/>
      <c r="D483" s="1"/>
      <c r="E483" s="1"/>
      <c r="F483" s="1"/>
      <c r="G483" s="1"/>
      <c r="H483" s="1"/>
      <c r="I483" s="1"/>
      <c r="J483" s="1"/>
      <c r="K483" s="1"/>
      <c r="L483" s="1"/>
      <c r="M483" s="5"/>
      <c r="N483" s="5"/>
      <c r="O483" s="5"/>
      <c r="P483" s="5"/>
      <c r="Q483" s="1"/>
      <c r="R483" s="1"/>
      <c r="S483" s="1"/>
      <c r="T483" s="1"/>
      <c r="U483" s="1"/>
      <c r="V483" s="1"/>
      <c r="W483" s="1"/>
      <c r="X483" s="1"/>
      <c r="Y483" s="1"/>
      <c r="Z483" s="1"/>
      <c r="AA483" s="1"/>
      <c r="AB483" s="1"/>
      <c r="AC483" s="1"/>
    </row>
    <row r="484" spans="1:29" ht="14.25" customHeight="1" x14ac:dyDescent="0.2">
      <c r="A484" s="1"/>
      <c r="B484" s="1"/>
      <c r="C484" s="1"/>
      <c r="D484" s="1"/>
      <c r="E484" s="1"/>
      <c r="F484" s="1"/>
      <c r="G484" s="1"/>
      <c r="H484" s="1"/>
      <c r="I484" s="1"/>
      <c r="J484" s="1"/>
      <c r="K484" s="1"/>
      <c r="L484" s="1"/>
      <c r="M484" s="5"/>
      <c r="N484" s="5"/>
      <c r="O484" s="5"/>
      <c r="P484" s="5"/>
      <c r="Q484" s="1"/>
      <c r="R484" s="1"/>
      <c r="S484" s="1"/>
      <c r="T484" s="1"/>
      <c r="U484" s="1"/>
      <c r="V484" s="1"/>
      <c r="W484" s="1"/>
      <c r="X484" s="1"/>
      <c r="Y484" s="1"/>
      <c r="Z484" s="1"/>
      <c r="AA484" s="1"/>
      <c r="AB484" s="1"/>
      <c r="AC484" s="1"/>
    </row>
    <row r="485" spans="1:29" ht="14.25" customHeight="1" x14ac:dyDescent="0.2">
      <c r="A485" s="1"/>
      <c r="B485" s="1"/>
      <c r="C485" s="1"/>
      <c r="D485" s="1"/>
      <c r="E485" s="1"/>
      <c r="F485" s="1"/>
      <c r="G485" s="1"/>
      <c r="H485" s="1"/>
      <c r="I485" s="1"/>
      <c r="J485" s="1"/>
      <c r="K485" s="1"/>
      <c r="L485" s="1"/>
      <c r="M485" s="5"/>
      <c r="N485" s="5"/>
      <c r="O485" s="5"/>
      <c r="P485" s="5"/>
      <c r="Q485" s="1"/>
      <c r="R485" s="1"/>
      <c r="S485" s="1"/>
      <c r="T485" s="1"/>
      <c r="U485" s="1"/>
      <c r="V485" s="1"/>
      <c r="W485" s="1"/>
      <c r="X485" s="1"/>
      <c r="Y485" s="1"/>
      <c r="Z485" s="1"/>
      <c r="AA485" s="1"/>
      <c r="AB485" s="1"/>
      <c r="AC485" s="1"/>
    </row>
    <row r="486" spans="1:29" ht="14.25" customHeight="1" x14ac:dyDescent="0.2">
      <c r="A486" s="1"/>
      <c r="B486" s="1"/>
      <c r="C486" s="1"/>
      <c r="D486" s="1"/>
      <c r="E486" s="1"/>
      <c r="F486" s="1"/>
      <c r="G486" s="1"/>
      <c r="H486" s="1"/>
      <c r="I486" s="1"/>
      <c r="J486" s="1"/>
      <c r="K486" s="1"/>
      <c r="L486" s="1"/>
      <c r="M486" s="5"/>
      <c r="N486" s="5"/>
      <c r="O486" s="5"/>
      <c r="P486" s="5"/>
      <c r="Q486" s="1"/>
      <c r="R486" s="1"/>
      <c r="S486" s="1"/>
      <c r="T486" s="1"/>
      <c r="U486" s="1"/>
      <c r="V486" s="1"/>
      <c r="W486" s="1"/>
      <c r="X486" s="1"/>
      <c r="Y486" s="1"/>
      <c r="Z486" s="1"/>
      <c r="AA486" s="1"/>
      <c r="AB486" s="1"/>
      <c r="AC486" s="1"/>
    </row>
    <row r="487" spans="1:29" ht="14.25" customHeight="1" x14ac:dyDescent="0.2">
      <c r="A487" s="1"/>
      <c r="B487" s="1"/>
      <c r="C487" s="1"/>
      <c r="D487" s="1"/>
      <c r="E487" s="1"/>
      <c r="F487" s="1"/>
      <c r="G487" s="1"/>
      <c r="H487" s="1"/>
      <c r="I487" s="1"/>
      <c r="J487" s="1"/>
      <c r="K487" s="1"/>
      <c r="L487" s="1"/>
      <c r="M487" s="5"/>
      <c r="N487" s="5"/>
      <c r="O487" s="5"/>
      <c r="P487" s="5"/>
      <c r="Q487" s="1"/>
      <c r="R487" s="1"/>
      <c r="S487" s="1"/>
      <c r="T487" s="1"/>
      <c r="U487" s="1"/>
      <c r="V487" s="1"/>
      <c r="W487" s="1"/>
      <c r="X487" s="1"/>
      <c r="Y487" s="1"/>
      <c r="Z487" s="1"/>
      <c r="AA487" s="1"/>
      <c r="AB487" s="1"/>
      <c r="AC487" s="1"/>
    </row>
    <row r="488" spans="1:29" ht="14.25" customHeight="1" x14ac:dyDescent="0.2">
      <c r="A488" s="1"/>
      <c r="B488" s="1"/>
      <c r="C488" s="1"/>
      <c r="D488" s="1"/>
      <c r="E488" s="1"/>
      <c r="F488" s="1"/>
      <c r="G488" s="1"/>
      <c r="H488" s="1"/>
      <c r="I488" s="1"/>
      <c r="J488" s="1"/>
      <c r="K488" s="1"/>
      <c r="L488" s="1"/>
      <c r="M488" s="5"/>
      <c r="N488" s="5"/>
      <c r="O488" s="5"/>
      <c r="P488" s="5"/>
      <c r="Q488" s="1"/>
      <c r="R488" s="1"/>
      <c r="S488" s="1"/>
      <c r="T488" s="1"/>
      <c r="U488" s="1"/>
      <c r="V488" s="1"/>
      <c r="W488" s="1"/>
      <c r="X488" s="1"/>
      <c r="Y488" s="1"/>
      <c r="Z488" s="1"/>
      <c r="AA488" s="1"/>
      <c r="AB488" s="1"/>
      <c r="AC488" s="1"/>
    </row>
    <row r="489" spans="1:29" ht="14.25" customHeight="1" x14ac:dyDescent="0.2">
      <c r="A489" s="1"/>
      <c r="B489" s="1"/>
      <c r="C489" s="1"/>
      <c r="D489" s="1"/>
      <c r="E489" s="1"/>
      <c r="F489" s="1"/>
      <c r="G489" s="1"/>
      <c r="H489" s="1"/>
      <c r="I489" s="1"/>
      <c r="J489" s="1"/>
      <c r="K489" s="1"/>
      <c r="L489" s="1"/>
      <c r="M489" s="5"/>
      <c r="N489" s="5"/>
      <c r="O489" s="5"/>
      <c r="P489" s="5"/>
      <c r="Q489" s="1"/>
      <c r="R489" s="1"/>
      <c r="S489" s="1"/>
      <c r="T489" s="1"/>
      <c r="U489" s="1"/>
      <c r="V489" s="1"/>
      <c r="W489" s="1"/>
      <c r="X489" s="1"/>
      <c r="Y489" s="1"/>
      <c r="Z489" s="1"/>
      <c r="AA489" s="1"/>
      <c r="AB489" s="1"/>
      <c r="AC489" s="1"/>
    </row>
    <row r="490" spans="1:29" ht="14.25" customHeight="1" x14ac:dyDescent="0.2">
      <c r="A490" s="1"/>
      <c r="B490" s="1"/>
      <c r="C490" s="1"/>
      <c r="D490" s="1"/>
      <c r="E490" s="1"/>
      <c r="F490" s="1"/>
      <c r="G490" s="1"/>
      <c r="H490" s="1"/>
      <c r="I490" s="1"/>
      <c r="J490" s="1"/>
      <c r="K490" s="1"/>
      <c r="L490" s="1"/>
      <c r="M490" s="5"/>
      <c r="N490" s="5"/>
      <c r="O490" s="5"/>
      <c r="P490" s="5"/>
      <c r="Q490" s="1"/>
      <c r="R490" s="1"/>
      <c r="S490" s="1"/>
      <c r="T490" s="1"/>
      <c r="U490" s="1"/>
      <c r="V490" s="1"/>
      <c r="W490" s="1"/>
      <c r="X490" s="1"/>
      <c r="Y490" s="1"/>
      <c r="Z490" s="1"/>
      <c r="AA490" s="1"/>
      <c r="AB490" s="1"/>
      <c r="AC490" s="1"/>
    </row>
    <row r="491" spans="1:29" ht="14.25" customHeight="1" x14ac:dyDescent="0.2">
      <c r="A491" s="1"/>
      <c r="B491" s="1"/>
      <c r="C491" s="1"/>
      <c r="D491" s="1"/>
      <c r="E491" s="1"/>
      <c r="F491" s="1"/>
      <c r="G491" s="1"/>
      <c r="H491" s="1"/>
      <c r="I491" s="1"/>
      <c r="J491" s="1"/>
      <c r="K491" s="1"/>
      <c r="L491" s="1"/>
      <c r="M491" s="5"/>
      <c r="N491" s="5"/>
      <c r="O491" s="5"/>
      <c r="P491" s="5"/>
      <c r="Q491" s="1"/>
      <c r="R491" s="1"/>
      <c r="S491" s="1"/>
      <c r="T491" s="1"/>
      <c r="U491" s="1"/>
      <c r="V491" s="1"/>
      <c r="W491" s="1"/>
      <c r="X491" s="1"/>
      <c r="Y491" s="1"/>
      <c r="Z491" s="1"/>
      <c r="AA491" s="1"/>
      <c r="AB491" s="1"/>
      <c r="AC491" s="1"/>
    </row>
    <row r="492" spans="1:29" ht="14.25" customHeight="1" x14ac:dyDescent="0.2">
      <c r="A492" s="1"/>
      <c r="B492" s="1"/>
      <c r="C492" s="1"/>
      <c r="D492" s="1"/>
      <c r="E492" s="1"/>
      <c r="F492" s="1"/>
      <c r="G492" s="1"/>
      <c r="H492" s="1"/>
      <c r="I492" s="1"/>
      <c r="J492" s="1"/>
      <c r="K492" s="1"/>
      <c r="L492" s="1"/>
      <c r="M492" s="5"/>
      <c r="N492" s="5"/>
      <c r="O492" s="5"/>
      <c r="P492" s="5"/>
      <c r="Q492" s="1"/>
      <c r="R492" s="1"/>
      <c r="S492" s="1"/>
      <c r="T492" s="1"/>
      <c r="U492" s="1"/>
      <c r="V492" s="1"/>
      <c r="W492" s="1"/>
      <c r="X492" s="1"/>
      <c r="Y492" s="1"/>
      <c r="Z492" s="1"/>
      <c r="AA492" s="1"/>
      <c r="AB492" s="1"/>
      <c r="AC492" s="1"/>
    </row>
    <row r="493" spans="1:29" ht="14.25" customHeight="1" x14ac:dyDescent="0.2">
      <c r="A493" s="1"/>
      <c r="B493" s="1"/>
      <c r="C493" s="1"/>
      <c r="D493" s="1"/>
      <c r="E493" s="1"/>
      <c r="F493" s="1"/>
      <c r="G493" s="1"/>
      <c r="H493" s="1"/>
      <c r="I493" s="1"/>
      <c r="J493" s="1"/>
      <c r="K493" s="1"/>
      <c r="L493" s="1"/>
      <c r="M493" s="5"/>
      <c r="N493" s="5"/>
      <c r="O493" s="5"/>
      <c r="P493" s="5"/>
      <c r="Q493" s="1"/>
      <c r="R493" s="1"/>
      <c r="S493" s="1"/>
      <c r="T493" s="1"/>
      <c r="U493" s="1"/>
      <c r="V493" s="1"/>
      <c r="W493" s="1"/>
      <c r="X493" s="1"/>
      <c r="Y493" s="1"/>
      <c r="Z493" s="1"/>
      <c r="AA493" s="1"/>
      <c r="AB493" s="1"/>
      <c r="AC493" s="1"/>
    </row>
    <row r="494" spans="1:29" ht="14.25" customHeight="1" x14ac:dyDescent="0.2">
      <c r="A494" s="1"/>
      <c r="B494" s="1"/>
      <c r="C494" s="1"/>
      <c r="D494" s="1"/>
      <c r="E494" s="1"/>
      <c r="F494" s="1"/>
      <c r="G494" s="1"/>
      <c r="H494" s="1"/>
      <c r="I494" s="1"/>
      <c r="J494" s="1"/>
      <c r="K494" s="1"/>
      <c r="L494" s="1"/>
      <c r="M494" s="5"/>
      <c r="N494" s="5"/>
      <c r="O494" s="5"/>
      <c r="P494" s="5"/>
      <c r="Q494" s="1"/>
      <c r="R494" s="1"/>
      <c r="S494" s="1"/>
      <c r="T494" s="1"/>
      <c r="U494" s="1"/>
      <c r="V494" s="1"/>
      <c r="W494" s="1"/>
      <c r="X494" s="1"/>
      <c r="Y494" s="1"/>
      <c r="Z494" s="1"/>
      <c r="AA494" s="1"/>
      <c r="AB494" s="1"/>
      <c r="AC494" s="1"/>
    </row>
    <row r="495" spans="1:29" ht="14.25" customHeight="1" x14ac:dyDescent="0.2">
      <c r="A495" s="1"/>
      <c r="B495" s="1"/>
      <c r="C495" s="1"/>
      <c r="D495" s="1"/>
      <c r="E495" s="1"/>
      <c r="F495" s="1"/>
      <c r="G495" s="1"/>
      <c r="H495" s="1"/>
      <c r="I495" s="1"/>
      <c r="J495" s="1"/>
      <c r="K495" s="1"/>
      <c r="L495" s="1"/>
      <c r="M495" s="5"/>
      <c r="N495" s="5"/>
      <c r="O495" s="5"/>
      <c r="P495" s="5"/>
      <c r="Q495" s="1"/>
      <c r="R495" s="1"/>
      <c r="S495" s="1"/>
      <c r="T495" s="1"/>
      <c r="U495" s="1"/>
      <c r="V495" s="1"/>
      <c r="W495" s="1"/>
      <c r="X495" s="1"/>
      <c r="Y495" s="1"/>
      <c r="Z495" s="1"/>
      <c r="AA495" s="1"/>
      <c r="AB495" s="1"/>
      <c r="AC495" s="1"/>
    </row>
    <row r="496" spans="1:29" ht="14.25" customHeight="1" x14ac:dyDescent="0.2">
      <c r="A496" s="1"/>
      <c r="B496" s="1"/>
      <c r="C496" s="1"/>
      <c r="D496" s="1"/>
      <c r="E496" s="1"/>
      <c r="F496" s="1"/>
      <c r="G496" s="1"/>
      <c r="H496" s="1"/>
      <c r="I496" s="1"/>
      <c r="J496" s="1"/>
      <c r="K496" s="1"/>
      <c r="L496" s="1"/>
      <c r="M496" s="5"/>
      <c r="N496" s="5"/>
      <c r="O496" s="5"/>
      <c r="P496" s="5"/>
      <c r="Q496" s="1"/>
      <c r="R496" s="1"/>
      <c r="S496" s="1"/>
      <c r="T496" s="1"/>
      <c r="U496" s="1"/>
      <c r="V496" s="1"/>
      <c r="W496" s="1"/>
      <c r="X496" s="1"/>
      <c r="Y496" s="1"/>
      <c r="Z496" s="1"/>
      <c r="AA496" s="1"/>
      <c r="AB496" s="1"/>
      <c r="AC496" s="1"/>
    </row>
    <row r="497" spans="1:29" ht="14.25" customHeight="1" x14ac:dyDescent="0.2">
      <c r="A497" s="1"/>
      <c r="B497" s="1"/>
      <c r="C497" s="1"/>
      <c r="D497" s="1"/>
      <c r="E497" s="1"/>
      <c r="F497" s="1"/>
      <c r="G497" s="1"/>
      <c r="H497" s="1"/>
      <c r="I497" s="1"/>
      <c r="J497" s="1"/>
      <c r="K497" s="1"/>
      <c r="L497" s="1"/>
      <c r="M497" s="5"/>
      <c r="N497" s="5"/>
      <c r="O497" s="5"/>
      <c r="P497" s="5"/>
      <c r="Q497" s="1"/>
      <c r="R497" s="1"/>
      <c r="S497" s="1"/>
      <c r="T497" s="1"/>
      <c r="U497" s="1"/>
      <c r="V497" s="1"/>
      <c r="W497" s="1"/>
      <c r="X497" s="1"/>
      <c r="Y497" s="1"/>
      <c r="Z497" s="1"/>
      <c r="AA497" s="1"/>
      <c r="AB497" s="1"/>
      <c r="AC497" s="1"/>
    </row>
    <row r="498" spans="1:29" ht="14.25" customHeight="1" x14ac:dyDescent="0.2">
      <c r="A498" s="1"/>
      <c r="B498" s="1"/>
      <c r="C498" s="1"/>
      <c r="D498" s="1"/>
      <c r="E498" s="1"/>
      <c r="F498" s="1"/>
      <c r="G498" s="1"/>
      <c r="H498" s="1"/>
      <c r="I498" s="1"/>
      <c r="J498" s="1"/>
      <c r="K498" s="1"/>
      <c r="L498" s="1"/>
      <c r="M498" s="5"/>
      <c r="N498" s="5"/>
      <c r="O498" s="5"/>
      <c r="P498" s="5"/>
      <c r="Q498" s="1"/>
      <c r="R498" s="1"/>
      <c r="S498" s="1"/>
      <c r="T498" s="1"/>
      <c r="U498" s="1"/>
      <c r="V498" s="1"/>
      <c r="W498" s="1"/>
      <c r="X498" s="1"/>
      <c r="Y498" s="1"/>
      <c r="Z498" s="1"/>
      <c r="AA498" s="1"/>
      <c r="AB498" s="1"/>
      <c r="AC498" s="1"/>
    </row>
    <row r="499" spans="1:29" ht="14.25" customHeight="1" x14ac:dyDescent="0.2">
      <c r="A499" s="1"/>
      <c r="B499" s="1"/>
      <c r="C499" s="1"/>
      <c r="D499" s="1"/>
      <c r="E499" s="1"/>
      <c r="F499" s="1"/>
      <c r="G499" s="1"/>
      <c r="H499" s="1"/>
      <c r="I499" s="1"/>
      <c r="J499" s="1"/>
      <c r="K499" s="1"/>
      <c r="L499" s="1"/>
      <c r="M499" s="5"/>
      <c r="N499" s="5"/>
      <c r="O499" s="5"/>
      <c r="P499" s="5"/>
      <c r="Q499" s="1"/>
      <c r="R499" s="1"/>
      <c r="S499" s="1"/>
      <c r="T499" s="1"/>
      <c r="U499" s="1"/>
      <c r="V499" s="1"/>
      <c r="W499" s="1"/>
      <c r="X499" s="1"/>
      <c r="Y499" s="1"/>
      <c r="Z499" s="1"/>
      <c r="AA499" s="1"/>
      <c r="AB499" s="1"/>
      <c r="AC499" s="1"/>
    </row>
    <row r="500" spans="1:29" ht="14.25" customHeight="1" x14ac:dyDescent="0.2">
      <c r="A500" s="1"/>
      <c r="B500" s="1"/>
      <c r="C500" s="1"/>
      <c r="D500" s="1"/>
      <c r="E500" s="1"/>
      <c r="F500" s="1"/>
      <c r="G500" s="1"/>
      <c r="H500" s="1"/>
      <c r="I500" s="1"/>
      <c r="J500" s="1"/>
      <c r="K500" s="1"/>
      <c r="L500" s="1"/>
      <c r="M500" s="5"/>
      <c r="N500" s="5"/>
      <c r="O500" s="5"/>
      <c r="P500" s="5"/>
      <c r="Q500" s="1"/>
      <c r="R500" s="1"/>
      <c r="S500" s="1"/>
      <c r="T500" s="1"/>
      <c r="U500" s="1"/>
      <c r="V500" s="1"/>
      <c r="W500" s="1"/>
      <c r="X500" s="1"/>
      <c r="Y500" s="1"/>
      <c r="Z500" s="1"/>
      <c r="AA500" s="1"/>
      <c r="AB500" s="1"/>
      <c r="AC500" s="1"/>
    </row>
    <row r="501" spans="1:29" ht="14.25" customHeight="1" x14ac:dyDescent="0.2">
      <c r="A501" s="1"/>
      <c r="B501" s="1"/>
      <c r="C501" s="1"/>
      <c r="D501" s="1"/>
      <c r="E501" s="1"/>
      <c r="F501" s="1"/>
      <c r="G501" s="1"/>
      <c r="H501" s="1"/>
      <c r="I501" s="1"/>
      <c r="J501" s="1"/>
      <c r="K501" s="1"/>
      <c r="L501" s="1"/>
      <c r="M501" s="5"/>
      <c r="N501" s="5"/>
      <c r="O501" s="5"/>
      <c r="P501" s="5"/>
      <c r="Q501" s="1"/>
      <c r="R501" s="1"/>
      <c r="S501" s="1"/>
      <c r="T501" s="1"/>
      <c r="U501" s="1"/>
      <c r="V501" s="1"/>
      <c r="W501" s="1"/>
      <c r="X501" s="1"/>
      <c r="Y501" s="1"/>
      <c r="Z501" s="1"/>
      <c r="AA501" s="1"/>
      <c r="AB501" s="1"/>
      <c r="AC501" s="1"/>
    </row>
    <row r="502" spans="1:29" ht="14.25" customHeight="1" x14ac:dyDescent="0.2">
      <c r="A502" s="1"/>
      <c r="B502" s="1"/>
      <c r="C502" s="1"/>
      <c r="D502" s="1"/>
      <c r="E502" s="1"/>
      <c r="F502" s="1"/>
      <c r="G502" s="1"/>
      <c r="H502" s="1"/>
      <c r="I502" s="1"/>
      <c r="J502" s="1"/>
      <c r="K502" s="1"/>
      <c r="L502" s="1"/>
      <c r="M502" s="5"/>
      <c r="N502" s="5"/>
      <c r="O502" s="5"/>
      <c r="P502" s="5"/>
      <c r="Q502" s="1"/>
      <c r="R502" s="1"/>
      <c r="S502" s="1"/>
      <c r="T502" s="1"/>
      <c r="U502" s="1"/>
      <c r="V502" s="1"/>
      <c r="W502" s="1"/>
      <c r="X502" s="1"/>
      <c r="Y502" s="1"/>
      <c r="Z502" s="1"/>
      <c r="AA502" s="1"/>
      <c r="AB502" s="1"/>
      <c r="AC502" s="1"/>
    </row>
    <row r="503" spans="1:29" ht="14.25" customHeight="1" x14ac:dyDescent="0.2">
      <c r="A503" s="1"/>
      <c r="B503" s="1"/>
      <c r="C503" s="1"/>
      <c r="D503" s="1"/>
      <c r="E503" s="1"/>
      <c r="F503" s="1"/>
      <c r="G503" s="1"/>
      <c r="H503" s="1"/>
      <c r="I503" s="1"/>
      <c r="J503" s="1"/>
      <c r="K503" s="1"/>
      <c r="L503" s="1"/>
      <c r="M503" s="5"/>
      <c r="N503" s="5"/>
      <c r="O503" s="5"/>
      <c r="P503" s="5"/>
      <c r="Q503" s="1"/>
      <c r="R503" s="1"/>
      <c r="S503" s="1"/>
      <c r="T503" s="1"/>
      <c r="U503" s="1"/>
      <c r="V503" s="1"/>
      <c r="W503" s="1"/>
      <c r="X503" s="1"/>
      <c r="Y503" s="1"/>
      <c r="Z503" s="1"/>
      <c r="AA503" s="1"/>
      <c r="AB503" s="1"/>
      <c r="AC503" s="1"/>
    </row>
    <row r="504" spans="1:29" ht="14.25" customHeight="1" x14ac:dyDescent="0.2">
      <c r="A504" s="1"/>
      <c r="B504" s="1"/>
      <c r="C504" s="1"/>
      <c r="D504" s="1"/>
      <c r="E504" s="1"/>
      <c r="F504" s="1"/>
      <c r="G504" s="1"/>
      <c r="H504" s="1"/>
      <c r="I504" s="1"/>
      <c r="J504" s="1"/>
      <c r="K504" s="1"/>
      <c r="L504" s="1"/>
      <c r="M504" s="5"/>
      <c r="N504" s="5"/>
      <c r="O504" s="5"/>
      <c r="P504" s="5"/>
      <c r="Q504" s="1"/>
      <c r="R504" s="1"/>
      <c r="S504" s="1"/>
      <c r="T504" s="1"/>
      <c r="U504" s="1"/>
      <c r="V504" s="1"/>
      <c r="W504" s="1"/>
      <c r="X504" s="1"/>
      <c r="Y504" s="1"/>
      <c r="Z504" s="1"/>
      <c r="AA504" s="1"/>
      <c r="AB504" s="1"/>
      <c r="AC504" s="1"/>
    </row>
    <row r="505" spans="1:29" ht="14.25" customHeight="1" x14ac:dyDescent="0.2">
      <c r="A505" s="1"/>
      <c r="B505" s="1"/>
      <c r="C505" s="1"/>
      <c r="D505" s="1"/>
      <c r="E505" s="1"/>
      <c r="F505" s="1"/>
      <c r="G505" s="1"/>
      <c r="H505" s="1"/>
      <c r="I505" s="1"/>
      <c r="J505" s="1"/>
      <c r="K505" s="1"/>
      <c r="L505" s="1"/>
      <c r="M505" s="5"/>
      <c r="N505" s="5"/>
      <c r="O505" s="5"/>
      <c r="P505" s="5"/>
      <c r="Q505" s="1"/>
      <c r="R505" s="1"/>
      <c r="S505" s="1"/>
      <c r="T505" s="1"/>
      <c r="U505" s="1"/>
      <c r="V505" s="1"/>
      <c r="W505" s="1"/>
      <c r="X505" s="1"/>
      <c r="Y505" s="1"/>
      <c r="Z505" s="1"/>
      <c r="AA505" s="1"/>
      <c r="AB505" s="1"/>
      <c r="AC505" s="1"/>
    </row>
    <row r="506" spans="1:29" ht="14.25" customHeight="1" x14ac:dyDescent="0.2">
      <c r="A506" s="1"/>
      <c r="B506" s="1"/>
      <c r="C506" s="1"/>
      <c r="D506" s="1"/>
      <c r="E506" s="1"/>
      <c r="F506" s="1"/>
      <c r="G506" s="1"/>
      <c r="H506" s="1"/>
      <c r="I506" s="1"/>
      <c r="J506" s="1"/>
      <c r="K506" s="1"/>
      <c r="L506" s="1"/>
      <c r="M506" s="5"/>
      <c r="N506" s="5"/>
      <c r="O506" s="5"/>
      <c r="P506" s="5"/>
      <c r="Q506" s="1"/>
      <c r="R506" s="1"/>
      <c r="S506" s="1"/>
      <c r="T506" s="1"/>
      <c r="U506" s="1"/>
      <c r="V506" s="1"/>
      <c r="W506" s="1"/>
      <c r="X506" s="1"/>
      <c r="Y506" s="1"/>
      <c r="Z506" s="1"/>
      <c r="AA506" s="1"/>
      <c r="AB506" s="1"/>
      <c r="AC506" s="1"/>
    </row>
    <row r="507" spans="1:29" ht="14.25" customHeight="1" x14ac:dyDescent="0.2">
      <c r="A507" s="1"/>
      <c r="B507" s="1"/>
      <c r="C507" s="1"/>
      <c r="D507" s="1"/>
      <c r="E507" s="1"/>
      <c r="F507" s="1"/>
      <c r="G507" s="1"/>
      <c r="H507" s="1"/>
      <c r="I507" s="1"/>
      <c r="J507" s="1"/>
      <c r="K507" s="1"/>
      <c r="L507" s="1"/>
      <c r="M507" s="5"/>
      <c r="N507" s="5"/>
      <c r="O507" s="5"/>
      <c r="P507" s="5"/>
      <c r="Q507" s="1"/>
      <c r="R507" s="1"/>
      <c r="S507" s="1"/>
      <c r="T507" s="1"/>
      <c r="U507" s="1"/>
      <c r="V507" s="1"/>
      <c r="W507" s="1"/>
      <c r="X507" s="1"/>
      <c r="Y507" s="1"/>
      <c r="Z507" s="1"/>
      <c r="AA507" s="1"/>
      <c r="AB507" s="1"/>
      <c r="AC507" s="1"/>
    </row>
    <row r="508" spans="1:29" ht="14.25" customHeight="1" x14ac:dyDescent="0.2">
      <c r="A508" s="1"/>
      <c r="B508" s="1"/>
      <c r="C508" s="1"/>
      <c r="D508" s="1"/>
      <c r="E508" s="1"/>
      <c r="F508" s="1"/>
      <c r="G508" s="1"/>
      <c r="H508" s="1"/>
      <c r="I508" s="1"/>
      <c r="J508" s="1"/>
      <c r="K508" s="1"/>
      <c r="L508" s="1"/>
      <c r="M508" s="5"/>
      <c r="N508" s="5"/>
      <c r="O508" s="5"/>
      <c r="P508" s="5"/>
      <c r="Q508" s="1"/>
      <c r="R508" s="1"/>
      <c r="S508" s="1"/>
      <c r="T508" s="1"/>
      <c r="U508" s="1"/>
      <c r="V508" s="1"/>
      <c r="W508" s="1"/>
      <c r="X508" s="1"/>
      <c r="Y508" s="1"/>
      <c r="Z508" s="1"/>
      <c r="AA508" s="1"/>
      <c r="AB508" s="1"/>
      <c r="AC508" s="1"/>
    </row>
    <row r="509" spans="1:29" ht="14.25" customHeight="1" x14ac:dyDescent="0.2">
      <c r="A509" s="1"/>
      <c r="B509" s="1"/>
      <c r="C509" s="1"/>
      <c r="D509" s="1"/>
      <c r="E509" s="1"/>
      <c r="F509" s="1"/>
      <c r="G509" s="1"/>
      <c r="H509" s="1"/>
      <c r="I509" s="1"/>
      <c r="J509" s="1"/>
      <c r="K509" s="1"/>
      <c r="L509" s="1"/>
      <c r="M509" s="5"/>
      <c r="N509" s="5"/>
      <c r="O509" s="5"/>
      <c r="P509" s="5"/>
      <c r="Q509" s="1"/>
      <c r="R509" s="1"/>
      <c r="S509" s="1"/>
      <c r="T509" s="1"/>
      <c r="U509" s="1"/>
      <c r="V509" s="1"/>
      <c r="W509" s="1"/>
      <c r="X509" s="1"/>
      <c r="Y509" s="1"/>
      <c r="Z509" s="1"/>
      <c r="AA509" s="1"/>
      <c r="AB509" s="1"/>
      <c r="AC509" s="1"/>
    </row>
    <row r="510" spans="1:29" ht="14.25" customHeight="1" x14ac:dyDescent="0.2">
      <c r="A510" s="1"/>
      <c r="B510" s="1"/>
      <c r="C510" s="1"/>
      <c r="D510" s="1"/>
      <c r="E510" s="1"/>
      <c r="F510" s="1"/>
      <c r="G510" s="1"/>
      <c r="H510" s="1"/>
      <c r="I510" s="1"/>
      <c r="J510" s="1"/>
      <c r="K510" s="1"/>
      <c r="L510" s="1"/>
      <c r="M510" s="5"/>
      <c r="N510" s="5"/>
      <c r="O510" s="5"/>
      <c r="P510" s="5"/>
      <c r="Q510" s="1"/>
      <c r="R510" s="1"/>
      <c r="S510" s="1"/>
      <c r="T510" s="1"/>
      <c r="U510" s="1"/>
      <c r="V510" s="1"/>
      <c r="W510" s="1"/>
      <c r="X510" s="1"/>
      <c r="Y510" s="1"/>
      <c r="Z510" s="1"/>
      <c r="AA510" s="1"/>
      <c r="AB510" s="1"/>
      <c r="AC510" s="1"/>
    </row>
    <row r="511" spans="1:29" ht="14.25" customHeight="1" x14ac:dyDescent="0.2">
      <c r="A511" s="1"/>
      <c r="B511" s="1"/>
      <c r="C511" s="1"/>
      <c r="D511" s="1"/>
      <c r="E511" s="1"/>
      <c r="F511" s="1"/>
      <c r="G511" s="1"/>
      <c r="H511" s="1"/>
      <c r="I511" s="1"/>
      <c r="J511" s="1"/>
      <c r="K511" s="1"/>
      <c r="L511" s="1"/>
      <c r="M511" s="5"/>
      <c r="N511" s="5"/>
      <c r="O511" s="5"/>
      <c r="P511" s="5"/>
      <c r="Q511" s="1"/>
      <c r="R511" s="1"/>
      <c r="S511" s="1"/>
      <c r="T511" s="1"/>
      <c r="U511" s="1"/>
      <c r="V511" s="1"/>
      <c r="W511" s="1"/>
      <c r="X511" s="1"/>
      <c r="Y511" s="1"/>
      <c r="Z511" s="1"/>
      <c r="AA511" s="1"/>
      <c r="AB511" s="1"/>
      <c r="AC511" s="1"/>
    </row>
    <row r="512" spans="1:29" ht="14.25" customHeight="1" x14ac:dyDescent="0.2">
      <c r="A512" s="1"/>
      <c r="B512" s="1"/>
      <c r="C512" s="1"/>
      <c r="D512" s="1"/>
      <c r="E512" s="1"/>
      <c r="F512" s="1"/>
      <c r="G512" s="1"/>
      <c r="H512" s="1"/>
      <c r="I512" s="1"/>
      <c r="J512" s="1"/>
      <c r="K512" s="1"/>
      <c r="L512" s="1"/>
      <c r="M512" s="5"/>
      <c r="N512" s="5"/>
      <c r="O512" s="5"/>
      <c r="P512" s="5"/>
      <c r="Q512" s="1"/>
      <c r="R512" s="1"/>
      <c r="S512" s="1"/>
      <c r="T512" s="1"/>
      <c r="U512" s="1"/>
      <c r="V512" s="1"/>
      <c r="W512" s="1"/>
      <c r="X512" s="1"/>
      <c r="Y512" s="1"/>
      <c r="Z512" s="1"/>
      <c r="AA512" s="1"/>
      <c r="AB512" s="1"/>
      <c r="AC512" s="1"/>
    </row>
    <row r="513" spans="1:29" ht="14.25" customHeight="1" x14ac:dyDescent="0.2">
      <c r="A513" s="1"/>
      <c r="B513" s="1"/>
      <c r="C513" s="1"/>
      <c r="D513" s="1"/>
      <c r="E513" s="1"/>
      <c r="F513" s="1"/>
      <c r="G513" s="1"/>
      <c r="H513" s="1"/>
      <c r="I513" s="1"/>
      <c r="J513" s="1"/>
      <c r="K513" s="1"/>
      <c r="L513" s="1"/>
      <c r="M513" s="5"/>
      <c r="N513" s="5"/>
      <c r="O513" s="5"/>
      <c r="P513" s="5"/>
      <c r="Q513" s="1"/>
      <c r="R513" s="1"/>
      <c r="S513" s="1"/>
      <c r="T513" s="1"/>
      <c r="U513" s="1"/>
      <c r="V513" s="1"/>
      <c r="W513" s="1"/>
      <c r="X513" s="1"/>
      <c r="Y513" s="1"/>
      <c r="Z513" s="1"/>
      <c r="AA513" s="1"/>
      <c r="AB513" s="1"/>
      <c r="AC513" s="1"/>
    </row>
    <row r="514" spans="1:29" ht="14.25" customHeight="1" x14ac:dyDescent="0.2">
      <c r="A514" s="1"/>
      <c r="B514" s="1"/>
      <c r="C514" s="1"/>
      <c r="D514" s="1"/>
      <c r="E514" s="1"/>
      <c r="F514" s="1"/>
      <c r="G514" s="1"/>
      <c r="H514" s="1"/>
      <c r="I514" s="1"/>
      <c r="J514" s="1"/>
      <c r="K514" s="1"/>
      <c r="L514" s="1"/>
      <c r="M514" s="5"/>
      <c r="N514" s="5"/>
      <c r="O514" s="5"/>
      <c r="P514" s="5"/>
      <c r="Q514" s="1"/>
      <c r="R514" s="1"/>
      <c r="S514" s="1"/>
      <c r="T514" s="1"/>
      <c r="U514" s="1"/>
      <c r="V514" s="1"/>
      <c r="W514" s="1"/>
      <c r="X514" s="1"/>
      <c r="Y514" s="1"/>
      <c r="Z514" s="1"/>
      <c r="AA514" s="1"/>
      <c r="AB514" s="1"/>
      <c r="AC514" s="1"/>
    </row>
    <row r="515" spans="1:29" ht="14.25" customHeight="1" x14ac:dyDescent="0.2">
      <c r="A515" s="1"/>
      <c r="B515" s="1"/>
      <c r="C515" s="1"/>
      <c r="D515" s="1"/>
      <c r="E515" s="1"/>
      <c r="F515" s="1"/>
      <c r="G515" s="1"/>
      <c r="H515" s="1"/>
      <c r="I515" s="1"/>
      <c r="J515" s="1"/>
      <c r="K515" s="1"/>
      <c r="L515" s="1"/>
      <c r="M515" s="5"/>
      <c r="N515" s="5"/>
      <c r="O515" s="5"/>
      <c r="P515" s="5"/>
      <c r="Q515" s="1"/>
      <c r="R515" s="1"/>
      <c r="S515" s="1"/>
      <c r="T515" s="1"/>
      <c r="U515" s="1"/>
      <c r="V515" s="1"/>
      <c r="W515" s="1"/>
      <c r="X515" s="1"/>
      <c r="Y515" s="1"/>
      <c r="Z515" s="1"/>
      <c r="AA515" s="1"/>
      <c r="AB515" s="1"/>
      <c r="AC515" s="1"/>
    </row>
    <row r="516" spans="1:29" ht="14.25" customHeight="1" x14ac:dyDescent="0.2">
      <c r="A516" s="1"/>
      <c r="B516" s="1"/>
      <c r="C516" s="1"/>
      <c r="D516" s="1"/>
      <c r="E516" s="1"/>
      <c r="F516" s="1"/>
      <c r="G516" s="1"/>
      <c r="H516" s="1"/>
      <c r="I516" s="1"/>
      <c r="J516" s="1"/>
      <c r="K516" s="1"/>
      <c r="L516" s="1"/>
      <c r="M516" s="5"/>
      <c r="N516" s="5"/>
      <c r="O516" s="5"/>
      <c r="P516" s="5"/>
      <c r="Q516" s="1"/>
      <c r="R516" s="1"/>
      <c r="S516" s="1"/>
      <c r="T516" s="1"/>
      <c r="U516" s="1"/>
      <c r="V516" s="1"/>
      <c r="W516" s="1"/>
      <c r="X516" s="1"/>
      <c r="Y516" s="1"/>
      <c r="Z516" s="1"/>
      <c r="AA516" s="1"/>
      <c r="AB516" s="1"/>
      <c r="AC516" s="1"/>
    </row>
    <row r="517" spans="1:29" ht="14.25" customHeight="1" x14ac:dyDescent="0.2">
      <c r="A517" s="1"/>
      <c r="B517" s="1"/>
      <c r="C517" s="1"/>
      <c r="D517" s="1"/>
      <c r="E517" s="1"/>
      <c r="F517" s="1"/>
      <c r="G517" s="1"/>
      <c r="H517" s="1"/>
      <c r="I517" s="1"/>
      <c r="J517" s="1"/>
      <c r="K517" s="1"/>
      <c r="L517" s="1"/>
      <c r="M517" s="5"/>
      <c r="N517" s="5"/>
      <c r="O517" s="5"/>
      <c r="P517" s="5"/>
      <c r="Q517" s="1"/>
      <c r="R517" s="1"/>
      <c r="S517" s="1"/>
      <c r="T517" s="1"/>
      <c r="U517" s="1"/>
      <c r="V517" s="1"/>
      <c r="W517" s="1"/>
      <c r="X517" s="1"/>
      <c r="Y517" s="1"/>
      <c r="Z517" s="1"/>
      <c r="AA517" s="1"/>
      <c r="AB517" s="1"/>
      <c r="AC517" s="1"/>
    </row>
    <row r="518" spans="1:29" ht="14.25" customHeight="1" x14ac:dyDescent="0.2">
      <c r="A518" s="1"/>
      <c r="B518" s="1"/>
      <c r="C518" s="1"/>
      <c r="D518" s="1"/>
      <c r="E518" s="1"/>
      <c r="F518" s="1"/>
      <c r="G518" s="1"/>
      <c r="H518" s="1"/>
      <c r="I518" s="1"/>
      <c r="J518" s="1"/>
      <c r="K518" s="1"/>
      <c r="L518" s="1"/>
      <c r="M518" s="5"/>
      <c r="N518" s="5"/>
      <c r="O518" s="5"/>
      <c r="P518" s="5"/>
      <c r="Q518" s="1"/>
      <c r="R518" s="1"/>
      <c r="S518" s="1"/>
      <c r="T518" s="1"/>
      <c r="U518" s="1"/>
      <c r="V518" s="1"/>
      <c r="W518" s="1"/>
      <c r="X518" s="1"/>
      <c r="Y518" s="1"/>
      <c r="Z518" s="1"/>
      <c r="AA518" s="1"/>
      <c r="AB518" s="1"/>
      <c r="AC518" s="1"/>
    </row>
    <row r="519" spans="1:29" ht="14.25" customHeight="1" x14ac:dyDescent="0.2">
      <c r="A519" s="1"/>
      <c r="B519" s="1"/>
      <c r="C519" s="1"/>
      <c r="D519" s="1"/>
      <c r="E519" s="1"/>
      <c r="F519" s="1"/>
      <c r="G519" s="1"/>
      <c r="H519" s="1"/>
      <c r="I519" s="1"/>
      <c r="J519" s="1"/>
      <c r="K519" s="1"/>
      <c r="L519" s="1"/>
      <c r="M519" s="5"/>
      <c r="N519" s="5"/>
      <c r="O519" s="5"/>
      <c r="P519" s="5"/>
      <c r="Q519" s="1"/>
      <c r="R519" s="1"/>
      <c r="S519" s="1"/>
      <c r="T519" s="1"/>
      <c r="U519" s="1"/>
      <c r="V519" s="1"/>
      <c r="W519" s="1"/>
      <c r="X519" s="1"/>
      <c r="Y519" s="1"/>
      <c r="Z519" s="1"/>
      <c r="AA519" s="1"/>
      <c r="AB519" s="1"/>
      <c r="AC519" s="1"/>
    </row>
    <row r="520" spans="1:29" ht="14.25" customHeight="1" x14ac:dyDescent="0.2">
      <c r="A520" s="1"/>
      <c r="B520" s="1"/>
      <c r="C520" s="1"/>
      <c r="D520" s="1"/>
      <c r="E520" s="1"/>
      <c r="F520" s="1"/>
      <c r="G520" s="1"/>
      <c r="H520" s="1"/>
      <c r="I520" s="1"/>
      <c r="J520" s="1"/>
      <c r="K520" s="1"/>
      <c r="L520" s="1"/>
      <c r="M520" s="5"/>
      <c r="N520" s="5"/>
      <c r="O520" s="5"/>
      <c r="P520" s="5"/>
      <c r="Q520" s="1"/>
      <c r="R520" s="1"/>
      <c r="S520" s="1"/>
      <c r="T520" s="1"/>
      <c r="U520" s="1"/>
      <c r="V520" s="1"/>
      <c r="W520" s="1"/>
      <c r="X520" s="1"/>
      <c r="Y520" s="1"/>
      <c r="Z520" s="1"/>
      <c r="AA520" s="1"/>
      <c r="AB520" s="1"/>
      <c r="AC520" s="1"/>
    </row>
    <row r="521" spans="1:29" ht="14.25" customHeight="1" x14ac:dyDescent="0.2">
      <c r="A521" s="1"/>
      <c r="B521" s="1"/>
      <c r="C521" s="1"/>
      <c r="D521" s="1"/>
      <c r="E521" s="1"/>
      <c r="F521" s="1"/>
      <c r="G521" s="1"/>
      <c r="H521" s="1"/>
      <c r="I521" s="1"/>
      <c r="J521" s="1"/>
      <c r="K521" s="1"/>
      <c r="L521" s="1"/>
      <c r="M521" s="5"/>
      <c r="N521" s="5"/>
      <c r="O521" s="5"/>
      <c r="P521" s="5"/>
      <c r="Q521" s="1"/>
      <c r="R521" s="1"/>
      <c r="S521" s="1"/>
      <c r="T521" s="1"/>
      <c r="U521" s="1"/>
      <c r="V521" s="1"/>
      <c r="W521" s="1"/>
      <c r="X521" s="1"/>
      <c r="Y521" s="1"/>
      <c r="Z521" s="1"/>
      <c r="AA521" s="1"/>
      <c r="AB521" s="1"/>
      <c r="AC521" s="1"/>
    </row>
    <row r="522" spans="1:29" ht="14.25" customHeight="1" x14ac:dyDescent="0.2">
      <c r="A522" s="1"/>
      <c r="B522" s="1"/>
      <c r="C522" s="1"/>
      <c r="D522" s="1"/>
      <c r="E522" s="1"/>
      <c r="F522" s="1"/>
      <c r="G522" s="1"/>
      <c r="H522" s="1"/>
      <c r="I522" s="1"/>
      <c r="J522" s="1"/>
      <c r="K522" s="1"/>
      <c r="L522" s="1"/>
      <c r="M522" s="5"/>
      <c r="N522" s="5"/>
      <c r="O522" s="5"/>
      <c r="P522" s="5"/>
      <c r="Q522" s="1"/>
      <c r="R522" s="1"/>
      <c r="S522" s="1"/>
      <c r="T522" s="1"/>
      <c r="U522" s="1"/>
      <c r="V522" s="1"/>
      <c r="W522" s="1"/>
      <c r="X522" s="1"/>
      <c r="Y522" s="1"/>
      <c r="Z522" s="1"/>
      <c r="AA522" s="1"/>
      <c r="AB522" s="1"/>
      <c r="AC522" s="1"/>
    </row>
    <row r="523" spans="1:29" ht="14.25" customHeight="1" x14ac:dyDescent="0.2">
      <c r="A523" s="1"/>
      <c r="B523" s="1"/>
      <c r="C523" s="1"/>
      <c r="D523" s="1"/>
      <c r="E523" s="1"/>
      <c r="F523" s="1"/>
      <c r="G523" s="1"/>
      <c r="H523" s="1"/>
      <c r="I523" s="1"/>
      <c r="J523" s="1"/>
      <c r="K523" s="1"/>
      <c r="L523" s="1"/>
      <c r="M523" s="5"/>
      <c r="N523" s="5"/>
      <c r="O523" s="5"/>
      <c r="P523" s="5"/>
      <c r="Q523" s="1"/>
      <c r="R523" s="1"/>
      <c r="S523" s="1"/>
      <c r="T523" s="1"/>
      <c r="U523" s="1"/>
      <c r="V523" s="1"/>
      <c r="W523" s="1"/>
      <c r="X523" s="1"/>
      <c r="Y523" s="1"/>
      <c r="Z523" s="1"/>
      <c r="AA523" s="1"/>
      <c r="AB523" s="1"/>
      <c r="AC523" s="1"/>
    </row>
    <row r="524" spans="1:29" ht="14.25" customHeight="1" x14ac:dyDescent="0.2">
      <c r="A524" s="1"/>
      <c r="B524" s="1"/>
      <c r="C524" s="1"/>
      <c r="D524" s="1"/>
      <c r="E524" s="1"/>
      <c r="F524" s="1"/>
      <c r="G524" s="1"/>
      <c r="H524" s="1"/>
      <c r="I524" s="1"/>
      <c r="J524" s="1"/>
      <c r="K524" s="1"/>
      <c r="L524" s="1"/>
      <c r="M524" s="5"/>
      <c r="N524" s="5"/>
      <c r="O524" s="5"/>
      <c r="P524" s="5"/>
      <c r="Q524" s="1"/>
      <c r="R524" s="1"/>
      <c r="S524" s="1"/>
      <c r="T524" s="1"/>
      <c r="U524" s="1"/>
      <c r="V524" s="1"/>
      <c r="W524" s="1"/>
      <c r="X524" s="1"/>
      <c r="Y524" s="1"/>
      <c r="Z524" s="1"/>
      <c r="AA524" s="1"/>
      <c r="AB524" s="1"/>
      <c r="AC524" s="1"/>
    </row>
    <row r="525" spans="1:29" ht="14.25" customHeight="1" x14ac:dyDescent="0.2">
      <c r="A525" s="1"/>
      <c r="B525" s="1"/>
      <c r="C525" s="1"/>
      <c r="D525" s="1"/>
      <c r="E525" s="1"/>
      <c r="F525" s="1"/>
      <c r="G525" s="1"/>
      <c r="H525" s="1"/>
      <c r="I525" s="1"/>
      <c r="J525" s="1"/>
      <c r="K525" s="1"/>
      <c r="L525" s="1"/>
      <c r="M525" s="5"/>
      <c r="N525" s="5"/>
      <c r="O525" s="5"/>
      <c r="P525" s="5"/>
      <c r="Q525" s="1"/>
      <c r="R525" s="1"/>
      <c r="S525" s="1"/>
      <c r="T525" s="1"/>
      <c r="U525" s="1"/>
      <c r="V525" s="1"/>
      <c r="W525" s="1"/>
      <c r="X525" s="1"/>
      <c r="Y525" s="1"/>
      <c r="Z525" s="1"/>
      <c r="AA525" s="1"/>
      <c r="AB525" s="1"/>
      <c r="AC525" s="1"/>
    </row>
    <row r="526" spans="1:29" ht="14.25" customHeight="1" x14ac:dyDescent="0.2">
      <c r="A526" s="1"/>
      <c r="B526" s="1"/>
      <c r="C526" s="1"/>
      <c r="D526" s="1"/>
      <c r="E526" s="1"/>
      <c r="F526" s="1"/>
      <c r="G526" s="1"/>
      <c r="H526" s="1"/>
      <c r="I526" s="1"/>
      <c r="J526" s="1"/>
      <c r="K526" s="1"/>
      <c r="L526" s="1"/>
      <c r="M526" s="5"/>
      <c r="N526" s="5"/>
      <c r="O526" s="5"/>
      <c r="P526" s="5"/>
      <c r="Q526" s="1"/>
      <c r="R526" s="1"/>
      <c r="S526" s="1"/>
      <c r="T526" s="1"/>
      <c r="U526" s="1"/>
      <c r="V526" s="1"/>
      <c r="W526" s="1"/>
      <c r="X526" s="1"/>
      <c r="Y526" s="1"/>
      <c r="Z526" s="1"/>
      <c r="AA526" s="1"/>
      <c r="AB526" s="1"/>
      <c r="AC526" s="1"/>
    </row>
    <row r="527" spans="1:29" ht="14.25" customHeight="1" x14ac:dyDescent="0.2">
      <c r="A527" s="1"/>
      <c r="B527" s="1"/>
      <c r="C527" s="1"/>
      <c r="D527" s="1"/>
      <c r="E527" s="1"/>
      <c r="F527" s="1"/>
      <c r="G527" s="1"/>
      <c r="H527" s="1"/>
      <c r="I527" s="1"/>
      <c r="J527" s="1"/>
      <c r="K527" s="1"/>
      <c r="L527" s="1"/>
      <c r="M527" s="5"/>
      <c r="N527" s="5"/>
      <c r="O527" s="5"/>
      <c r="P527" s="5"/>
      <c r="Q527" s="1"/>
      <c r="R527" s="1"/>
      <c r="S527" s="1"/>
      <c r="T527" s="1"/>
      <c r="U527" s="1"/>
      <c r="V527" s="1"/>
      <c r="W527" s="1"/>
      <c r="X527" s="1"/>
      <c r="Y527" s="1"/>
      <c r="Z527" s="1"/>
      <c r="AA527" s="1"/>
      <c r="AB527" s="1"/>
      <c r="AC527" s="1"/>
    </row>
    <row r="528" spans="1:29" ht="14.25" customHeight="1" x14ac:dyDescent="0.2">
      <c r="A528" s="1"/>
      <c r="B528" s="1"/>
      <c r="C528" s="1"/>
      <c r="D528" s="1"/>
      <c r="E528" s="1"/>
      <c r="F528" s="1"/>
      <c r="G528" s="1"/>
      <c r="H528" s="1"/>
      <c r="I528" s="1"/>
      <c r="J528" s="1"/>
      <c r="K528" s="1"/>
      <c r="L528" s="1"/>
      <c r="M528" s="5"/>
      <c r="N528" s="5"/>
      <c r="O528" s="5"/>
      <c r="P528" s="5"/>
      <c r="Q528" s="1"/>
      <c r="R528" s="1"/>
      <c r="S528" s="1"/>
      <c r="T528" s="1"/>
      <c r="U528" s="1"/>
      <c r="V528" s="1"/>
      <c r="W528" s="1"/>
      <c r="X528" s="1"/>
      <c r="Y528" s="1"/>
      <c r="Z528" s="1"/>
      <c r="AA528" s="1"/>
      <c r="AB528" s="1"/>
      <c r="AC528" s="1"/>
    </row>
    <row r="529" spans="1:29" ht="14.25" customHeight="1" x14ac:dyDescent="0.2">
      <c r="A529" s="1"/>
      <c r="B529" s="1"/>
      <c r="C529" s="1"/>
      <c r="D529" s="1"/>
      <c r="E529" s="1"/>
      <c r="F529" s="1"/>
      <c r="G529" s="1"/>
      <c r="H529" s="1"/>
      <c r="I529" s="1"/>
      <c r="J529" s="1"/>
      <c r="K529" s="1"/>
      <c r="L529" s="1"/>
      <c r="M529" s="5"/>
      <c r="N529" s="5"/>
      <c r="O529" s="5"/>
      <c r="P529" s="5"/>
      <c r="Q529" s="1"/>
      <c r="R529" s="1"/>
      <c r="S529" s="1"/>
      <c r="T529" s="1"/>
      <c r="U529" s="1"/>
      <c r="V529" s="1"/>
      <c r="W529" s="1"/>
      <c r="X529" s="1"/>
      <c r="Y529" s="1"/>
      <c r="Z529" s="1"/>
      <c r="AA529" s="1"/>
      <c r="AB529" s="1"/>
      <c r="AC529" s="1"/>
    </row>
    <row r="530" spans="1:29" ht="14.25" customHeight="1" x14ac:dyDescent="0.2">
      <c r="A530" s="1"/>
      <c r="B530" s="1"/>
      <c r="C530" s="1"/>
      <c r="D530" s="1"/>
      <c r="E530" s="1"/>
      <c r="F530" s="1"/>
      <c r="G530" s="1"/>
      <c r="H530" s="1"/>
      <c r="I530" s="1"/>
      <c r="J530" s="1"/>
      <c r="K530" s="1"/>
      <c r="L530" s="1"/>
      <c r="M530" s="5"/>
      <c r="N530" s="5"/>
      <c r="O530" s="5"/>
      <c r="P530" s="5"/>
      <c r="Q530" s="1"/>
      <c r="R530" s="1"/>
      <c r="S530" s="1"/>
      <c r="T530" s="1"/>
      <c r="U530" s="1"/>
      <c r="V530" s="1"/>
      <c r="W530" s="1"/>
      <c r="X530" s="1"/>
      <c r="Y530" s="1"/>
      <c r="Z530" s="1"/>
      <c r="AA530" s="1"/>
      <c r="AB530" s="1"/>
      <c r="AC530" s="1"/>
    </row>
    <row r="531" spans="1:29" ht="14.25" customHeight="1" x14ac:dyDescent="0.2">
      <c r="A531" s="1"/>
      <c r="B531" s="1"/>
      <c r="C531" s="1"/>
      <c r="D531" s="1"/>
      <c r="E531" s="1"/>
      <c r="F531" s="1"/>
      <c r="G531" s="1"/>
      <c r="H531" s="1"/>
      <c r="I531" s="1"/>
      <c r="J531" s="1"/>
      <c r="K531" s="1"/>
      <c r="L531" s="1"/>
      <c r="M531" s="5"/>
      <c r="N531" s="5"/>
      <c r="O531" s="5"/>
      <c r="P531" s="5"/>
      <c r="Q531" s="1"/>
      <c r="R531" s="1"/>
      <c r="S531" s="1"/>
      <c r="T531" s="1"/>
      <c r="U531" s="1"/>
      <c r="V531" s="1"/>
      <c r="W531" s="1"/>
      <c r="X531" s="1"/>
      <c r="Y531" s="1"/>
      <c r="Z531" s="1"/>
      <c r="AA531" s="1"/>
      <c r="AB531" s="1"/>
      <c r="AC531" s="1"/>
    </row>
    <row r="532" spans="1:29" ht="14.25" customHeight="1" x14ac:dyDescent="0.2">
      <c r="A532" s="1"/>
      <c r="B532" s="1"/>
      <c r="C532" s="1"/>
      <c r="D532" s="1"/>
      <c r="E532" s="1"/>
      <c r="F532" s="1"/>
      <c r="G532" s="1"/>
      <c r="H532" s="1"/>
      <c r="I532" s="1"/>
      <c r="J532" s="1"/>
      <c r="K532" s="1"/>
      <c r="L532" s="1"/>
      <c r="M532" s="5"/>
      <c r="N532" s="5"/>
      <c r="O532" s="5"/>
      <c r="P532" s="5"/>
      <c r="Q532" s="1"/>
      <c r="R532" s="1"/>
      <c r="S532" s="1"/>
      <c r="T532" s="1"/>
      <c r="U532" s="1"/>
      <c r="V532" s="1"/>
      <c r="W532" s="1"/>
      <c r="X532" s="1"/>
      <c r="Y532" s="1"/>
      <c r="Z532" s="1"/>
      <c r="AA532" s="1"/>
      <c r="AB532" s="1"/>
      <c r="AC532" s="1"/>
    </row>
    <row r="533" spans="1:29" ht="14.25" customHeight="1" x14ac:dyDescent="0.2">
      <c r="A533" s="1"/>
      <c r="B533" s="1"/>
      <c r="C533" s="1"/>
      <c r="D533" s="1"/>
      <c r="E533" s="1"/>
      <c r="F533" s="1"/>
      <c r="G533" s="1"/>
      <c r="H533" s="1"/>
      <c r="I533" s="1"/>
      <c r="J533" s="1"/>
      <c r="K533" s="1"/>
      <c r="L533" s="1"/>
      <c r="M533" s="5"/>
      <c r="N533" s="5"/>
      <c r="O533" s="5"/>
      <c r="P533" s="5"/>
      <c r="Q533" s="1"/>
      <c r="R533" s="1"/>
      <c r="S533" s="1"/>
      <c r="T533" s="1"/>
      <c r="U533" s="1"/>
      <c r="V533" s="1"/>
      <c r="W533" s="1"/>
      <c r="X533" s="1"/>
      <c r="Y533" s="1"/>
      <c r="Z533" s="1"/>
      <c r="AA533" s="1"/>
      <c r="AB533" s="1"/>
      <c r="AC533" s="1"/>
    </row>
    <row r="534" spans="1:29" ht="14.25" customHeight="1" x14ac:dyDescent="0.2">
      <c r="A534" s="1"/>
      <c r="B534" s="1"/>
      <c r="C534" s="1"/>
      <c r="D534" s="1"/>
      <c r="E534" s="1"/>
      <c r="F534" s="1"/>
      <c r="G534" s="1"/>
      <c r="H534" s="1"/>
      <c r="I534" s="1"/>
      <c r="J534" s="1"/>
      <c r="K534" s="1"/>
      <c r="L534" s="1"/>
      <c r="M534" s="5"/>
      <c r="N534" s="5"/>
      <c r="O534" s="5"/>
      <c r="P534" s="5"/>
      <c r="Q534" s="1"/>
      <c r="R534" s="1"/>
      <c r="S534" s="1"/>
      <c r="T534" s="1"/>
      <c r="U534" s="1"/>
      <c r="V534" s="1"/>
      <c r="W534" s="1"/>
      <c r="X534" s="1"/>
      <c r="Y534" s="1"/>
      <c r="Z534" s="1"/>
      <c r="AA534" s="1"/>
      <c r="AB534" s="1"/>
      <c r="AC534" s="1"/>
    </row>
    <row r="535" spans="1:29" ht="14.25" customHeight="1" x14ac:dyDescent="0.2">
      <c r="A535" s="1"/>
      <c r="B535" s="1"/>
      <c r="C535" s="1"/>
      <c r="D535" s="1"/>
      <c r="E535" s="1"/>
      <c r="F535" s="1"/>
      <c r="G535" s="1"/>
      <c r="H535" s="1"/>
      <c r="I535" s="1"/>
      <c r="J535" s="1"/>
      <c r="K535" s="1"/>
      <c r="L535" s="1"/>
      <c r="M535" s="5"/>
      <c r="N535" s="5"/>
      <c r="O535" s="5"/>
      <c r="P535" s="5"/>
      <c r="Q535" s="1"/>
      <c r="R535" s="1"/>
      <c r="S535" s="1"/>
      <c r="T535" s="1"/>
      <c r="U535" s="1"/>
      <c r="V535" s="1"/>
      <c r="W535" s="1"/>
      <c r="X535" s="1"/>
      <c r="Y535" s="1"/>
      <c r="Z535" s="1"/>
      <c r="AA535" s="1"/>
      <c r="AB535" s="1"/>
      <c r="AC535" s="1"/>
    </row>
    <row r="536" spans="1:29" ht="14.25" customHeight="1" x14ac:dyDescent="0.2">
      <c r="A536" s="1"/>
      <c r="B536" s="1"/>
      <c r="C536" s="1"/>
      <c r="D536" s="1"/>
      <c r="E536" s="1"/>
      <c r="F536" s="1"/>
      <c r="G536" s="1"/>
      <c r="H536" s="1"/>
      <c r="I536" s="1"/>
      <c r="J536" s="1"/>
      <c r="K536" s="1"/>
      <c r="L536" s="1"/>
      <c r="M536" s="5"/>
      <c r="N536" s="5"/>
      <c r="O536" s="5"/>
      <c r="P536" s="5"/>
      <c r="Q536" s="1"/>
      <c r="R536" s="1"/>
      <c r="S536" s="1"/>
      <c r="T536" s="1"/>
      <c r="U536" s="1"/>
      <c r="V536" s="1"/>
      <c r="W536" s="1"/>
      <c r="X536" s="1"/>
      <c r="Y536" s="1"/>
      <c r="Z536" s="1"/>
      <c r="AA536" s="1"/>
      <c r="AB536" s="1"/>
      <c r="AC536" s="1"/>
    </row>
    <row r="537" spans="1:29" ht="14.25" customHeight="1" x14ac:dyDescent="0.2">
      <c r="A537" s="1"/>
      <c r="B537" s="1"/>
      <c r="C537" s="1"/>
      <c r="D537" s="1"/>
      <c r="E537" s="1"/>
      <c r="F537" s="1"/>
      <c r="G537" s="1"/>
      <c r="H537" s="1"/>
      <c r="I537" s="1"/>
      <c r="J537" s="1"/>
      <c r="K537" s="1"/>
      <c r="L537" s="1"/>
      <c r="M537" s="5"/>
      <c r="N537" s="5"/>
      <c r="O537" s="5"/>
      <c r="P537" s="5"/>
      <c r="Q537" s="1"/>
      <c r="R537" s="1"/>
      <c r="S537" s="1"/>
      <c r="T537" s="1"/>
      <c r="U537" s="1"/>
      <c r="V537" s="1"/>
      <c r="W537" s="1"/>
      <c r="X537" s="1"/>
      <c r="Y537" s="1"/>
      <c r="Z537" s="1"/>
      <c r="AA537" s="1"/>
      <c r="AB537" s="1"/>
      <c r="AC537" s="1"/>
    </row>
    <row r="538" spans="1:29" ht="14.25" customHeight="1" x14ac:dyDescent="0.2">
      <c r="A538" s="1"/>
      <c r="B538" s="1"/>
      <c r="C538" s="1"/>
      <c r="D538" s="1"/>
      <c r="E538" s="1"/>
      <c r="F538" s="1"/>
      <c r="G538" s="1"/>
      <c r="H538" s="1"/>
      <c r="I538" s="1"/>
      <c r="J538" s="1"/>
      <c r="K538" s="1"/>
      <c r="L538" s="1"/>
      <c r="M538" s="5"/>
      <c r="N538" s="5"/>
      <c r="O538" s="5"/>
      <c r="P538" s="5"/>
      <c r="Q538" s="1"/>
      <c r="R538" s="1"/>
      <c r="S538" s="1"/>
      <c r="T538" s="1"/>
      <c r="U538" s="1"/>
      <c r="V538" s="1"/>
      <c r="W538" s="1"/>
      <c r="X538" s="1"/>
      <c r="Y538" s="1"/>
      <c r="Z538" s="1"/>
      <c r="AA538" s="1"/>
      <c r="AB538" s="1"/>
      <c r="AC538" s="1"/>
    </row>
    <row r="539" spans="1:29" ht="14.25" customHeight="1" x14ac:dyDescent="0.2">
      <c r="A539" s="1"/>
      <c r="B539" s="1"/>
      <c r="C539" s="1"/>
      <c r="D539" s="1"/>
      <c r="E539" s="1"/>
      <c r="F539" s="1"/>
      <c r="G539" s="1"/>
      <c r="H539" s="1"/>
      <c r="I539" s="1"/>
      <c r="J539" s="1"/>
      <c r="K539" s="1"/>
      <c r="L539" s="1"/>
      <c r="M539" s="5"/>
      <c r="N539" s="5"/>
      <c r="O539" s="5"/>
      <c r="P539" s="5"/>
      <c r="Q539" s="1"/>
      <c r="R539" s="1"/>
      <c r="S539" s="1"/>
      <c r="T539" s="1"/>
      <c r="U539" s="1"/>
      <c r="V539" s="1"/>
      <c r="W539" s="1"/>
      <c r="X539" s="1"/>
      <c r="Y539" s="1"/>
      <c r="Z539" s="1"/>
      <c r="AA539" s="1"/>
      <c r="AB539" s="1"/>
      <c r="AC539" s="1"/>
    </row>
    <row r="540" spans="1:29" ht="14.25" customHeight="1" x14ac:dyDescent="0.2">
      <c r="A540" s="1"/>
      <c r="B540" s="1"/>
      <c r="C540" s="1"/>
      <c r="D540" s="1"/>
      <c r="E540" s="1"/>
      <c r="F540" s="1"/>
      <c r="G540" s="1"/>
      <c r="H540" s="1"/>
      <c r="I540" s="1"/>
      <c r="J540" s="1"/>
      <c r="K540" s="1"/>
      <c r="L540" s="1"/>
      <c r="M540" s="5"/>
      <c r="N540" s="5"/>
      <c r="O540" s="5"/>
      <c r="P540" s="5"/>
      <c r="Q540" s="1"/>
      <c r="R540" s="1"/>
      <c r="S540" s="1"/>
      <c r="T540" s="1"/>
      <c r="U540" s="1"/>
      <c r="V540" s="1"/>
      <c r="W540" s="1"/>
      <c r="X540" s="1"/>
      <c r="Y540" s="1"/>
      <c r="Z540" s="1"/>
      <c r="AA540" s="1"/>
      <c r="AB540" s="1"/>
      <c r="AC540" s="1"/>
    </row>
    <row r="541" spans="1:29" ht="14.25" customHeight="1" x14ac:dyDescent="0.2">
      <c r="A541" s="1"/>
      <c r="B541" s="1"/>
      <c r="C541" s="1"/>
      <c r="D541" s="1"/>
      <c r="E541" s="1"/>
      <c r="F541" s="1"/>
      <c r="G541" s="1"/>
      <c r="H541" s="1"/>
      <c r="I541" s="1"/>
      <c r="J541" s="1"/>
      <c r="K541" s="1"/>
      <c r="L541" s="1"/>
      <c r="M541" s="5"/>
      <c r="N541" s="5"/>
      <c r="O541" s="5"/>
      <c r="P541" s="5"/>
      <c r="Q541" s="1"/>
      <c r="R541" s="1"/>
      <c r="S541" s="1"/>
      <c r="T541" s="1"/>
      <c r="U541" s="1"/>
      <c r="V541" s="1"/>
      <c r="W541" s="1"/>
      <c r="X541" s="1"/>
      <c r="Y541" s="1"/>
      <c r="Z541" s="1"/>
      <c r="AA541" s="1"/>
      <c r="AB541" s="1"/>
      <c r="AC541" s="1"/>
    </row>
    <row r="542" spans="1:29" ht="14.25" customHeight="1" x14ac:dyDescent="0.2">
      <c r="A542" s="1"/>
      <c r="B542" s="1"/>
      <c r="C542" s="1"/>
      <c r="D542" s="1"/>
      <c r="E542" s="1"/>
      <c r="F542" s="1"/>
      <c r="G542" s="1"/>
      <c r="H542" s="1"/>
      <c r="I542" s="1"/>
      <c r="J542" s="1"/>
      <c r="K542" s="1"/>
      <c r="L542" s="1"/>
      <c r="M542" s="5"/>
      <c r="N542" s="5"/>
      <c r="O542" s="5"/>
      <c r="P542" s="5"/>
      <c r="Q542" s="1"/>
      <c r="R542" s="1"/>
      <c r="S542" s="1"/>
      <c r="T542" s="1"/>
      <c r="U542" s="1"/>
      <c r="V542" s="1"/>
      <c r="W542" s="1"/>
      <c r="X542" s="1"/>
      <c r="Y542" s="1"/>
      <c r="Z542" s="1"/>
      <c r="AA542" s="1"/>
      <c r="AB542" s="1"/>
      <c r="AC542" s="1"/>
    </row>
    <row r="543" spans="1:29" ht="14.25" customHeight="1" x14ac:dyDescent="0.2">
      <c r="A543" s="1"/>
      <c r="B543" s="1"/>
      <c r="C543" s="1"/>
      <c r="D543" s="1"/>
      <c r="E543" s="1"/>
      <c r="F543" s="1"/>
      <c r="G543" s="1"/>
      <c r="H543" s="1"/>
      <c r="I543" s="1"/>
      <c r="J543" s="1"/>
      <c r="K543" s="1"/>
      <c r="L543" s="1"/>
      <c r="M543" s="5"/>
      <c r="N543" s="5"/>
      <c r="O543" s="5"/>
      <c r="P543" s="5"/>
      <c r="Q543" s="1"/>
      <c r="R543" s="1"/>
      <c r="S543" s="1"/>
      <c r="T543" s="1"/>
      <c r="U543" s="1"/>
      <c r="V543" s="1"/>
      <c r="W543" s="1"/>
      <c r="X543" s="1"/>
      <c r="Y543" s="1"/>
      <c r="Z543" s="1"/>
      <c r="AA543" s="1"/>
      <c r="AB543" s="1"/>
      <c r="AC543" s="1"/>
    </row>
    <row r="544" spans="1:29" ht="14.25" customHeight="1" x14ac:dyDescent="0.2">
      <c r="A544" s="1"/>
      <c r="B544" s="1"/>
      <c r="C544" s="1"/>
      <c r="D544" s="1"/>
      <c r="E544" s="1"/>
      <c r="F544" s="1"/>
      <c r="G544" s="1"/>
      <c r="H544" s="1"/>
      <c r="I544" s="1"/>
      <c r="J544" s="1"/>
      <c r="K544" s="1"/>
      <c r="L544" s="1"/>
      <c r="M544" s="5"/>
      <c r="N544" s="5"/>
      <c r="O544" s="5"/>
      <c r="P544" s="5"/>
      <c r="Q544" s="1"/>
      <c r="R544" s="1"/>
      <c r="S544" s="1"/>
      <c r="T544" s="1"/>
      <c r="U544" s="1"/>
      <c r="V544" s="1"/>
      <c r="W544" s="1"/>
      <c r="X544" s="1"/>
      <c r="Y544" s="1"/>
      <c r="Z544" s="1"/>
      <c r="AA544" s="1"/>
      <c r="AB544" s="1"/>
      <c r="AC544" s="1"/>
    </row>
    <row r="545" spans="1:29" ht="14.25" customHeight="1" x14ac:dyDescent="0.2">
      <c r="A545" s="1"/>
      <c r="B545" s="1"/>
      <c r="C545" s="1"/>
      <c r="D545" s="1"/>
      <c r="E545" s="1"/>
      <c r="F545" s="1"/>
      <c r="G545" s="1"/>
      <c r="H545" s="1"/>
      <c r="I545" s="1"/>
      <c r="J545" s="1"/>
      <c r="K545" s="1"/>
      <c r="L545" s="1"/>
      <c r="M545" s="5"/>
      <c r="N545" s="5"/>
      <c r="O545" s="5"/>
      <c r="P545" s="5"/>
      <c r="Q545" s="1"/>
      <c r="R545" s="1"/>
      <c r="S545" s="1"/>
      <c r="T545" s="1"/>
      <c r="U545" s="1"/>
      <c r="V545" s="1"/>
      <c r="W545" s="1"/>
      <c r="X545" s="1"/>
      <c r="Y545" s="1"/>
      <c r="Z545" s="1"/>
      <c r="AA545" s="1"/>
      <c r="AB545" s="1"/>
      <c r="AC545" s="1"/>
    </row>
    <row r="546" spans="1:29" ht="14.25" customHeight="1" x14ac:dyDescent="0.2">
      <c r="A546" s="1"/>
      <c r="B546" s="1"/>
      <c r="C546" s="1"/>
      <c r="D546" s="1"/>
      <c r="E546" s="1"/>
      <c r="F546" s="1"/>
      <c r="G546" s="1"/>
      <c r="H546" s="1"/>
      <c r="I546" s="1"/>
      <c r="J546" s="1"/>
      <c r="K546" s="1"/>
      <c r="L546" s="1"/>
      <c r="M546" s="5"/>
      <c r="N546" s="5"/>
      <c r="O546" s="5"/>
      <c r="P546" s="5"/>
      <c r="Q546" s="1"/>
      <c r="R546" s="1"/>
      <c r="S546" s="1"/>
      <c r="T546" s="1"/>
      <c r="U546" s="1"/>
      <c r="V546" s="1"/>
      <c r="W546" s="1"/>
      <c r="X546" s="1"/>
      <c r="Y546" s="1"/>
      <c r="Z546" s="1"/>
      <c r="AA546" s="1"/>
      <c r="AB546" s="1"/>
      <c r="AC546" s="1"/>
    </row>
    <row r="547" spans="1:29" ht="14.25" customHeight="1" x14ac:dyDescent="0.2">
      <c r="A547" s="1"/>
      <c r="B547" s="1"/>
      <c r="C547" s="1"/>
      <c r="D547" s="1"/>
      <c r="E547" s="1"/>
      <c r="F547" s="1"/>
      <c r="G547" s="1"/>
      <c r="H547" s="1"/>
      <c r="I547" s="1"/>
      <c r="J547" s="1"/>
      <c r="K547" s="1"/>
      <c r="L547" s="1"/>
      <c r="M547" s="5"/>
      <c r="N547" s="5"/>
      <c r="O547" s="5"/>
      <c r="P547" s="5"/>
      <c r="Q547" s="1"/>
      <c r="R547" s="1"/>
      <c r="S547" s="1"/>
      <c r="T547" s="1"/>
      <c r="U547" s="1"/>
      <c r="V547" s="1"/>
      <c r="W547" s="1"/>
      <c r="X547" s="1"/>
      <c r="Y547" s="1"/>
      <c r="Z547" s="1"/>
      <c r="AA547" s="1"/>
      <c r="AB547" s="1"/>
      <c r="AC547" s="1"/>
    </row>
    <row r="548" spans="1:29" ht="14.25" customHeight="1" x14ac:dyDescent="0.2">
      <c r="A548" s="1"/>
      <c r="B548" s="1"/>
      <c r="C548" s="1"/>
      <c r="D548" s="1"/>
      <c r="E548" s="1"/>
      <c r="F548" s="1"/>
      <c r="G548" s="1"/>
      <c r="H548" s="1"/>
      <c r="I548" s="1"/>
      <c r="J548" s="1"/>
      <c r="K548" s="1"/>
      <c r="L548" s="1"/>
      <c r="M548" s="5"/>
      <c r="N548" s="5"/>
      <c r="O548" s="5"/>
      <c r="P548" s="5"/>
      <c r="Q548" s="1"/>
      <c r="R548" s="1"/>
      <c r="S548" s="1"/>
      <c r="T548" s="1"/>
      <c r="U548" s="1"/>
      <c r="V548" s="1"/>
      <c r="W548" s="1"/>
      <c r="X548" s="1"/>
      <c r="Y548" s="1"/>
      <c r="Z548" s="1"/>
      <c r="AA548" s="1"/>
      <c r="AB548" s="1"/>
      <c r="AC548" s="1"/>
    </row>
    <row r="549" spans="1:29" ht="14.25" customHeight="1" x14ac:dyDescent="0.2">
      <c r="A549" s="1"/>
      <c r="B549" s="1"/>
      <c r="C549" s="1"/>
      <c r="D549" s="1"/>
      <c r="E549" s="1"/>
      <c r="F549" s="1"/>
      <c r="G549" s="1"/>
      <c r="H549" s="1"/>
      <c r="I549" s="1"/>
      <c r="J549" s="1"/>
      <c r="K549" s="1"/>
      <c r="L549" s="1"/>
      <c r="M549" s="5"/>
      <c r="N549" s="5"/>
      <c r="O549" s="5"/>
      <c r="P549" s="5"/>
      <c r="Q549" s="1"/>
      <c r="R549" s="1"/>
      <c r="S549" s="1"/>
      <c r="T549" s="1"/>
      <c r="U549" s="1"/>
      <c r="V549" s="1"/>
      <c r="W549" s="1"/>
      <c r="X549" s="1"/>
      <c r="Y549" s="1"/>
      <c r="Z549" s="1"/>
      <c r="AA549" s="1"/>
      <c r="AB549" s="1"/>
      <c r="AC549" s="1"/>
    </row>
    <row r="550" spans="1:29" ht="14.25" customHeight="1" x14ac:dyDescent="0.2">
      <c r="A550" s="1"/>
      <c r="B550" s="1"/>
      <c r="C550" s="1"/>
      <c r="D550" s="1"/>
      <c r="E550" s="1"/>
      <c r="F550" s="1"/>
      <c r="G550" s="1"/>
      <c r="H550" s="1"/>
      <c r="I550" s="1"/>
      <c r="J550" s="1"/>
      <c r="K550" s="1"/>
      <c r="L550" s="1"/>
      <c r="M550" s="5"/>
      <c r="N550" s="5"/>
      <c r="O550" s="5"/>
      <c r="P550" s="5"/>
      <c r="Q550" s="1"/>
      <c r="R550" s="1"/>
      <c r="S550" s="1"/>
      <c r="T550" s="1"/>
      <c r="U550" s="1"/>
      <c r="V550" s="1"/>
      <c r="W550" s="1"/>
      <c r="X550" s="1"/>
      <c r="Y550" s="1"/>
      <c r="Z550" s="1"/>
      <c r="AA550" s="1"/>
      <c r="AB550" s="1"/>
      <c r="AC550" s="1"/>
    </row>
    <row r="551" spans="1:29" ht="14.25" customHeight="1" x14ac:dyDescent="0.2">
      <c r="A551" s="1"/>
      <c r="B551" s="1"/>
      <c r="C551" s="1"/>
      <c r="D551" s="1"/>
      <c r="E551" s="1"/>
      <c r="F551" s="1"/>
      <c r="G551" s="1"/>
      <c r="H551" s="1"/>
      <c r="I551" s="1"/>
      <c r="J551" s="1"/>
      <c r="K551" s="1"/>
      <c r="L551" s="1"/>
      <c r="M551" s="5"/>
      <c r="N551" s="5"/>
      <c r="O551" s="5"/>
      <c r="P551" s="5"/>
      <c r="Q551" s="1"/>
      <c r="R551" s="1"/>
      <c r="S551" s="1"/>
      <c r="T551" s="1"/>
      <c r="U551" s="1"/>
      <c r="V551" s="1"/>
      <c r="W551" s="1"/>
      <c r="X551" s="1"/>
      <c r="Y551" s="1"/>
      <c r="Z551" s="1"/>
      <c r="AA551" s="1"/>
      <c r="AB551" s="1"/>
      <c r="AC551" s="1"/>
    </row>
    <row r="552" spans="1:29" ht="14.25" customHeight="1" x14ac:dyDescent="0.2">
      <c r="A552" s="1"/>
      <c r="B552" s="1"/>
      <c r="C552" s="1"/>
      <c r="D552" s="1"/>
      <c r="E552" s="1"/>
      <c r="F552" s="1"/>
      <c r="G552" s="1"/>
      <c r="H552" s="1"/>
      <c r="I552" s="1"/>
      <c r="J552" s="1"/>
      <c r="K552" s="1"/>
      <c r="L552" s="1"/>
      <c r="M552" s="5"/>
      <c r="N552" s="5"/>
      <c r="O552" s="5"/>
      <c r="P552" s="5"/>
      <c r="Q552" s="1"/>
      <c r="R552" s="1"/>
      <c r="S552" s="1"/>
      <c r="T552" s="1"/>
      <c r="U552" s="1"/>
      <c r="V552" s="1"/>
      <c r="W552" s="1"/>
      <c r="X552" s="1"/>
      <c r="Y552" s="1"/>
      <c r="Z552" s="1"/>
      <c r="AA552" s="1"/>
      <c r="AB552" s="1"/>
      <c r="AC552" s="1"/>
    </row>
    <row r="553" spans="1:29" ht="14.25" customHeight="1" x14ac:dyDescent="0.2">
      <c r="A553" s="1"/>
      <c r="B553" s="1"/>
      <c r="C553" s="1"/>
      <c r="D553" s="1"/>
      <c r="E553" s="1"/>
      <c r="F553" s="1"/>
      <c r="G553" s="1"/>
      <c r="H553" s="1"/>
      <c r="I553" s="1"/>
      <c r="J553" s="1"/>
      <c r="K553" s="1"/>
      <c r="L553" s="1"/>
      <c r="M553" s="5"/>
      <c r="N553" s="5"/>
      <c r="O553" s="5"/>
      <c r="P553" s="5"/>
      <c r="Q553" s="1"/>
      <c r="R553" s="1"/>
      <c r="S553" s="1"/>
      <c r="T553" s="1"/>
      <c r="U553" s="1"/>
      <c r="V553" s="1"/>
      <c r="W553" s="1"/>
      <c r="X553" s="1"/>
      <c r="Y553" s="1"/>
      <c r="Z553" s="1"/>
      <c r="AA553" s="1"/>
      <c r="AB553" s="1"/>
      <c r="AC553" s="1"/>
    </row>
    <row r="554" spans="1:29" ht="14.25" customHeight="1" x14ac:dyDescent="0.2">
      <c r="A554" s="1"/>
      <c r="B554" s="1"/>
      <c r="C554" s="1"/>
      <c r="D554" s="1"/>
      <c r="E554" s="1"/>
      <c r="F554" s="1"/>
      <c r="G554" s="1"/>
      <c r="H554" s="1"/>
      <c r="I554" s="1"/>
      <c r="J554" s="1"/>
      <c r="K554" s="1"/>
      <c r="L554" s="1"/>
      <c r="M554" s="5"/>
      <c r="N554" s="5"/>
      <c r="O554" s="5"/>
      <c r="P554" s="5"/>
      <c r="Q554" s="1"/>
      <c r="R554" s="1"/>
      <c r="S554" s="1"/>
      <c r="T554" s="1"/>
      <c r="U554" s="1"/>
      <c r="V554" s="1"/>
      <c r="W554" s="1"/>
      <c r="X554" s="1"/>
      <c r="Y554" s="1"/>
      <c r="Z554" s="1"/>
      <c r="AA554" s="1"/>
      <c r="AB554" s="1"/>
      <c r="AC554" s="1"/>
    </row>
    <row r="555" spans="1:29" ht="14.25" customHeight="1" x14ac:dyDescent="0.2">
      <c r="A555" s="1"/>
      <c r="B555" s="1"/>
      <c r="C555" s="1"/>
      <c r="D555" s="1"/>
      <c r="E555" s="1"/>
      <c r="F555" s="1"/>
      <c r="G555" s="1"/>
      <c r="H555" s="1"/>
      <c r="I555" s="1"/>
      <c r="J555" s="1"/>
      <c r="K555" s="1"/>
      <c r="L555" s="1"/>
      <c r="M555" s="5"/>
      <c r="N555" s="5"/>
      <c r="O555" s="5"/>
      <c r="P555" s="5"/>
      <c r="Q555" s="1"/>
      <c r="R555" s="1"/>
      <c r="S555" s="1"/>
      <c r="T555" s="1"/>
      <c r="U555" s="1"/>
      <c r="V555" s="1"/>
      <c r="W555" s="1"/>
      <c r="X555" s="1"/>
      <c r="Y555" s="1"/>
      <c r="Z555" s="1"/>
      <c r="AA555" s="1"/>
      <c r="AB555" s="1"/>
      <c r="AC555" s="1"/>
    </row>
    <row r="556" spans="1:29" ht="14.25" customHeight="1" x14ac:dyDescent="0.2">
      <c r="A556" s="1"/>
      <c r="B556" s="1"/>
      <c r="C556" s="1"/>
      <c r="D556" s="1"/>
      <c r="E556" s="1"/>
      <c r="F556" s="1"/>
      <c r="G556" s="1"/>
      <c r="H556" s="1"/>
      <c r="I556" s="1"/>
      <c r="J556" s="1"/>
      <c r="K556" s="1"/>
      <c r="L556" s="1"/>
      <c r="M556" s="5"/>
      <c r="N556" s="5"/>
      <c r="O556" s="5"/>
      <c r="P556" s="5"/>
      <c r="Q556" s="1"/>
      <c r="R556" s="1"/>
      <c r="S556" s="1"/>
      <c r="T556" s="1"/>
      <c r="U556" s="1"/>
      <c r="V556" s="1"/>
      <c r="W556" s="1"/>
      <c r="X556" s="1"/>
      <c r="Y556" s="1"/>
      <c r="Z556" s="1"/>
      <c r="AA556" s="1"/>
      <c r="AB556" s="1"/>
      <c r="AC556" s="1"/>
    </row>
    <row r="557" spans="1:29" ht="14.25" customHeight="1" x14ac:dyDescent="0.2">
      <c r="A557" s="1"/>
      <c r="B557" s="1"/>
      <c r="C557" s="1"/>
      <c r="D557" s="1"/>
      <c r="E557" s="1"/>
      <c r="F557" s="1"/>
      <c r="G557" s="1"/>
      <c r="H557" s="1"/>
      <c r="I557" s="1"/>
      <c r="J557" s="1"/>
      <c r="K557" s="1"/>
      <c r="L557" s="1"/>
      <c r="M557" s="5"/>
      <c r="N557" s="5"/>
      <c r="O557" s="5"/>
      <c r="P557" s="5"/>
      <c r="Q557" s="1"/>
      <c r="R557" s="1"/>
      <c r="S557" s="1"/>
      <c r="T557" s="1"/>
      <c r="U557" s="1"/>
      <c r="V557" s="1"/>
      <c r="W557" s="1"/>
      <c r="X557" s="1"/>
      <c r="Y557" s="1"/>
      <c r="Z557" s="1"/>
      <c r="AA557" s="1"/>
      <c r="AB557" s="1"/>
      <c r="AC557" s="1"/>
    </row>
    <row r="558" spans="1:29" ht="14.25" customHeight="1" x14ac:dyDescent="0.2">
      <c r="A558" s="1"/>
      <c r="B558" s="1"/>
      <c r="C558" s="1"/>
      <c r="D558" s="1"/>
      <c r="E558" s="1"/>
      <c r="F558" s="1"/>
      <c r="G558" s="1"/>
      <c r="H558" s="1"/>
      <c r="I558" s="1"/>
      <c r="J558" s="1"/>
      <c r="K558" s="1"/>
      <c r="L558" s="1"/>
      <c r="M558" s="5"/>
      <c r="N558" s="5"/>
      <c r="O558" s="5"/>
      <c r="P558" s="5"/>
      <c r="Q558" s="1"/>
      <c r="R558" s="1"/>
      <c r="S558" s="1"/>
      <c r="T558" s="1"/>
      <c r="U558" s="1"/>
      <c r="V558" s="1"/>
      <c r="W558" s="1"/>
      <c r="X558" s="1"/>
      <c r="Y558" s="1"/>
      <c r="Z558" s="1"/>
      <c r="AA558" s="1"/>
      <c r="AB558" s="1"/>
      <c r="AC558" s="1"/>
    </row>
    <row r="559" spans="1:29" ht="14.25" customHeight="1" x14ac:dyDescent="0.2">
      <c r="A559" s="1"/>
      <c r="B559" s="1"/>
      <c r="C559" s="1"/>
      <c r="D559" s="1"/>
      <c r="E559" s="1"/>
      <c r="F559" s="1"/>
      <c r="G559" s="1"/>
      <c r="H559" s="1"/>
      <c r="I559" s="1"/>
      <c r="J559" s="1"/>
      <c r="K559" s="1"/>
      <c r="L559" s="1"/>
      <c r="M559" s="5"/>
      <c r="N559" s="5"/>
      <c r="O559" s="5"/>
      <c r="P559" s="5"/>
      <c r="Q559" s="1"/>
      <c r="R559" s="1"/>
      <c r="S559" s="1"/>
      <c r="T559" s="1"/>
      <c r="U559" s="1"/>
      <c r="V559" s="1"/>
      <c r="W559" s="1"/>
      <c r="X559" s="1"/>
      <c r="Y559" s="1"/>
      <c r="Z559" s="1"/>
      <c r="AA559" s="1"/>
      <c r="AB559" s="1"/>
      <c r="AC559" s="1"/>
    </row>
    <row r="560" spans="1:29" ht="14.25" customHeight="1" x14ac:dyDescent="0.2">
      <c r="A560" s="1"/>
      <c r="B560" s="1"/>
      <c r="C560" s="1"/>
      <c r="D560" s="1"/>
      <c r="E560" s="1"/>
      <c r="F560" s="1"/>
      <c r="G560" s="1"/>
      <c r="H560" s="1"/>
      <c r="I560" s="1"/>
      <c r="J560" s="1"/>
      <c r="K560" s="1"/>
      <c r="L560" s="1"/>
      <c r="M560" s="5"/>
      <c r="N560" s="5"/>
      <c r="O560" s="5"/>
      <c r="P560" s="5"/>
      <c r="Q560" s="1"/>
      <c r="R560" s="1"/>
      <c r="S560" s="1"/>
      <c r="T560" s="1"/>
      <c r="U560" s="1"/>
      <c r="V560" s="1"/>
      <c r="W560" s="1"/>
      <c r="X560" s="1"/>
      <c r="Y560" s="1"/>
      <c r="Z560" s="1"/>
      <c r="AA560" s="1"/>
      <c r="AB560" s="1"/>
      <c r="AC560" s="1"/>
    </row>
    <row r="561" spans="1:29" ht="14.25" customHeight="1" x14ac:dyDescent="0.2">
      <c r="A561" s="1"/>
      <c r="B561" s="1"/>
      <c r="C561" s="1"/>
      <c r="D561" s="1"/>
      <c r="E561" s="1"/>
      <c r="F561" s="1"/>
      <c r="G561" s="1"/>
      <c r="H561" s="1"/>
      <c r="I561" s="1"/>
      <c r="J561" s="1"/>
      <c r="K561" s="1"/>
      <c r="L561" s="1"/>
      <c r="M561" s="5"/>
      <c r="N561" s="5"/>
      <c r="O561" s="5"/>
      <c r="P561" s="5"/>
      <c r="Q561" s="1"/>
      <c r="R561" s="1"/>
      <c r="S561" s="1"/>
      <c r="T561" s="1"/>
      <c r="U561" s="1"/>
      <c r="V561" s="1"/>
      <c r="W561" s="1"/>
      <c r="X561" s="1"/>
      <c r="Y561" s="1"/>
      <c r="Z561" s="1"/>
      <c r="AA561" s="1"/>
      <c r="AB561" s="1"/>
      <c r="AC561" s="1"/>
    </row>
    <row r="562" spans="1:29" ht="14.25" customHeight="1" x14ac:dyDescent="0.2">
      <c r="A562" s="1"/>
      <c r="B562" s="1"/>
      <c r="C562" s="1"/>
      <c r="D562" s="1"/>
      <c r="E562" s="1"/>
      <c r="F562" s="1"/>
      <c r="G562" s="1"/>
      <c r="H562" s="1"/>
      <c r="I562" s="1"/>
      <c r="J562" s="1"/>
      <c r="K562" s="1"/>
      <c r="L562" s="1"/>
      <c r="M562" s="5"/>
      <c r="N562" s="5"/>
      <c r="O562" s="5"/>
      <c r="P562" s="5"/>
      <c r="Q562" s="1"/>
      <c r="R562" s="1"/>
      <c r="S562" s="1"/>
      <c r="T562" s="1"/>
      <c r="U562" s="1"/>
      <c r="V562" s="1"/>
      <c r="W562" s="1"/>
      <c r="X562" s="1"/>
      <c r="Y562" s="1"/>
      <c r="Z562" s="1"/>
      <c r="AA562" s="1"/>
      <c r="AB562" s="1"/>
      <c r="AC562" s="1"/>
    </row>
    <row r="563" spans="1:29" ht="14.25" customHeight="1" x14ac:dyDescent="0.2">
      <c r="A563" s="1"/>
      <c r="B563" s="1"/>
      <c r="C563" s="1"/>
      <c r="D563" s="1"/>
      <c r="E563" s="1"/>
      <c r="F563" s="1"/>
      <c r="G563" s="1"/>
      <c r="H563" s="1"/>
      <c r="I563" s="1"/>
      <c r="J563" s="1"/>
      <c r="K563" s="1"/>
      <c r="L563" s="1"/>
      <c r="M563" s="5"/>
      <c r="N563" s="5"/>
      <c r="O563" s="5"/>
      <c r="P563" s="5"/>
      <c r="Q563" s="1"/>
      <c r="R563" s="1"/>
      <c r="S563" s="1"/>
      <c r="T563" s="1"/>
      <c r="U563" s="1"/>
      <c r="V563" s="1"/>
      <c r="W563" s="1"/>
      <c r="X563" s="1"/>
      <c r="Y563" s="1"/>
      <c r="Z563" s="1"/>
      <c r="AA563" s="1"/>
      <c r="AB563" s="1"/>
      <c r="AC563" s="1"/>
    </row>
    <row r="564" spans="1:29" ht="14.25" customHeight="1" x14ac:dyDescent="0.2">
      <c r="A564" s="1"/>
      <c r="B564" s="1"/>
      <c r="C564" s="1"/>
      <c r="D564" s="1"/>
      <c r="E564" s="1"/>
      <c r="F564" s="1"/>
      <c r="G564" s="1"/>
      <c r="H564" s="1"/>
      <c r="I564" s="1"/>
      <c r="J564" s="1"/>
      <c r="K564" s="1"/>
      <c r="L564" s="1"/>
      <c r="M564" s="5"/>
      <c r="N564" s="5"/>
      <c r="O564" s="5"/>
      <c r="P564" s="5"/>
      <c r="Q564" s="1"/>
      <c r="R564" s="1"/>
      <c r="S564" s="1"/>
      <c r="T564" s="1"/>
      <c r="U564" s="1"/>
      <c r="V564" s="1"/>
      <c r="W564" s="1"/>
      <c r="X564" s="1"/>
      <c r="Y564" s="1"/>
      <c r="Z564" s="1"/>
      <c r="AA564" s="1"/>
      <c r="AB564" s="1"/>
      <c r="AC564" s="1"/>
    </row>
    <row r="565" spans="1:29" ht="14.25" customHeight="1" x14ac:dyDescent="0.2">
      <c r="A565" s="1"/>
      <c r="B565" s="1"/>
      <c r="C565" s="1"/>
      <c r="D565" s="1"/>
      <c r="E565" s="1"/>
      <c r="F565" s="1"/>
      <c r="G565" s="1"/>
      <c r="H565" s="1"/>
      <c r="I565" s="1"/>
      <c r="J565" s="1"/>
      <c r="K565" s="1"/>
      <c r="L565" s="1"/>
      <c r="M565" s="5"/>
      <c r="N565" s="5"/>
      <c r="O565" s="5"/>
      <c r="P565" s="5"/>
      <c r="Q565" s="1"/>
      <c r="R565" s="1"/>
      <c r="S565" s="1"/>
      <c r="T565" s="1"/>
      <c r="U565" s="1"/>
      <c r="V565" s="1"/>
      <c r="W565" s="1"/>
      <c r="X565" s="1"/>
      <c r="Y565" s="1"/>
      <c r="Z565" s="1"/>
      <c r="AA565" s="1"/>
      <c r="AB565" s="1"/>
      <c r="AC565" s="1"/>
    </row>
    <row r="566" spans="1:29" ht="14.25" customHeight="1" x14ac:dyDescent="0.2">
      <c r="A566" s="1"/>
      <c r="B566" s="1"/>
      <c r="C566" s="1"/>
      <c r="D566" s="1"/>
      <c r="E566" s="1"/>
      <c r="F566" s="1"/>
      <c r="G566" s="1"/>
      <c r="H566" s="1"/>
      <c r="I566" s="1"/>
      <c r="J566" s="1"/>
      <c r="K566" s="1"/>
      <c r="L566" s="1"/>
      <c r="M566" s="5"/>
      <c r="N566" s="5"/>
      <c r="O566" s="5"/>
      <c r="P566" s="5"/>
      <c r="Q566" s="1"/>
      <c r="R566" s="1"/>
      <c r="S566" s="1"/>
      <c r="T566" s="1"/>
      <c r="U566" s="1"/>
      <c r="V566" s="1"/>
      <c r="W566" s="1"/>
      <c r="X566" s="1"/>
      <c r="Y566" s="1"/>
      <c r="Z566" s="1"/>
      <c r="AA566" s="1"/>
      <c r="AB566" s="1"/>
      <c r="AC566" s="1"/>
    </row>
    <row r="567" spans="1:29" ht="14.25" customHeight="1" x14ac:dyDescent="0.2">
      <c r="A567" s="1"/>
      <c r="B567" s="1"/>
      <c r="C567" s="1"/>
      <c r="D567" s="1"/>
      <c r="E567" s="1"/>
      <c r="F567" s="1"/>
      <c r="G567" s="1"/>
      <c r="H567" s="1"/>
      <c r="I567" s="1"/>
      <c r="J567" s="1"/>
      <c r="K567" s="1"/>
      <c r="L567" s="1"/>
      <c r="M567" s="5"/>
      <c r="N567" s="5"/>
      <c r="O567" s="5"/>
      <c r="P567" s="5"/>
      <c r="Q567" s="1"/>
      <c r="R567" s="1"/>
      <c r="S567" s="1"/>
      <c r="T567" s="1"/>
      <c r="U567" s="1"/>
      <c r="V567" s="1"/>
      <c r="W567" s="1"/>
      <c r="X567" s="1"/>
      <c r="Y567" s="1"/>
      <c r="Z567" s="1"/>
      <c r="AA567" s="1"/>
      <c r="AB567" s="1"/>
      <c r="AC567" s="1"/>
    </row>
    <row r="568" spans="1:29" ht="14.25" customHeight="1" x14ac:dyDescent="0.2">
      <c r="A568" s="1"/>
      <c r="B568" s="1"/>
      <c r="C568" s="1"/>
      <c r="D568" s="1"/>
      <c r="E568" s="1"/>
      <c r="F568" s="1"/>
      <c r="G568" s="1"/>
      <c r="H568" s="1"/>
      <c r="I568" s="1"/>
      <c r="J568" s="1"/>
      <c r="K568" s="1"/>
      <c r="L568" s="1"/>
      <c r="M568" s="5"/>
      <c r="N568" s="5"/>
      <c r="O568" s="5"/>
      <c r="P568" s="5"/>
      <c r="Q568" s="1"/>
      <c r="R568" s="1"/>
      <c r="S568" s="1"/>
      <c r="T568" s="1"/>
      <c r="U568" s="1"/>
      <c r="V568" s="1"/>
      <c r="W568" s="1"/>
      <c r="X568" s="1"/>
      <c r="Y568" s="1"/>
      <c r="Z568" s="1"/>
      <c r="AA568" s="1"/>
      <c r="AB568" s="1"/>
      <c r="AC568" s="1"/>
    </row>
    <row r="569" spans="1:29" ht="14.25" customHeight="1" x14ac:dyDescent="0.2">
      <c r="A569" s="1"/>
      <c r="B569" s="1"/>
      <c r="C569" s="1"/>
      <c r="D569" s="1"/>
      <c r="E569" s="1"/>
      <c r="F569" s="1"/>
      <c r="G569" s="1"/>
      <c r="H569" s="1"/>
      <c r="I569" s="1"/>
      <c r="J569" s="1"/>
      <c r="K569" s="1"/>
      <c r="L569" s="1"/>
      <c r="M569" s="5"/>
      <c r="N569" s="5"/>
      <c r="O569" s="5"/>
      <c r="P569" s="5"/>
      <c r="Q569" s="1"/>
      <c r="R569" s="1"/>
      <c r="S569" s="1"/>
      <c r="T569" s="1"/>
      <c r="U569" s="1"/>
      <c r="V569" s="1"/>
      <c r="W569" s="1"/>
      <c r="X569" s="1"/>
      <c r="Y569" s="1"/>
      <c r="Z569" s="1"/>
      <c r="AA569" s="1"/>
      <c r="AB569" s="1"/>
      <c r="AC569" s="1"/>
    </row>
    <row r="570" spans="1:29" ht="14.25" customHeight="1" x14ac:dyDescent="0.2">
      <c r="A570" s="1"/>
      <c r="B570" s="1"/>
      <c r="C570" s="1"/>
      <c r="D570" s="1"/>
      <c r="E570" s="1"/>
      <c r="F570" s="1"/>
      <c r="G570" s="1"/>
      <c r="H570" s="1"/>
      <c r="I570" s="1"/>
      <c r="J570" s="1"/>
      <c r="K570" s="1"/>
      <c r="L570" s="1"/>
      <c r="M570" s="5"/>
      <c r="N570" s="5"/>
      <c r="O570" s="5"/>
      <c r="P570" s="5"/>
      <c r="Q570" s="1"/>
      <c r="R570" s="1"/>
      <c r="S570" s="1"/>
      <c r="T570" s="1"/>
      <c r="U570" s="1"/>
      <c r="V570" s="1"/>
      <c r="W570" s="1"/>
      <c r="X570" s="1"/>
      <c r="Y570" s="1"/>
      <c r="Z570" s="1"/>
      <c r="AA570" s="1"/>
      <c r="AB570" s="1"/>
      <c r="AC570" s="1"/>
    </row>
    <row r="571" spans="1:29" ht="14.25" customHeight="1" x14ac:dyDescent="0.2">
      <c r="A571" s="1"/>
      <c r="B571" s="1"/>
      <c r="C571" s="1"/>
      <c r="D571" s="1"/>
      <c r="E571" s="1"/>
      <c r="F571" s="1"/>
      <c r="G571" s="1"/>
      <c r="H571" s="1"/>
      <c r="I571" s="1"/>
      <c r="J571" s="1"/>
      <c r="K571" s="1"/>
      <c r="L571" s="1"/>
      <c r="M571" s="5"/>
      <c r="N571" s="5"/>
      <c r="O571" s="5"/>
      <c r="P571" s="5"/>
      <c r="Q571" s="1"/>
      <c r="R571" s="1"/>
      <c r="S571" s="1"/>
      <c r="T571" s="1"/>
      <c r="U571" s="1"/>
      <c r="V571" s="1"/>
      <c r="W571" s="1"/>
      <c r="X571" s="1"/>
      <c r="Y571" s="1"/>
      <c r="Z571" s="1"/>
      <c r="AA571" s="1"/>
      <c r="AB571" s="1"/>
      <c r="AC571" s="1"/>
    </row>
    <row r="572" spans="1:29" ht="14.25" customHeight="1" x14ac:dyDescent="0.2">
      <c r="A572" s="1"/>
      <c r="B572" s="1"/>
      <c r="C572" s="1"/>
      <c r="D572" s="1"/>
      <c r="E572" s="1"/>
      <c r="F572" s="1"/>
      <c r="G572" s="1"/>
      <c r="H572" s="1"/>
      <c r="I572" s="1"/>
      <c r="J572" s="1"/>
      <c r="K572" s="1"/>
      <c r="L572" s="1"/>
      <c r="M572" s="5"/>
      <c r="N572" s="5"/>
      <c r="O572" s="5"/>
      <c r="P572" s="5"/>
      <c r="Q572" s="1"/>
      <c r="R572" s="1"/>
      <c r="S572" s="1"/>
      <c r="T572" s="1"/>
      <c r="U572" s="1"/>
      <c r="V572" s="1"/>
      <c r="W572" s="1"/>
      <c r="X572" s="1"/>
      <c r="Y572" s="1"/>
      <c r="Z572" s="1"/>
      <c r="AA572" s="1"/>
      <c r="AB572" s="1"/>
      <c r="AC572" s="1"/>
    </row>
    <row r="573" spans="1:29" ht="14.25" customHeight="1" x14ac:dyDescent="0.2">
      <c r="A573" s="1"/>
      <c r="B573" s="1"/>
      <c r="C573" s="1"/>
      <c r="D573" s="1"/>
      <c r="E573" s="1"/>
      <c r="F573" s="1"/>
      <c r="G573" s="1"/>
      <c r="H573" s="1"/>
      <c r="I573" s="1"/>
      <c r="J573" s="1"/>
      <c r="K573" s="1"/>
      <c r="L573" s="1"/>
      <c r="M573" s="5"/>
      <c r="N573" s="5"/>
      <c r="O573" s="5"/>
      <c r="P573" s="5"/>
      <c r="Q573" s="1"/>
      <c r="R573" s="1"/>
      <c r="S573" s="1"/>
      <c r="T573" s="1"/>
      <c r="U573" s="1"/>
      <c r="V573" s="1"/>
      <c r="W573" s="1"/>
      <c r="X573" s="1"/>
      <c r="Y573" s="1"/>
      <c r="Z573" s="1"/>
      <c r="AA573" s="1"/>
      <c r="AB573" s="1"/>
      <c r="AC573" s="1"/>
    </row>
    <row r="574" spans="1:29" ht="14.25" customHeight="1" x14ac:dyDescent="0.2">
      <c r="A574" s="1"/>
      <c r="B574" s="1"/>
      <c r="C574" s="1"/>
      <c r="D574" s="1"/>
      <c r="E574" s="1"/>
      <c r="F574" s="1"/>
      <c r="G574" s="1"/>
      <c r="H574" s="1"/>
      <c r="I574" s="1"/>
      <c r="J574" s="1"/>
      <c r="K574" s="1"/>
      <c r="L574" s="1"/>
      <c r="M574" s="5"/>
      <c r="N574" s="5"/>
      <c r="O574" s="5"/>
      <c r="P574" s="5"/>
      <c r="Q574" s="1"/>
      <c r="R574" s="1"/>
      <c r="S574" s="1"/>
      <c r="T574" s="1"/>
      <c r="U574" s="1"/>
      <c r="V574" s="1"/>
      <c r="W574" s="1"/>
      <c r="X574" s="1"/>
      <c r="Y574" s="1"/>
      <c r="Z574" s="1"/>
      <c r="AA574" s="1"/>
      <c r="AB574" s="1"/>
      <c r="AC574" s="1"/>
    </row>
    <row r="575" spans="1:29" ht="14.25" customHeight="1" x14ac:dyDescent="0.2">
      <c r="A575" s="1"/>
      <c r="B575" s="1"/>
      <c r="C575" s="1"/>
      <c r="D575" s="1"/>
      <c r="E575" s="1"/>
      <c r="F575" s="1"/>
      <c r="G575" s="1"/>
      <c r="H575" s="1"/>
      <c r="I575" s="1"/>
      <c r="J575" s="1"/>
      <c r="K575" s="1"/>
      <c r="L575" s="1"/>
      <c r="M575" s="5"/>
      <c r="N575" s="5"/>
      <c r="O575" s="5"/>
      <c r="P575" s="5"/>
      <c r="Q575" s="1"/>
      <c r="R575" s="1"/>
      <c r="S575" s="1"/>
      <c r="T575" s="1"/>
      <c r="U575" s="1"/>
      <c r="V575" s="1"/>
      <c r="W575" s="1"/>
      <c r="X575" s="1"/>
      <c r="Y575" s="1"/>
      <c r="Z575" s="1"/>
      <c r="AA575" s="1"/>
      <c r="AB575" s="1"/>
      <c r="AC575" s="1"/>
    </row>
    <row r="576" spans="1:29" ht="14.25" customHeight="1" x14ac:dyDescent="0.2">
      <c r="A576" s="1"/>
      <c r="B576" s="1"/>
      <c r="C576" s="1"/>
      <c r="D576" s="1"/>
      <c r="E576" s="1"/>
      <c r="F576" s="1"/>
      <c r="G576" s="1"/>
      <c r="H576" s="1"/>
      <c r="I576" s="1"/>
      <c r="J576" s="1"/>
      <c r="K576" s="1"/>
      <c r="L576" s="1"/>
      <c r="M576" s="5"/>
      <c r="N576" s="5"/>
      <c r="O576" s="5"/>
      <c r="P576" s="5"/>
      <c r="Q576" s="1"/>
      <c r="R576" s="1"/>
      <c r="S576" s="1"/>
      <c r="T576" s="1"/>
      <c r="U576" s="1"/>
      <c r="V576" s="1"/>
      <c r="W576" s="1"/>
      <c r="X576" s="1"/>
      <c r="Y576" s="1"/>
      <c r="Z576" s="1"/>
      <c r="AA576" s="1"/>
      <c r="AB576" s="1"/>
      <c r="AC576" s="1"/>
    </row>
    <row r="577" spans="1:29" ht="14.25" customHeight="1" x14ac:dyDescent="0.2">
      <c r="A577" s="1"/>
      <c r="B577" s="1"/>
      <c r="C577" s="1"/>
      <c r="D577" s="1"/>
      <c r="E577" s="1"/>
      <c r="F577" s="1"/>
      <c r="G577" s="1"/>
      <c r="H577" s="1"/>
      <c r="I577" s="1"/>
      <c r="J577" s="1"/>
      <c r="K577" s="1"/>
      <c r="L577" s="1"/>
      <c r="M577" s="5"/>
      <c r="N577" s="5"/>
      <c r="O577" s="5"/>
      <c r="P577" s="5"/>
      <c r="Q577" s="1"/>
      <c r="R577" s="1"/>
      <c r="S577" s="1"/>
      <c r="T577" s="1"/>
      <c r="U577" s="1"/>
      <c r="V577" s="1"/>
      <c r="W577" s="1"/>
      <c r="X577" s="1"/>
      <c r="Y577" s="1"/>
      <c r="Z577" s="1"/>
      <c r="AA577" s="1"/>
      <c r="AB577" s="1"/>
      <c r="AC577" s="1"/>
    </row>
    <row r="578" spans="1:29" ht="14.25" customHeight="1" x14ac:dyDescent="0.2">
      <c r="A578" s="1"/>
      <c r="B578" s="1"/>
      <c r="C578" s="1"/>
      <c r="D578" s="1"/>
      <c r="E578" s="1"/>
      <c r="F578" s="1"/>
      <c r="G578" s="1"/>
      <c r="H578" s="1"/>
      <c r="I578" s="1"/>
      <c r="J578" s="1"/>
      <c r="K578" s="1"/>
      <c r="L578" s="1"/>
      <c r="M578" s="5"/>
      <c r="N578" s="5"/>
      <c r="O578" s="5"/>
      <c r="P578" s="5"/>
      <c r="Q578" s="1"/>
      <c r="R578" s="1"/>
      <c r="S578" s="1"/>
      <c r="T578" s="1"/>
      <c r="U578" s="1"/>
      <c r="V578" s="1"/>
      <c r="W578" s="1"/>
      <c r="X578" s="1"/>
      <c r="Y578" s="1"/>
      <c r="Z578" s="1"/>
      <c r="AA578" s="1"/>
      <c r="AB578" s="1"/>
      <c r="AC578" s="1"/>
    </row>
    <row r="579" spans="1:29" ht="14.25" customHeight="1" x14ac:dyDescent="0.2">
      <c r="A579" s="1"/>
      <c r="B579" s="1"/>
      <c r="C579" s="1"/>
      <c r="D579" s="1"/>
      <c r="E579" s="1"/>
      <c r="F579" s="1"/>
      <c r="G579" s="1"/>
      <c r="H579" s="1"/>
      <c r="I579" s="1"/>
      <c r="J579" s="1"/>
      <c r="K579" s="1"/>
      <c r="L579" s="1"/>
      <c r="M579" s="5"/>
      <c r="N579" s="5"/>
      <c r="O579" s="5"/>
      <c r="P579" s="5"/>
      <c r="Q579" s="1"/>
      <c r="R579" s="1"/>
      <c r="S579" s="1"/>
      <c r="T579" s="1"/>
      <c r="U579" s="1"/>
      <c r="V579" s="1"/>
      <c r="W579" s="1"/>
      <c r="X579" s="1"/>
      <c r="Y579" s="1"/>
      <c r="Z579" s="1"/>
      <c r="AA579" s="1"/>
      <c r="AB579" s="1"/>
      <c r="AC579" s="1"/>
    </row>
    <row r="580" spans="1:29" ht="14.25" customHeight="1" x14ac:dyDescent="0.2">
      <c r="A580" s="1"/>
      <c r="B580" s="1"/>
      <c r="C580" s="1"/>
      <c r="D580" s="1"/>
      <c r="E580" s="1"/>
      <c r="F580" s="1"/>
      <c r="G580" s="1"/>
      <c r="H580" s="1"/>
      <c r="I580" s="1"/>
      <c r="J580" s="1"/>
      <c r="K580" s="1"/>
      <c r="L580" s="1"/>
      <c r="M580" s="5"/>
      <c r="N580" s="5"/>
      <c r="O580" s="5"/>
      <c r="P580" s="5"/>
      <c r="Q580" s="1"/>
      <c r="R580" s="1"/>
      <c r="S580" s="1"/>
      <c r="T580" s="1"/>
      <c r="U580" s="1"/>
      <c r="V580" s="1"/>
      <c r="W580" s="1"/>
      <c r="X580" s="1"/>
      <c r="Y580" s="1"/>
      <c r="Z580" s="1"/>
      <c r="AA580" s="1"/>
      <c r="AB580" s="1"/>
      <c r="AC580" s="1"/>
    </row>
    <row r="581" spans="1:29" ht="14.25" customHeight="1" x14ac:dyDescent="0.2">
      <c r="A581" s="1"/>
      <c r="B581" s="1"/>
      <c r="C581" s="1"/>
      <c r="D581" s="1"/>
      <c r="E581" s="1"/>
      <c r="F581" s="1"/>
      <c r="G581" s="1"/>
      <c r="H581" s="1"/>
      <c r="I581" s="1"/>
      <c r="J581" s="1"/>
      <c r="K581" s="1"/>
      <c r="L581" s="1"/>
      <c r="M581" s="5"/>
      <c r="N581" s="5"/>
      <c r="O581" s="5"/>
      <c r="P581" s="5"/>
      <c r="Q581" s="1"/>
      <c r="R581" s="1"/>
      <c r="S581" s="1"/>
      <c r="T581" s="1"/>
      <c r="U581" s="1"/>
      <c r="V581" s="1"/>
      <c r="W581" s="1"/>
      <c r="X581" s="1"/>
      <c r="Y581" s="1"/>
      <c r="Z581" s="1"/>
      <c r="AA581" s="1"/>
      <c r="AB581" s="1"/>
      <c r="AC581" s="1"/>
    </row>
    <row r="582" spans="1:29" ht="14.25" customHeight="1" x14ac:dyDescent="0.2">
      <c r="A582" s="1"/>
      <c r="B582" s="1"/>
      <c r="C582" s="1"/>
      <c r="D582" s="1"/>
      <c r="E582" s="1"/>
      <c r="F582" s="1"/>
      <c r="G582" s="1"/>
      <c r="H582" s="1"/>
      <c r="I582" s="1"/>
      <c r="J582" s="1"/>
      <c r="K582" s="1"/>
      <c r="L582" s="1"/>
      <c r="M582" s="5"/>
      <c r="N582" s="5"/>
      <c r="O582" s="5"/>
      <c r="P582" s="5"/>
      <c r="Q582" s="1"/>
      <c r="R582" s="1"/>
      <c r="S582" s="1"/>
      <c r="T582" s="1"/>
      <c r="U582" s="1"/>
      <c r="V582" s="1"/>
      <c r="W582" s="1"/>
      <c r="X582" s="1"/>
      <c r="Y582" s="1"/>
      <c r="Z582" s="1"/>
      <c r="AA582" s="1"/>
      <c r="AB582" s="1"/>
      <c r="AC582" s="1"/>
    </row>
    <row r="583" spans="1:29" ht="14.25" customHeight="1" x14ac:dyDescent="0.2">
      <c r="A583" s="1"/>
      <c r="B583" s="1"/>
      <c r="C583" s="1"/>
      <c r="D583" s="1"/>
      <c r="E583" s="1"/>
      <c r="F583" s="1"/>
      <c r="G583" s="1"/>
      <c r="H583" s="1"/>
      <c r="I583" s="1"/>
      <c r="J583" s="1"/>
      <c r="K583" s="1"/>
      <c r="L583" s="1"/>
      <c r="M583" s="5"/>
      <c r="N583" s="5"/>
      <c r="O583" s="5"/>
      <c r="P583" s="5"/>
      <c r="Q583" s="1"/>
      <c r="R583" s="1"/>
      <c r="S583" s="1"/>
      <c r="T583" s="1"/>
      <c r="U583" s="1"/>
      <c r="V583" s="1"/>
      <c r="W583" s="1"/>
      <c r="X583" s="1"/>
      <c r="Y583" s="1"/>
      <c r="Z583" s="1"/>
      <c r="AA583" s="1"/>
      <c r="AB583" s="1"/>
      <c r="AC583" s="1"/>
    </row>
    <row r="584" spans="1:29" ht="14.25" customHeight="1" x14ac:dyDescent="0.2">
      <c r="A584" s="1"/>
      <c r="B584" s="1"/>
      <c r="C584" s="1"/>
      <c r="D584" s="1"/>
      <c r="E584" s="1"/>
      <c r="F584" s="1"/>
      <c r="G584" s="1"/>
      <c r="H584" s="1"/>
      <c r="I584" s="1"/>
      <c r="J584" s="1"/>
      <c r="K584" s="1"/>
      <c r="L584" s="1"/>
      <c r="M584" s="5"/>
      <c r="N584" s="5"/>
      <c r="O584" s="5"/>
      <c r="P584" s="5"/>
      <c r="Q584" s="1"/>
      <c r="R584" s="1"/>
      <c r="S584" s="1"/>
      <c r="T584" s="1"/>
      <c r="U584" s="1"/>
      <c r="V584" s="1"/>
      <c r="W584" s="1"/>
      <c r="X584" s="1"/>
      <c r="Y584" s="1"/>
      <c r="Z584" s="1"/>
      <c r="AA584" s="1"/>
      <c r="AB584" s="1"/>
      <c r="AC584" s="1"/>
    </row>
    <row r="585" spans="1:29" ht="14.25" customHeight="1" x14ac:dyDescent="0.2">
      <c r="A585" s="1"/>
      <c r="B585" s="1"/>
      <c r="C585" s="1"/>
      <c r="D585" s="1"/>
      <c r="E585" s="1"/>
      <c r="F585" s="1"/>
      <c r="G585" s="1"/>
      <c r="H585" s="1"/>
      <c r="I585" s="1"/>
      <c r="J585" s="1"/>
      <c r="K585" s="1"/>
      <c r="L585" s="1"/>
      <c r="M585" s="5"/>
      <c r="N585" s="5"/>
      <c r="O585" s="5"/>
      <c r="P585" s="5"/>
      <c r="Q585" s="1"/>
      <c r="R585" s="1"/>
      <c r="S585" s="1"/>
      <c r="T585" s="1"/>
      <c r="U585" s="1"/>
      <c r="V585" s="1"/>
      <c r="W585" s="1"/>
      <c r="X585" s="1"/>
      <c r="Y585" s="1"/>
      <c r="Z585" s="1"/>
      <c r="AA585" s="1"/>
      <c r="AB585" s="1"/>
      <c r="AC585" s="1"/>
    </row>
    <row r="586" spans="1:29" ht="14.25" customHeight="1" x14ac:dyDescent="0.2">
      <c r="A586" s="1"/>
      <c r="B586" s="1"/>
      <c r="C586" s="1"/>
      <c r="D586" s="1"/>
      <c r="E586" s="1"/>
      <c r="F586" s="1"/>
      <c r="G586" s="1"/>
      <c r="H586" s="1"/>
      <c r="I586" s="1"/>
      <c r="J586" s="1"/>
      <c r="K586" s="1"/>
      <c r="L586" s="1"/>
      <c r="M586" s="5"/>
      <c r="N586" s="5"/>
      <c r="O586" s="5"/>
      <c r="P586" s="5"/>
      <c r="Q586" s="1"/>
      <c r="R586" s="1"/>
      <c r="S586" s="1"/>
      <c r="T586" s="1"/>
      <c r="U586" s="1"/>
      <c r="V586" s="1"/>
      <c r="W586" s="1"/>
      <c r="X586" s="1"/>
      <c r="Y586" s="1"/>
      <c r="Z586" s="1"/>
      <c r="AA586" s="1"/>
      <c r="AB586" s="1"/>
      <c r="AC586" s="1"/>
    </row>
    <row r="587" spans="1:29" ht="14.25" customHeight="1" x14ac:dyDescent="0.2">
      <c r="A587" s="1"/>
      <c r="B587" s="1"/>
      <c r="C587" s="1"/>
      <c r="D587" s="1"/>
      <c r="E587" s="1"/>
      <c r="F587" s="1"/>
      <c r="G587" s="1"/>
      <c r="H587" s="1"/>
      <c r="I587" s="1"/>
      <c r="J587" s="1"/>
      <c r="K587" s="1"/>
      <c r="L587" s="1"/>
      <c r="M587" s="5"/>
      <c r="N587" s="5"/>
      <c r="O587" s="5"/>
      <c r="P587" s="5"/>
      <c r="Q587" s="1"/>
      <c r="R587" s="1"/>
      <c r="S587" s="1"/>
      <c r="T587" s="1"/>
      <c r="U587" s="1"/>
      <c r="V587" s="1"/>
      <c r="W587" s="1"/>
      <c r="X587" s="1"/>
      <c r="Y587" s="1"/>
      <c r="Z587" s="1"/>
      <c r="AA587" s="1"/>
      <c r="AB587" s="1"/>
      <c r="AC587" s="1"/>
    </row>
    <row r="588" spans="1:29" ht="14.25" customHeight="1" x14ac:dyDescent="0.2">
      <c r="A588" s="1"/>
      <c r="B588" s="1"/>
      <c r="C588" s="1"/>
      <c r="D588" s="1"/>
      <c r="E588" s="1"/>
      <c r="F588" s="1"/>
      <c r="G588" s="1"/>
      <c r="H588" s="1"/>
      <c r="I588" s="1"/>
      <c r="J588" s="1"/>
      <c r="K588" s="1"/>
      <c r="L588" s="1"/>
      <c r="M588" s="5"/>
      <c r="N588" s="5"/>
      <c r="O588" s="5"/>
      <c r="P588" s="5"/>
      <c r="Q588" s="1"/>
      <c r="R588" s="1"/>
      <c r="S588" s="1"/>
      <c r="T588" s="1"/>
      <c r="U588" s="1"/>
      <c r="V588" s="1"/>
      <c r="W588" s="1"/>
      <c r="X588" s="1"/>
      <c r="Y588" s="1"/>
      <c r="Z588" s="1"/>
      <c r="AA588" s="1"/>
      <c r="AB588" s="1"/>
      <c r="AC588" s="1"/>
    </row>
    <row r="589" spans="1:29" ht="14.25" customHeight="1" x14ac:dyDescent="0.2">
      <c r="A589" s="1"/>
      <c r="B589" s="1"/>
      <c r="C589" s="1"/>
      <c r="D589" s="1"/>
      <c r="E589" s="1"/>
      <c r="F589" s="1"/>
      <c r="G589" s="1"/>
      <c r="H589" s="1"/>
      <c r="I589" s="1"/>
      <c r="J589" s="1"/>
      <c r="K589" s="1"/>
      <c r="L589" s="1"/>
      <c r="M589" s="5"/>
      <c r="N589" s="5"/>
      <c r="O589" s="5"/>
      <c r="P589" s="5"/>
      <c r="Q589" s="1"/>
      <c r="R589" s="1"/>
      <c r="S589" s="1"/>
      <c r="T589" s="1"/>
      <c r="U589" s="1"/>
      <c r="V589" s="1"/>
      <c r="W589" s="1"/>
      <c r="X589" s="1"/>
      <c r="Y589" s="1"/>
      <c r="Z589" s="1"/>
      <c r="AA589" s="1"/>
      <c r="AB589" s="1"/>
      <c r="AC589" s="1"/>
    </row>
    <row r="590" spans="1:29" ht="14.25" customHeight="1" x14ac:dyDescent="0.2">
      <c r="A590" s="1"/>
      <c r="B590" s="1"/>
      <c r="C590" s="1"/>
      <c r="D590" s="1"/>
      <c r="E590" s="1"/>
      <c r="F590" s="1"/>
      <c r="G590" s="1"/>
      <c r="H590" s="1"/>
      <c r="I590" s="1"/>
      <c r="J590" s="1"/>
      <c r="K590" s="1"/>
      <c r="L590" s="1"/>
      <c r="M590" s="5"/>
      <c r="N590" s="5"/>
      <c r="O590" s="5"/>
      <c r="P590" s="5"/>
      <c r="Q590" s="1"/>
      <c r="R590" s="1"/>
      <c r="S590" s="1"/>
      <c r="T590" s="1"/>
      <c r="U590" s="1"/>
      <c r="V590" s="1"/>
      <c r="W590" s="1"/>
      <c r="X590" s="1"/>
      <c r="Y590" s="1"/>
      <c r="Z590" s="1"/>
      <c r="AA590" s="1"/>
      <c r="AB590" s="1"/>
      <c r="AC590" s="1"/>
    </row>
    <row r="591" spans="1:29" ht="14.25" customHeight="1" x14ac:dyDescent="0.2">
      <c r="A591" s="1"/>
      <c r="B591" s="1"/>
      <c r="C591" s="1"/>
      <c r="D591" s="1"/>
      <c r="E591" s="1"/>
      <c r="F591" s="1"/>
      <c r="G591" s="1"/>
      <c r="H591" s="1"/>
      <c r="I591" s="1"/>
      <c r="J591" s="1"/>
      <c r="K591" s="1"/>
      <c r="L591" s="1"/>
      <c r="M591" s="5"/>
      <c r="N591" s="5"/>
      <c r="O591" s="5"/>
      <c r="P591" s="5"/>
      <c r="Q591" s="1"/>
      <c r="R591" s="1"/>
      <c r="S591" s="1"/>
      <c r="T591" s="1"/>
      <c r="U591" s="1"/>
      <c r="V591" s="1"/>
      <c r="W591" s="1"/>
      <c r="X591" s="1"/>
      <c r="Y591" s="1"/>
      <c r="Z591" s="1"/>
      <c r="AA591" s="1"/>
      <c r="AB591" s="1"/>
      <c r="AC591" s="1"/>
    </row>
    <row r="592" spans="1:29" ht="14.25" customHeight="1" x14ac:dyDescent="0.2">
      <c r="A592" s="1"/>
      <c r="B592" s="1"/>
      <c r="C592" s="1"/>
      <c r="D592" s="1"/>
      <c r="E592" s="1"/>
      <c r="F592" s="1"/>
      <c r="G592" s="1"/>
      <c r="H592" s="1"/>
      <c r="I592" s="1"/>
      <c r="J592" s="1"/>
      <c r="K592" s="1"/>
      <c r="L592" s="1"/>
      <c r="M592" s="5"/>
      <c r="N592" s="5"/>
      <c r="O592" s="5"/>
      <c r="P592" s="5"/>
      <c r="Q592" s="1"/>
      <c r="R592" s="1"/>
      <c r="S592" s="1"/>
      <c r="T592" s="1"/>
      <c r="U592" s="1"/>
      <c r="V592" s="1"/>
      <c r="W592" s="1"/>
      <c r="X592" s="1"/>
      <c r="Y592" s="1"/>
      <c r="Z592" s="1"/>
      <c r="AA592" s="1"/>
      <c r="AB592" s="1"/>
      <c r="AC592" s="1"/>
    </row>
    <row r="593" spans="1:29" ht="14.25" customHeight="1" x14ac:dyDescent="0.2">
      <c r="A593" s="1"/>
      <c r="B593" s="1"/>
      <c r="C593" s="1"/>
      <c r="D593" s="1"/>
      <c r="E593" s="1"/>
      <c r="F593" s="1"/>
      <c r="G593" s="1"/>
      <c r="H593" s="1"/>
      <c r="I593" s="1"/>
      <c r="J593" s="1"/>
      <c r="K593" s="1"/>
      <c r="L593" s="1"/>
      <c r="M593" s="5"/>
      <c r="N593" s="5"/>
      <c r="O593" s="5"/>
      <c r="P593" s="5"/>
      <c r="Q593" s="1"/>
      <c r="R593" s="1"/>
      <c r="S593" s="1"/>
      <c r="T593" s="1"/>
      <c r="U593" s="1"/>
      <c r="V593" s="1"/>
      <c r="W593" s="1"/>
      <c r="X593" s="1"/>
      <c r="Y593" s="1"/>
      <c r="Z593" s="1"/>
      <c r="AA593" s="1"/>
      <c r="AB593" s="1"/>
      <c r="AC593" s="1"/>
    </row>
    <row r="594" spans="1:29" ht="14.25" customHeight="1" x14ac:dyDescent="0.2">
      <c r="A594" s="1"/>
      <c r="B594" s="1"/>
      <c r="C594" s="1"/>
      <c r="D594" s="1"/>
      <c r="E594" s="1"/>
      <c r="F594" s="1"/>
      <c r="G594" s="1"/>
      <c r="H594" s="1"/>
      <c r="I594" s="1"/>
      <c r="J594" s="1"/>
      <c r="K594" s="1"/>
      <c r="L594" s="1"/>
      <c r="M594" s="5"/>
      <c r="N594" s="5"/>
      <c r="O594" s="5"/>
      <c r="P594" s="5"/>
      <c r="Q594" s="1"/>
      <c r="R594" s="1"/>
      <c r="S594" s="1"/>
      <c r="T594" s="1"/>
      <c r="U594" s="1"/>
      <c r="V594" s="1"/>
      <c r="W594" s="1"/>
      <c r="X594" s="1"/>
      <c r="Y594" s="1"/>
      <c r="Z594" s="1"/>
      <c r="AA594" s="1"/>
      <c r="AB594" s="1"/>
      <c r="AC594" s="1"/>
    </row>
    <row r="595" spans="1:29" ht="14.25" customHeight="1" x14ac:dyDescent="0.2">
      <c r="A595" s="1"/>
      <c r="B595" s="1"/>
      <c r="C595" s="1"/>
      <c r="D595" s="1"/>
      <c r="E595" s="1"/>
      <c r="F595" s="1"/>
      <c r="G595" s="1"/>
      <c r="H595" s="1"/>
      <c r="I595" s="1"/>
      <c r="J595" s="1"/>
      <c r="K595" s="1"/>
      <c r="L595" s="1"/>
      <c r="M595" s="5"/>
      <c r="N595" s="5"/>
      <c r="O595" s="5"/>
      <c r="P595" s="5"/>
      <c r="Q595" s="1"/>
      <c r="R595" s="1"/>
      <c r="S595" s="1"/>
      <c r="T595" s="1"/>
      <c r="U595" s="1"/>
      <c r="V595" s="1"/>
      <c r="W595" s="1"/>
      <c r="X595" s="1"/>
      <c r="Y595" s="1"/>
      <c r="Z595" s="1"/>
      <c r="AA595" s="1"/>
      <c r="AB595" s="1"/>
      <c r="AC595" s="1"/>
    </row>
    <row r="596" spans="1:29" ht="14.25" customHeight="1" x14ac:dyDescent="0.2">
      <c r="A596" s="1"/>
      <c r="B596" s="1"/>
      <c r="C596" s="1"/>
      <c r="D596" s="1"/>
      <c r="E596" s="1"/>
      <c r="F596" s="1"/>
      <c r="G596" s="1"/>
      <c r="H596" s="1"/>
      <c r="I596" s="1"/>
      <c r="J596" s="1"/>
      <c r="K596" s="1"/>
      <c r="L596" s="1"/>
      <c r="M596" s="5"/>
      <c r="N596" s="5"/>
      <c r="O596" s="5"/>
      <c r="P596" s="5"/>
      <c r="Q596" s="1"/>
      <c r="R596" s="1"/>
      <c r="S596" s="1"/>
      <c r="T596" s="1"/>
      <c r="U596" s="1"/>
      <c r="V596" s="1"/>
      <c r="W596" s="1"/>
      <c r="X596" s="1"/>
      <c r="Y596" s="1"/>
      <c r="Z596" s="1"/>
      <c r="AA596" s="1"/>
      <c r="AB596" s="1"/>
      <c r="AC596" s="1"/>
    </row>
    <row r="597" spans="1:29" ht="14.25" customHeight="1" x14ac:dyDescent="0.2">
      <c r="A597" s="1"/>
      <c r="B597" s="1"/>
      <c r="C597" s="1"/>
      <c r="D597" s="1"/>
      <c r="E597" s="1"/>
      <c r="F597" s="1"/>
      <c r="G597" s="1"/>
      <c r="H597" s="1"/>
      <c r="I597" s="1"/>
      <c r="J597" s="1"/>
      <c r="K597" s="1"/>
      <c r="L597" s="1"/>
      <c r="M597" s="5"/>
      <c r="N597" s="5"/>
      <c r="O597" s="5"/>
      <c r="P597" s="5"/>
      <c r="Q597" s="1"/>
      <c r="R597" s="1"/>
      <c r="S597" s="1"/>
      <c r="T597" s="1"/>
      <c r="U597" s="1"/>
      <c r="V597" s="1"/>
      <c r="W597" s="1"/>
      <c r="X597" s="1"/>
      <c r="Y597" s="1"/>
      <c r="Z597" s="1"/>
      <c r="AA597" s="1"/>
      <c r="AB597" s="1"/>
      <c r="AC597" s="1"/>
    </row>
    <row r="598" spans="1:29" ht="14.25" customHeight="1" x14ac:dyDescent="0.2">
      <c r="A598" s="1"/>
      <c r="B598" s="1"/>
      <c r="C598" s="1"/>
      <c r="D598" s="1"/>
      <c r="E598" s="1"/>
      <c r="F598" s="1"/>
      <c r="G598" s="1"/>
      <c r="H598" s="1"/>
      <c r="I598" s="1"/>
      <c r="J598" s="1"/>
      <c r="K598" s="1"/>
      <c r="L598" s="1"/>
      <c r="M598" s="5"/>
      <c r="N598" s="5"/>
      <c r="O598" s="5"/>
      <c r="P598" s="5"/>
      <c r="Q598" s="1"/>
      <c r="R598" s="1"/>
      <c r="S598" s="1"/>
      <c r="T598" s="1"/>
      <c r="U598" s="1"/>
      <c r="V598" s="1"/>
      <c r="W598" s="1"/>
      <c r="X598" s="1"/>
      <c r="Y598" s="1"/>
      <c r="Z598" s="1"/>
      <c r="AA598" s="1"/>
      <c r="AB598" s="1"/>
      <c r="AC598" s="1"/>
    </row>
    <row r="599" spans="1:29" ht="14.25" customHeight="1" x14ac:dyDescent="0.2">
      <c r="A599" s="1"/>
      <c r="B599" s="1"/>
      <c r="C599" s="1"/>
      <c r="D599" s="1"/>
      <c r="E599" s="1"/>
      <c r="F599" s="1"/>
      <c r="G599" s="1"/>
      <c r="H599" s="1"/>
      <c r="I599" s="1"/>
      <c r="J599" s="1"/>
      <c r="K599" s="1"/>
      <c r="L599" s="1"/>
      <c r="M599" s="5"/>
      <c r="N599" s="5"/>
      <c r="O599" s="5"/>
      <c r="P599" s="5"/>
      <c r="Q599" s="1"/>
      <c r="R599" s="1"/>
      <c r="S599" s="1"/>
      <c r="T599" s="1"/>
      <c r="U599" s="1"/>
      <c r="V599" s="1"/>
      <c r="W599" s="1"/>
      <c r="X599" s="1"/>
      <c r="Y599" s="1"/>
      <c r="Z599" s="1"/>
      <c r="AA599" s="1"/>
      <c r="AB599" s="1"/>
      <c r="AC599" s="1"/>
    </row>
    <row r="600" spans="1:29" ht="14.25" customHeight="1" x14ac:dyDescent="0.2">
      <c r="A600" s="1"/>
      <c r="B600" s="1"/>
      <c r="C600" s="1"/>
      <c r="D600" s="1"/>
      <c r="E600" s="1"/>
      <c r="F600" s="1"/>
      <c r="G600" s="1"/>
      <c r="H600" s="1"/>
      <c r="I600" s="1"/>
      <c r="J600" s="1"/>
      <c r="K600" s="1"/>
      <c r="L600" s="1"/>
      <c r="M600" s="5"/>
      <c r="N600" s="5"/>
      <c r="O600" s="5"/>
      <c r="P600" s="5"/>
      <c r="Q600" s="1"/>
      <c r="R600" s="1"/>
      <c r="S600" s="1"/>
      <c r="T600" s="1"/>
      <c r="U600" s="1"/>
      <c r="V600" s="1"/>
      <c r="W600" s="1"/>
      <c r="X600" s="1"/>
      <c r="Y600" s="1"/>
      <c r="Z600" s="1"/>
      <c r="AA600" s="1"/>
      <c r="AB600" s="1"/>
      <c r="AC600" s="1"/>
    </row>
    <row r="601" spans="1:29" ht="14.25" customHeight="1" x14ac:dyDescent="0.2">
      <c r="A601" s="1"/>
      <c r="B601" s="1"/>
      <c r="C601" s="1"/>
      <c r="D601" s="1"/>
      <c r="E601" s="1"/>
      <c r="F601" s="1"/>
      <c r="G601" s="1"/>
      <c r="H601" s="1"/>
      <c r="I601" s="1"/>
      <c r="J601" s="1"/>
      <c r="K601" s="1"/>
      <c r="L601" s="1"/>
      <c r="M601" s="5"/>
      <c r="N601" s="5"/>
      <c r="O601" s="5"/>
      <c r="P601" s="5"/>
      <c r="Q601" s="1"/>
      <c r="R601" s="1"/>
      <c r="S601" s="1"/>
      <c r="T601" s="1"/>
      <c r="U601" s="1"/>
      <c r="V601" s="1"/>
      <c r="W601" s="1"/>
      <c r="X601" s="1"/>
      <c r="Y601" s="1"/>
      <c r="Z601" s="1"/>
      <c r="AA601" s="1"/>
      <c r="AB601" s="1"/>
      <c r="AC601" s="1"/>
    </row>
    <row r="602" spans="1:29" ht="14.25" customHeight="1" x14ac:dyDescent="0.2">
      <c r="A602" s="1"/>
      <c r="B602" s="1"/>
      <c r="C602" s="1"/>
      <c r="D602" s="1"/>
      <c r="E602" s="1"/>
      <c r="F602" s="1"/>
      <c r="G602" s="1"/>
      <c r="H602" s="1"/>
      <c r="I602" s="1"/>
      <c r="J602" s="1"/>
      <c r="K602" s="1"/>
      <c r="L602" s="1"/>
      <c r="M602" s="5"/>
      <c r="N602" s="5"/>
      <c r="O602" s="5"/>
      <c r="P602" s="5"/>
      <c r="Q602" s="1"/>
      <c r="R602" s="1"/>
      <c r="S602" s="1"/>
      <c r="T602" s="1"/>
      <c r="U602" s="1"/>
      <c r="V602" s="1"/>
      <c r="W602" s="1"/>
      <c r="X602" s="1"/>
      <c r="Y602" s="1"/>
      <c r="Z602" s="1"/>
      <c r="AA602" s="1"/>
      <c r="AB602" s="1"/>
      <c r="AC602" s="1"/>
    </row>
    <row r="603" spans="1:29" ht="14.25" customHeight="1" x14ac:dyDescent="0.2">
      <c r="A603" s="1"/>
      <c r="B603" s="1"/>
      <c r="C603" s="1"/>
      <c r="D603" s="1"/>
      <c r="E603" s="1"/>
      <c r="F603" s="1"/>
      <c r="G603" s="1"/>
      <c r="H603" s="1"/>
      <c r="I603" s="1"/>
      <c r="J603" s="1"/>
      <c r="K603" s="1"/>
      <c r="L603" s="1"/>
      <c r="M603" s="5"/>
      <c r="N603" s="5"/>
      <c r="O603" s="5"/>
      <c r="P603" s="5"/>
      <c r="Q603" s="1"/>
      <c r="R603" s="1"/>
      <c r="S603" s="1"/>
      <c r="T603" s="1"/>
      <c r="U603" s="1"/>
      <c r="V603" s="1"/>
      <c r="W603" s="1"/>
      <c r="X603" s="1"/>
      <c r="Y603" s="1"/>
      <c r="Z603" s="1"/>
      <c r="AA603" s="1"/>
      <c r="AB603" s="1"/>
      <c r="AC603" s="1"/>
    </row>
    <row r="604" spans="1:29" ht="14.25" customHeight="1" x14ac:dyDescent="0.2">
      <c r="A604" s="1"/>
      <c r="B604" s="1"/>
      <c r="C604" s="1"/>
      <c r="D604" s="1"/>
      <c r="E604" s="1"/>
      <c r="F604" s="1"/>
      <c r="G604" s="1"/>
      <c r="H604" s="1"/>
      <c r="I604" s="1"/>
      <c r="J604" s="1"/>
      <c r="K604" s="1"/>
      <c r="L604" s="1"/>
      <c r="M604" s="5"/>
      <c r="N604" s="5"/>
      <c r="O604" s="5"/>
      <c r="P604" s="5"/>
      <c r="Q604" s="1"/>
      <c r="R604" s="1"/>
      <c r="S604" s="1"/>
      <c r="T604" s="1"/>
      <c r="U604" s="1"/>
      <c r="V604" s="1"/>
      <c r="W604" s="1"/>
      <c r="X604" s="1"/>
      <c r="Y604" s="1"/>
      <c r="Z604" s="1"/>
      <c r="AA604" s="1"/>
      <c r="AB604" s="1"/>
      <c r="AC604" s="1"/>
    </row>
    <row r="605" spans="1:29" ht="14.25" customHeight="1" x14ac:dyDescent="0.2">
      <c r="A605" s="1"/>
      <c r="B605" s="1"/>
      <c r="C605" s="1"/>
      <c r="D605" s="1"/>
      <c r="E605" s="1"/>
      <c r="F605" s="1"/>
      <c r="G605" s="1"/>
      <c r="H605" s="1"/>
      <c r="I605" s="1"/>
      <c r="J605" s="1"/>
      <c r="K605" s="1"/>
      <c r="L605" s="1"/>
      <c r="M605" s="5"/>
      <c r="N605" s="5"/>
      <c r="O605" s="5"/>
      <c r="P605" s="5"/>
      <c r="Q605" s="1"/>
      <c r="R605" s="1"/>
      <c r="S605" s="1"/>
      <c r="T605" s="1"/>
      <c r="U605" s="1"/>
      <c r="V605" s="1"/>
      <c r="W605" s="1"/>
      <c r="X605" s="1"/>
      <c r="Y605" s="1"/>
      <c r="Z605" s="1"/>
      <c r="AA605" s="1"/>
      <c r="AB605" s="1"/>
      <c r="AC605" s="1"/>
    </row>
    <row r="606" spans="1:29" ht="14.25" customHeight="1" x14ac:dyDescent="0.2">
      <c r="A606" s="1"/>
      <c r="B606" s="1"/>
      <c r="C606" s="1"/>
      <c r="D606" s="1"/>
      <c r="E606" s="1"/>
      <c r="F606" s="1"/>
      <c r="G606" s="1"/>
      <c r="H606" s="1"/>
      <c r="I606" s="1"/>
      <c r="J606" s="1"/>
      <c r="K606" s="1"/>
      <c r="L606" s="1"/>
      <c r="M606" s="5"/>
      <c r="N606" s="5"/>
      <c r="O606" s="5"/>
      <c r="P606" s="5"/>
      <c r="Q606" s="1"/>
      <c r="R606" s="1"/>
      <c r="S606" s="1"/>
      <c r="T606" s="1"/>
      <c r="U606" s="1"/>
      <c r="V606" s="1"/>
      <c r="W606" s="1"/>
      <c r="X606" s="1"/>
      <c r="Y606" s="1"/>
      <c r="Z606" s="1"/>
      <c r="AA606" s="1"/>
      <c r="AB606" s="1"/>
      <c r="AC606" s="1"/>
    </row>
    <row r="607" spans="1:29" ht="14.25" customHeight="1" x14ac:dyDescent="0.2">
      <c r="A607" s="1"/>
      <c r="B607" s="1"/>
      <c r="C607" s="1"/>
      <c r="D607" s="1"/>
      <c r="E607" s="1"/>
      <c r="F607" s="1"/>
      <c r="G607" s="1"/>
      <c r="H607" s="1"/>
      <c r="I607" s="1"/>
      <c r="J607" s="1"/>
      <c r="K607" s="1"/>
      <c r="L607" s="1"/>
      <c r="M607" s="5"/>
      <c r="N607" s="5"/>
      <c r="O607" s="5"/>
      <c r="P607" s="5"/>
      <c r="Q607" s="1"/>
      <c r="R607" s="1"/>
      <c r="S607" s="1"/>
      <c r="T607" s="1"/>
      <c r="U607" s="1"/>
      <c r="V607" s="1"/>
      <c r="W607" s="1"/>
      <c r="X607" s="1"/>
      <c r="Y607" s="1"/>
      <c r="Z607" s="1"/>
      <c r="AA607" s="1"/>
      <c r="AB607" s="1"/>
      <c r="AC607" s="1"/>
    </row>
    <row r="608" spans="1:29" ht="14.25" customHeight="1" x14ac:dyDescent="0.2">
      <c r="A608" s="1"/>
      <c r="B608" s="1"/>
      <c r="C608" s="1"/>
      <c r="D608" s="1"/>
      <c r="E608" s="1"/>
      <c r="F608" s="1"/>
      <c r="G608" s="1"/>
      <c r="H608" s="1"/>
      <c r="I608" s="1"/>
      <c r="J608" s="1"/>
      <c r="K608" s="1"/>
      <c r="L608" s="1"/>
      <c r="M608" s="5"/>
      <c r="N608" s="5"/>
      <c r="O608" s="5"/>
      <c r="P608" s="5"/>
      <c r="Q608" s="1"/>
      <c r="R608" s="1"/>
      <c r="S608" s="1"/>
      <c r="T608" s="1"/>
      <c r="U608" s="1"/>
      <c r="V608" s="1"/>
      <c r="W608" s="1"/>
      <c r="X608" s="1"/>
      <c r="Y608" s="1"/>
      <c r="Z608" s="1"/>
      <c r="AA608" s="1"/>
      <c r="AB608" s="1"/>
      <c r="AC608" s="1"/>
    </row>
    <row r="609" spans="1:29" ht="14.25" customHeight="1" x14ac:dyDescent="0.2">
      <c r="A609" s="1"/>
      <c r="B609" s="1"/>
      <c r="C609" s="1"/>
      <c r="D609" s="1"/>
      <c r="E609" s="1"/>
      <c r="F609" s="1"/>
      <c r="G609" s="1"/>
      <c r="H609" s="1"/>
      <c r="I609" s="1"/>
      <c r="J609" s="1"/>
      <c r="K609" s="1"/>
      <c r="L609" s="1"/>
      <c r="M609" s="5"/>
      <c r="N609" s="5"/>
      <c r="O609" s="5"/>
      <c r="P609" s="5"/>
      <c r="Q609" s="1"/>
      <c r="R609" s="1"/>
      <c r="S609" s="1"/>
      <c r="T609" s="1"/>
      <c r="U609" s="1"/>
      <c r="V609" s="1"/>
      <c r="W609" s="1"/>
      <c r="X609" s="1"/>
      <c r="Y609" s="1"/>
      <c r="Z609" s="1"/>
      <c r="AA609" s="1"/>
      <c r="AB609" s="1"/>
      <c r="AC609" s="1"/>
    </row>
    <row r="610" spans="1:29" ht="14.25" customHeight="1" x14ac:dyDescent="0.2">
      <c r="A610" s="1"/>
      <c r="B610" s="1"/>
      <c r="C610" s="1"/>
      <c r="D610" s="1"/>
      <c r="E610" s="1"/>
      <c r="F610" s="1"/>
      <c r="G610" s="1"/>
      <c r="H610" s="1"/>
      <c r="I610" s="1"/>
      <c r="J610" s="1"/>
      <c r="K610" s="1"/>
      <c r="L610" s="1"/>
      <c r="M610" s="5"/>
      <c r="N610" s="5"/>
      <c r="O610" s="5"/>
      <c r="P610" s="5"/>
      <c r="Q610" s="1"/>
      <c r="R610" s="1"/>
      <c r="S610" s="1"/>
      <c r="T610" s="1"/>
      <c r="U610" s="1"/>
      <c r="V610" s="1"/>
      <c r="W610" s="1"/>
      <c r="X610" s="1"/>
      <c r="Y610" s="1"/>
      <c r="Z610" s="1"/>
      <c r="AA610" s="1"/>
      <c r="AB610" s="1"/>
      <c r="AC610" s="1"/>
    </row>
    <row r="611" spans="1:29" ht="14.25" customHeight="1" x14ac:dyDescent="0.2">
      <c r="A611" s="1"/>
      <c r="B611" s="1"/>
      <c r="C611" s="1"/>
      <c r="D611" s="1"/>
      <c r="E611" s="1"/>
      <c r="F611" s="1"/>
      <c r="G611" s="1"/>
      <c r="H611" s="1"/>
      <c r="I611" s="1"/>
      <c r="J611" s="1"/>
      <c r="K611" s="1"/>
      <c r="L611" s="1"/>
      <c r="M611" s="5"/>
      <c r="N611" s="5"/>
      <c r="O611" s="5"/>
      <c r="P611" s="5"/>
      <c r="Q611" s="1"/>
      <c r="R611" s="1"/>
      <c r="S611" s="1"/>
      <c r="T611" s="1"/>
      <c r="U611" s="1"/>
      <c r="V611" s="1"/>
      <c r="W611" s="1"/>
      <c r="X611" s="1"/>
      <c r="Y611" s="1"/>
      <c r="Z611" s="1"/>
      <c r="AA611" s="1"/>
      <c r="AB611" s="1"/>
      <c r="AC611" s="1"/>
    </row>
    <row r="612" spans="1:29" ht="14.25" customHeight="1" x14ac:dyDescent="0.2">
      <c r="A612" s="1"/>
      <c r="B612" s="1"/>
      <c r="C612" s="1"/>
      <c r="D612" s="1"/>
      <c r="E612" s="1"/>
      <c r="F612" s="1"/>
      <c r="G612" s="1"/>
      <c r="H612" s="1"/>
      <c r="I612" s="1"/>
      <c r="J612" s="1"/>
      <c r="K612" s="1"/>
      <c r="L612" s="1"/>
      <c r="M612" s="5"/>
      <c r="N612" s="5"/>
      <c r="O612" s="5"/>
      <c r="P612" s="5"/>
      <c r="Q612" s="1"/>
      <c r="R612" s="1"/>
      <c r="S612" s="1"/>
      <c r="T612" s="1"/>
      <c r="U612" s="1"/>
      <c r="V612" s="1"/>
      <c r="W612" s="1"/>
      <c r="X612" s="1"/>
      <c r="Y612" s="1"/>
      <c r="Z612" s="1"/>
      <c r="AA612" s="1"/>
      <c r="AB612" s="1"/>
      <c r="AC612" s="1"/>
    </row>
    <row r="613" spans="1:29" ht="14.25" customHeight="1" x14ac:dyDescent="0.2">
      <c r="A613" s="1"/>
      <c r="B613" s="1"/>
      <c r="C613" s="1"/>
      <c r="D613" s="1"/>
      <c r="E613" s="1"/>
      <c r="F613" s="1"/>
      <c r="G613" s="1"/>
      <c r="H613" s="1"/>
      <c r="I613" s="1"/>
      <c r="J613" s="1"/>
      <c r="K613" s="1"/>
      <c r="L613" s="1"/>
      <c r="M613" s="5"/>
      <c r="N613" s="5"/>
      <c r="O613" s="5"/>
      <c r="P613" s="5"/>
      <c r="Q613" s="1"/>
      <c r="R613" s="1"/>
      <c r="S613" s="1"/>
      <c r="T613" s="1"/>
      <c r="U613" s="1"/>
      <c r="V613" s="1"/>
      <c r="W613" s="1"/>
      <c r="X613" s="1"/>
      <c r="Y613" s="1"/>
      <c r="Z613" s="1"/>
      <c r="AA613" s="1"/>
      <c r="AB613" s="1"/>
      <c r="AC613" s="1"/>
    </row>
    <row r="614" spans="1:29" ht="14.25" customHeight="1" x14ac:dyDescent="0.2">
      <c r="A614" s="1"/>
      <c r="B614" s="1"/>
      <c r="C614" s="1"/>
      <c r="D614" s="1"/>
      <c r="E614" s="1"/>
      <c r="F614" s="1"/>
      <c r="G614" s="1"/>
      <c r="H614" s="1"/>
      <c r="I614" s="1"/>
      <c r="J614" s="1"/>
      <c r="K614" s="1"/>
      <c r="L614" s="1"/>
      <c r="M614" s="5"/>
      <c r="N614" s="5"/>
      <c r="O614" s="5"/>
      <c r="P614" s="5"/>
      <c r="Q614" s="1"/>
      <c r="R614" s="1"/>
      <c r="S614" s="1"/>
      <c r="T614" s="1"/>
      <c r="U614" s="1"/>
      <c r="V614" s="1"/>
      <c r="W614" s="1"/>
      <c r="X614" s="1"/>
      <c r="Y614" s="1"/>
      <c r="Z614" s="1"/>
      <c r="AA614" s="1"/>
      <c r="AB614" s="1"/>
      <c r="AC614" s="1"/>
    </row>
    <row r="615" spans="1:29" ht="14.25" customHeight="1" x14ac:dyDescent="0.2">
      <c r="A615" s="1"/>
      <c r="B615" s="1"/>
      <c r="C615" s="1"/>
      <c r="D615" s="1"/>
      <c r="E615" s="1"/>
      <c r="F615" s="1"/>
      <c r="G615" s="1"/>
      <c r="H615" s="1"/>
      <c r="I615" s="1"/>
      <c r="J615" s="1"/>
      <c r="K615" s="1"/>
      <c r="L615" s="1"/>
      <c r="M615" s="5"/>
      <c r="N615" s="5"/>
      <c r="O615" s="5"/>
      <c r="P615" s="5"/>
      <c r="Q615" s="1"/>
      <c r="R615" s="1"/>
      <c r="S615" s="1"/>
      <c r="T615" s="1"/>
      <c r="U615" s="1"/>
      <c r="V615" s="1"/>
      <c r="W615" s="1"/>
      <c r="X615" s="1"/>
      <c r="Y615" s="1"/>
      <c r="Z615" s="1"/>
      <c r="AA615" s="1"/>
      <c r="AB615" s="1"/>
      <c r="AC615" s="1"/>
    </row>
    <row r="616" spans="1:29" ht="14.25" customHeight="1" x14ac:dyDescent="0.2">
      <c r="A616" s="1"/>
      <c r="B616" s="1"/>
      <c r="C616" s="1"/>
      <c r="D616" s="1"/>
      <c r="E616" s="1"/>
      <c r="F616" s="1"/>
      <c r="G616" s="1"/>
      <c r="H616" s="1"/>
      <c r="I616" s="1"/>
      <c r="J616" s="1"/>
      <c r="K616" s="1"/>
      <c r="L616" s="1"/>
      <c r="M616" s="5"/>
      <c r="N616" s="5"/>
      <c r="O616" s="5"/>
      <c r="P616" s="5"/>
      <c r="Q616" s="1"/>
      <c r="R616" s="1"/>
      <c r="S616" s="1"/>
      <c r="T616" s="1"/>
      <c r="U616" s="1"/>
      <c r="V616" s="1"/>
      <c r="W616" s="1"/>
      <c r="X616" s="1"/>
      <c r="Y616" s="1"/>
      <c r="Z616" s="1"/>
      <c r="AA616" s="1"/>
      <c r="AB616" s="1"/>
      <c r="AC616" s="1"/>
    </row>
    <row r="617" spans="1:29" ht="14.25" customHeight="1" x14ac:dyDescent="0.2">
      <c r="A617" s="1"/>
      <c r="B617" s="1"/>
      <c r="C617" s="1"/>
      <c r="D617" s="1"/>
      <c r="E617" s="1"/>
      <c r="F617" s="1"/>
      <c r="G617" s="1"/>
      <c r="H617" s="1"/>
      <c r="I617" s="1"/>
      <c r="J617" s="1"/>
      <c r="K617" s="1"/>
      <c r="L617" s="1"/>
      <c r="M617" s="5"/>
      <c r="N617" s="5"/>
      <c r="O617" s="5"/>
      <c r="P617" s="5"/>
      <c r="Q617" s="1"/>
      <c r="R617" s="1"/>
      <c r="S617" s="1"/>
      <c r="T617" s="1"/>
      <c r="U617" s="1"/>
      <c r="V617" s="1"/>
      <c r="W617" s="1"/>
      <c r="X617" s="1"/>
      <c r="Y617" s="1"/>
      <c r="Z617" s="1"/>
      <c r="AA617" s="1"/>
      <c r="AB617" s="1"/>
      <c r="AC617" s="1"/>
    </row>
    <row r="618" spans="1:29" ht="14.25" customHeight="1" x14ac:dyDescent="0.2">
      <c r="A618" s="1"/>
      <c r="B618" s="1"/>
      <c r="C618" s="1"/>
      <c r="D618" s="1"/>
      <c r="E618" s="1"/>
      <c r="F618" s="1"/>
      <c r="G618" s="1"/>
      <c r="H618" s="1"/>
      <c r="I618" s="1"/>
      <c r="J618" s="1"/>
      <c r="K618" s="1"/>
      <c r="L618" s="1"/>
      <c r="M618" s="5"/>
      <c r="N618" s="5"/>
      <c r="O618" s="5"/>
      <c r="P618" s="5"/>
      <c r="Q618" s="1"/>
      <c r="R618" s="1"/>
      <c r="S618" s="1"/>
      <c r="T618" s="1"/>
      <c r="U618" s="1"/>
      <c r="V618" s="1"/>
      <c r="W618" s="1"/>
      <c r="X618" s="1"/>
      <c r="Y618" s="1"/>
      <c r="Z618" s="1"/>
      <c r="AA618" s="1"/>
      <c r="AB618" s="1"/>
      <c r="AC618" s="1"/>
    </row>
    <row r="619" spans="1:29" ht="14.25" customHeight="1" x14ac:dyDescent="0.2">
      <c r="A619" s="1"/>
      <c r="B619" s="1"/>
      <c r="C619" s="1"/>
      <c r="D619" s="1"/>
      <c r="E619" s="1"/>
      <c r="F619" s="1"/>
      <c r="G619" s="1"/>
      <c r="H619" s="1"/>
      <c r="I619" s="1"/>
      <c r="J619" s="1"/>
      <c r="K619" s="1"/>
      <c r="L619" s="1"/>
      <c r="M619" s="5"/>
      <c r="N619" s="5"/>
      <c r="O619" s="5"/>
      <c r="P619" s="5"/>
      <c r="Q619" s="1"/>
      <c r="R619" s="1"/>
      <c r="S619" s="1"/>
      <c r="T619" s="1"/>
      <c r="U619" s="1"/>
      <c r="V619" s="1"/>
      <c r="W619" s="1"/>
      <c r="X619" s="1"/>
      <c r="Y619" s="1"/>
      <c r="Z619" s="1"/>
      <c r="AA619" s="1"/>
      <c r="AB619" s="1"/>
      <c r="AC619" s="1"/>
    </row>
    <row r="620" spans="1:29" ht="14.25" customHeight="1" x14ac:dyDescent="0.2">
      <c r="A620" s="1"/>
      <c r="B620" s="1"/>
      <c r="C620" s="1"/>
      <c r="D620" s="1"/>
      <c r="E620" s="1"/>
      <c r="F620" s="1"/>
      <c r="G620" s="1"/>
      <c r="H620" s="1"/>
      <c r="I620" s="1"/>
      <c r="J620" s="1"/>
      <c r="K620" s="1"/>
      <c r="L620" s="1"/>
      <c r="M620" s="5"/>
      <c r="N620" s="5"/>
      <c r="O620" s="5"/>
      <c r="P620" s="5"/>
      <c r="Q620" s="1"/>
      <c r="R620" s="1"/>
      <c r="S620" s="1"/>
      <c r="T620" s="1"/>
      <c r="U620" s="1"/>
      <c r="V620" s="1"/>
      <c r="W620" s="1"/>
      <c r="X620" s="1"/>
      <c r="Y620" s="1"/>
      <c r="Z620" s="1"/>
      <c r="AA620" s="1"/>
      <c r="AB620" s="1"/>
      <c r="AC620" s="1"/>
    </row>
    <row r="621" spans="1:29" ht="14.25" customHeight="1" x14ac:dyDescent="0.2">
      <c r="A621" s="1"/>
      <c r="B621" s="1"/>
      <c r="C621" s="1"/>
      <c r="D621" s="1"/>
      <c r="E621" s="1"/>
      <c r="F621" s="1"/>
      <c r="G621" s="1"/>
      <c r="H621" s="1"/>
      <c r="I621" s="1"/>
      <c r="J621" s="1"/>
      <c r="K621" s="1"/>
      <c r="L621" s="1"/>
      <c r="M621" s="5"/>
      <c r="N621" s="5"/>
      <c r="O621" s="5"/>
      <c r="P621" s="5"/>
      <c r="Q621" s="1"/>
      <c r="R621" s="1"/>
      <c r="S621" s="1"/>
      <c r="T621" s="1"/>
      <c r="U621" s="1"/>
      <c r="V621" s="1"/>
      <c r="W621" s="1"/>
      <c r="X621" s="1"/>
      <c r="Y621" s="1"/>
      <c r="Z621" s="1"/>
      <c r="AA621" s="1"/>
      <c r="AB621" s="1"/>
      <c r="AC621" s="1"/>
    </row>
    <row r="622" spans="1:29" ht="14.25" customHeight="1" x14ac:dyDescent="0.2">
      <c r="A622" s="1"/>
      <c r="B622" s="1"/>
      <c r="C622" s="1"/>
      <c r="D622" s="1"/>
      <c r="E622" s="1"/>
      <c r="F622" s="1"/>
      <c r="G622" s="1"/>
      <c r="H622" s="1"/>
      <c r="I622" s="1"/>
      <c r="J622" s="1"/>
      <c r="K622" s="1"/>
      <c r="L622" s="1"/>
      <c r="M622" s="5"/>
      <c r="N622" s="5"/>
      <c r="O622" s="5"/>
      <c r="P622" s="5"/>
      <c r="Q622" s="1"/>
      <c r="R622" s="1"/>
      <c r="S622" s="1"/>
      <c r="T622" s="1"/>
      <c r="U622" s="1"/>
      <c r="V622" s="1"/>
      <c r="W622" s="1"/>
      <c r="X622" s="1"/>
      <c r="Y622" s="1"/>
      <c r="Z622" s="1"/>
      <c r="AA622" s="1"/>
      <c r="AB622" s="1"/>
      <c r="AC622" s="1"/>
    </row>
    <row r="623" spans="1:29" ht="14.25" customHeight="1" x14ac:dyDescent="0.2">
      <c r="A623" s="1"/>
      <c r="B623" s="1"/>
      <c r="C623" s="1"/>
      <c r="D623" s="1"/>
      <c r="E623" s="1"/>
      <c r="F623" s="1"/>
      <c r="G623" s="1"/>
      <c r="H623" s="1"/>
      <c r="I623" s="1"/>
      <c r="J623" s="1"/>
      <c r="K623" s="1"/>
      <c r="L623" s="1"/>
      <c r="M623" s="5"/>
      <c r="N623" s="5"/>
      <c r="O623" s="5"/>
      <c r="P623" s="5"/>
      <c r="Q623" s="1"/>
      <c r="R623" s="1"/>
      <c r="S623" s="1"/>
      <c r="T623" s="1"/>
      <c r="U623" s="1"/>
      <c r="V623" s="1"/>
      <c r="W623" s="1"/>
      <c r="X623" s="1"/>
      <c r="Y623" s="1"/>
      <c r="Z623" s="1"/>
      <c r="AA623" s="1"/>
      <c r="AB623" s="1"/>
      <c r="AC623" s="1"/>
    </row>
    <row r="624" spans="1:29" ht="14.25" customHeight="1" x14ac:dyDescent="0.2">
      <c r="A624" s="1"/>
      <c r="B624" s="1"/>
      <c r="C624" s="1"/>
      <c r="D624" s="1"/>
      <c r="E624" s="1"/>
      <c r="F624" s="1"/>
      <c r="G624" s="1"/>
      <c r="H624" s="1"/>
      <c r="I624" s="1"/>
      <c r="J624" s="1"/>
      <c r="K624" s="1"/>
      <c r="L624" s="1"/>
      <c r="M624" s="5"/>
      <c r="N624" s="5"/>
      <c r="O624" s="5"/>
      <c r="P624" s="5"/>
      <c r="Q624" s="1"/>
      <c r="R624" s="1"/>
      <c r="S624" s="1"/>
      <c r="T624" s="1"/>
      <c r="U624" s="1"/>
      <c r="V624" s="1"/>
      <c r="W624" s="1"/>
      <c r="X624" s="1"/>
      <c r="Y624" s="1"/>
      <c r="Z624" s="1"/>
      <c r="AA624" s="1"/>
      <c r="AB624" s="1"/>
      <c r="AC624" s="1"/>
    </row>
    <row r="625" spans="1:29" ht="14.25" customHeight="1" x14ac:dyDescent="0.2">
      <c r="A625" s="1"/>
      <c r="B625" s="1"/>
      <c r="C625" s="1"/>
      <c r="D625" s="1"/>
      <c r="E625" s="1"/>
      <c r="F625" s="1"/>
      <c r="G625" s="1"/>
      <c r="H625" s="1"/>
      <c r="I625" s="1"/>
      <c r="J625" s="1"/>
      <c r="K625" s="1"/>
      <c r="L625" s="1"/>
      <c r="M625" s="5"/>
      <c r="N625" s="5"/>
      <c r="O625" s="5"/>
      <c r="P625" s="5"/>
      <c r="Q625" s="1"/>
      <c r="R625" s="1"/>
      <c r="S625" s="1"/>
      <c r="T625" s="1"/>
      <c r="U625" s="1"/>
      <c r="V625" s="1"/>
      <c r="W625" s="1"/>
      <c r="X625" s="1"/>
      <c r="Y625" s="1"/>
      <c r="Z625" s="1"/>
      <c r="AA625" s="1"/>
      <c r="AB625" s="1"/>
      <c r="AC625" s="1"/>
    </row>
    <row r="626" spans="1:29" ht="14.25" customHeight="1" x14ac:dyDescent="0.2">
      <c r="A626" s="1"/>
      <c r="B626" s="1"/>
      <c r="C626" s="1"/>
      <c r="D626" s="1"/>
      <c r="E626" s="1"/>
      <c r="F626" s="1"/>
      <c r="G626" s="1"/>
      <c r="H626" s="1"/>
      <c r="I626" s="1"/>
      <c r="J626" s="1"/>
      <c r="K626" s="1"/>
      <c r="L626" s="1"/>
      <c r="M626" s="5"/>
      <c r="N626" s="5"/>
      <c r="O626" s="5"/>
      <c r="P626" s="5"/>
      <c r="Q626" s="1"/>
      <c r="R626" s="1"/>
      <c r="S626" s="1"/>
      <c r="T626" s="1"/>
      <c r="U626" s="1"/>
      <c r="V626" s="1"/>
      <c r="W626" s="1"/>
      <c r="X626" s="1"/>
      <c r="Y626" s="1"/>
      <c r="Z626" s="1"/>
      <c r="AA626" s="1"/>
      <c r="AB626" s="1"/>
      <c r="AC626" s="1"/>
    </row>
    <row r="627" spans="1:29" ht="14.25" customHeight="1" x14ac:dyDescent="0.2">
      <c r="A627" s="1"/>
      <c r="B627" s="1"/>
      <c r="C627" s="1"/>
      <c r="D627" s="1"/>
      <c r="E627" s="1"/>
      <c r="F627" s="1"/>
      <c r="G627" s="1"/>
      <c r="H627" s="1"/>
      <c r="I627" s="1"/>
      <c r="J627" s="1"/>
      <c r="K627" s="1"/>
      <c r="L627" s="1"/>
      <c r="M627" s="5"/>
      <c r="N627" s="5"/>
      <c r="O627" s="5"/>
      <c r="P627" s="5"/>
      <c r="Q627" s="1"/>
      <c r="R627" s="1"/>
      <c r="S627" s="1"/>
      <c r="T627" s="1"/>
      <c r="U627" s="1"/>
      <c r="V627" s="1"/>
      <c r="W627" s="1"/>
      <c r="X627" s="1"/>
      <c r="Y627" s="1"/>
      <c r="Z627" s="1"/>
      <c r="AA627" s="1"/>
      <c r="AB627" s="1"/>
      <c r="AC627" s="1"/>
    </row>
    <row r="628" spans="1:29" ht="14.25" customHeight="1" x14ac:dyDescent="0.2">
      <c r="A628" s="1"/>
      <c r="B628" s="1"/>
      <c r="C628" s="1"/>
      <c r="D628" s="1"/>
      <c r="E628" s="1"/>
      <c r="F628" s="1"/>
      <c r="G628" s="1"/>
      <c r="H628" s="1"/>
      <c r="I628" s="1"/>
      <c r="J628" s="1"/>
      <c r="K628" s="1"/>
      <c r="L628" s="1"/>
      <c r="M628" s="5"/>
      <c r="N628" s="5"/>
      <c r="O628" s="5"/>
      <c r="P628" s="5"/>
      <c r="Q628" s="1"/>
      <c r="R628" s="1"/>
      <c r="S628" s="1"/>
      <c r="T628" s="1"/>
      <c r="U628" s="1"/>
      <c r="V628" s="1"/>
      <c r="W628" s="1"/>
      <c r="X628" s="1"/>
      <c r="Y628" s="1"/>
      <c r="Z628" s="1"/>
      <c r="AA628" s="1"/>
      <c r="AB628" s="1"/>
      <c r="AC628" s="1"/>
    </row>
    <row r="629" spans="1:29" ht="14.25" customHeight="1" x14ac:dyDescent="0.2">
      <c r="A629" s="1"/>
      <c r="B629" s="1"/>
      <c r="C629" s="1"/>
      <c r="D629" s="1"/>
      <c r="E629" s="1"/>
      <c r="F629" s="1"/>
      <c r="G629" s="1"/>
      <c r="H629" s="1"/>
      <c r="I629" s="1"/>
      <c r="J629" s="1"/>
      <c r="K629" s="1"/>
      <c r="L629" s="1"/>
      <c r="M629" s="5"/>
      <c r="N629" s="5"/>
      <c r="O629" s="5"/>
      <c r="P629" s="5"/>
      <c r="Q629" s="1"/>
      <c r="R629" s="1"/>
      <c r="S629" s="1"/>
      <c r="T629" s="1"/>
      <c r="U629" s="1"/>
      <c r="V629" s="1"/>
      <c r="W629" s="1"/>
      <c r="X629" s="1"/>
      <c r="Y629" s="1"/>
      <c r="Z629" s="1"/>
      <c r="AA629" s="1"/>
      <c r="AB629" s="1"/>
      <c r="AC629" s="1"/>
    </row>
    <row r="630" spans="1:29" ht="14.25" customHeight="1" x14ac:dyDescent="0.2">
      <c r="A630" s="1"/>
      <c r="B630" s="1"/>
      <c r="C630" s="1"/>
      <c r="D630" s="1"/>
      <c r="E630" s="1"/>
      <c r="F630" s="1"/>
      <c r="G630" s="1"/>
      <c r="H630" s="1"/>
      <c r="I630" s="1"/>
      <c r="J630" s="1"/>
      <c r="K630" s="1"/>
      <c r="L630" s="1"/>
      <c r="M630" s="5"/>
      <c r="N630" s="5"/>
      <c r="O630" s="5"/>
      <c r="P630" s="5"/>
      <c r="Q630" s="1"/>
      <c r="R630" s="1"/>
      <c r="S630" s="1"/>
      <c r="T630" s="1"/>
      <c r="U630" s="1"/>
      <c r="V630" s="1"/>
      <c r="W630" s="1"/>
      <c r="X630" s="1"/>
      <c r="Y630" s="1"/>
      <c r="Z630" s="1"/>
      <c r="AA630" s="1"/>
      <c r="AB630" s="1"/>
      <c r="AC630" s="1"/>
    </row>
    <row r="631" spans="1:29" ht="14.25" customHeight="1" x14ac:dyDescent="0.2">
      <c r="A631" s="1"/>
      <c r="B631" s="1"/>
      <c r="C631" s="1"/>
      <c r="D631" s="1"/>
      <c r="E631" s="1"/>
      <c r="F631" s="1"/>
      <c r="G631" s="1"/>
      <c r="H631" s="1"/>
      <c r="I631" s="1"/>
      <c r="J631" s="1"/>
      <c r="K631" s="1"/>
      <c r="L631" s="1"/>
      <c r="M631" s="5"/>
      <c r="N631" s="5"/>
      <c r="O631" s="5"/>
      <c r="P631" s="5"/>
      <c r="Q631" s="1"/>
      <c r="R631" s="1"/>
      <c r="S631" s="1"/>
      <c r="T631" s="1"/>
      <c r="U631" s="1"/>
      <c r="V631" s="1"/>
      <c r="W631" s="1"/>
      <c r="X631" s="1"/>
      <c r="Y631" s="1"/>
      <c r="Z631" s="1"/>
      <c r="AA631" s="1"/>
      <c r="AB631" s="1"/>
      <c r="AC631" s="1"/>
    </row>
    <row r="632" spans="1:29" ht="14.25" customHeight="1" x14ac:dyDescent="0.2">
      <c r="A632" s="1"/>
      <c r="B632" s="1"/>
      <c r="C632" s="1"/>
      <c r="D632" s="1"/>
      <c r="E632" s="1"/>
      <c r="F632" s="1"/>
      <c r="G632" s="1"/>
      <c r="H632" s="1"/>
      <c r="I632" s="1"/>
      <c r="J632" s="1"/>
      <c r="K632" s="1"/>
      <c r="L632" s="1"/>
      <c r="M632" s="5"/>
      <c r="N632" s="5"/>
      <c r="O632" s="5"/>
      <c r="P632" s="5"/>
      <c r="Q632" s="1"/>
      <c r="R632" s="1"/>
      <c r="S632" s="1"/>
      <c r="T632" s="1"/>
      <c r="U632" s="1"/>
      <c r="V632" s="1"/>
      <c r="W632" s="1"/>
      <c r="X632" s="1"/>
      <c r="Y632" s="1"/>
      <c r="Z632" s="1"/>
      <c r="AA632" s="1"/>
      <c r="AB632" s="1"/>
      <c r="AC632" s="1"/>
    </row>
    <row r="633" spans="1:29" ht="14.25" customHeight="1" x14ac:dyDescent="0.2">
      <c r="A633" s="1"/>
      <c r="B633" s="1"/>
      <c r="C633" s="1"/>
      <c r="D633" s="1"/>
      <c r="E633" s="1"/>
      <c r="F633" s="1"/>
      <c r="G633" s="1"/>
      <c r="H633" s="1"/>
      <c r="I633" s="1"/>
      <c r="J633" s="1"/>
      <c r="K633" s="1"/>
      <c r="L633" s="1"/>
      <c r="M633" s="5"/>
      <c r="N633" s="5"/>
      <c r="O633" s="5"/>
      <c r="P633" s="5"/>
      <c r="Q633" s="1"/>
      <c r="R633" s="1"/>
      <c r="S633" s="1"/>
      <c r="T633" s="1"/>
      <c r="U633" s="1"/>
      <c r="V633" s="1"/>
      <c r="W633" s="1"/>
      <c r="X633" s="1"/>
      <c r="Y633" s="1"/>
      <c r="Z633" s="1"/>
      <c r="AA633" s="1"/>
      <c r="AB633" s="1"/>
      <c r="AC633" s="1"/>
    </row>
    <row r="634" spans="1:29" ht="14.25" customHeight="1" x14ac:dyDescent="0.2">
      <c r="A634" s="1"/>
      <c r="B634" s="1"/>
      <c r="C634" s="1"/>
      <c r="D634" s="1"/>
      <c r="E634" s="1"/>
      <c r="F634" s="1"/>
      <c r="G634" s="1"/>
      <c r="H634" s="1"/>
      <c r="I634" s="1"/>
      <c r="J634" s="1"/>
      <c r="K634" s="1"/>
      <c r="L634" s="1"/>
      <c r="M634" s="5"/>
      <c r="N634" s="5"/>
      <c r="O634" s="5"/>
      <c r="P634" s="5"/>
      <c r="Q634" s="1"/>
      <c r="R634" s="1"/>
      <c r="S634" s="1"/>
      <c r="T634" s="1"/>
      <c r="U634" s="1"/>
      <c r="V634" s="1"/>
      <c r="W634" s="1"/>
      <c r="X634" s="1"/>
      <c r="Y634" s="1"/>
      <c r="Z634" s="1"/>
      <c r="AA634" s="1"/>
      <c r="AB634" s="1"/>
      <c r="AC634" s="1"/>
    </row>
    <row r="635" spans="1:29" ht="14.25" customHeight="1" x14ac:dyDescent="0.2">
      <c r="A635" s="1"/>
      <c r="B635" s="1"/>
      <c r="C635" s="1"/>
      <c r="D635" s="1"/>
      <c r="E635" s="1"/>
      <c r="F635" s="1"/>
      <c r="G635" s="1"/>
      <c r="H635" s="1"/>
      <c r="I635" s="1"/>
      <c r="J635" s="1"/>
      <c r="K635" s="1"/>
      <c r="L635" s="1"/>
      <c r="M635" s="5"/>
      <c r="N635" s="5"/>
      <c r="O635" s="5"/>
      <c r="P635" s="5"/>
      <c r="Q635" s="1"/>
      <c r="R635" s="1"/>
      <c r="S635" s="1"/>
      <c r="T635" s="1"/>
      <c r="U635" s="1"/>
      <c r="V635" s="1"/>
      <c r="W635" s="1"/>
      <c r="X635" s="1"/>
      <c r="Y635" s="1"/>
      <c r="Z635" s="1"/>
      <c r="AA635" s="1"/>
      <c r="AB635" s="1"/>
      <c r="AC635" s="1"/>
    </row>
    <row r="636" spans="1:29" ht="14.25" customHeight="1" x14ac:dyDescent="0.2">
      <c r="A636" s="1"/>
      <c r="B636" s="1"/>
      <c r="C636" s="1"/>
      <c r="D636" s="1"/>
      <c r="E636" s="1"/>
      <c r="F636" s="1"/>
      <c r="G636" s="1"/>
      <c r="H636" s="1"/>
      <c r="I636" s="1"/>
      <c r="J636" s="1"/>
      <c r="K636" s="1"/>
      <c r="L636" s="1"/>
      <c r="M636" s="5"/>
      <c r="N636" s="5"/>
      <c r="O636" s="5"/>
      <c r="P636" s="5"/>
      <c r="Q636" s="1"/>
      <c r="R636" s="1"/>
      <c r="S636" s="1"/>
      <c r="T636" s="1"/>
      <c r="U636" s="1"/>
      <c r="V636" s="1"/>
      <c r="W636" s="1"/>
      <c r="X636" s="1"/>
      <c r="Y636" s="1"/>
      <c r="Z636" s="1"/>
      <c r="AA636" s="1"/>
      <c r="AB636" s="1"/>
      <c r="AC636" s="1"/>
    </row>
    <row r="637" spans="1:29" ht="14.25" customHeight="1" x14ac:dyDescent="0.2">
      <c r="A637" s="1"/>
      <c r="B637" s="1"/>
      <c r="C637" s="1"/>
      <c r="D637" s="1"/>
      <c r="E637" s="1"/>
      <c r="F637" s="1"/>
      <c r="G637" s="1"/>
      <c r="H637" s="1"/>
      <c r="I637" s="1"/>
      <c r="J637" s="1"/>
      <c r="K637" s="1"/>
      <c r="L637" s="1"/>
      <c r="M637" s="5"/>
      <c r="N637" s="5"/>
      <c r="O637" s="5"/>
      <c r="P637" s="5"/>
      <c r="Q637" s="1"/>
      <c r="R637" s="1"/>
      <c r="S637" s="1"/>
      <c r="T637" s="1"/>
      <c r="U637" s="1"/>
      <c r="V637" s="1"/>
      <c r="W637" s="1"/>
      <c r="X637" s="1"/>
      <c r="Y637" s="1"/>
      <c r="Z637" s="1"/>
      <c r="AA637" s="1"/>
      <c r="AB637" s="1"/>
      <c r="AC637" s="1"/>
    </row>
    <row r="638" spans="1:29" ht="14.25" customHeight="1" x14ac:dyDescent="0.2">
      <c r="A638" s="1"/>
      <c r="B638" s="1"/>
      <c r="C638" s="1"/>
      <c r="D638" s="1"/>
      <c r="E638" s="1"/>
      <c r="F638" s="1"/>
      <c r="G638" s="1"/>
      <c r="H638" s="1"/>
      <c r="I638" s="1"/>
      <c r="J638" s="1"/>
      <c r="K638" s="1"/>
      <c r="L638" s="1"/>
      <c r="M638" s="5"/>
      <c r="N638" s="5"/>
      <c r="O638" s="5"/>
      <c r="P638" s="5"/>
      <c r="Q638" s="1"/>
      <c r="R638" s="1"/>
      <c r="S638" s="1"/>
      <c r="T638" s="1"/>
      <c r="U638" s="1"/>
      <c r="V638" s="1"/>
      <c r="W638" s="1"/>
      <c r="X638" s="1"/>
      <c r="Y638" s="1"/>
      <c r="Z638" s="1"/>
      <c r="AA638" s="1"/>
      <c r="AB638" s="1"/>
      <c r="AC638" s="1"/>
    </row>
    <row r="639" spans="1:29" ht="14.25" customHeight="1" x14ac:dyDescent="0.2">
      <c r="A639" s="1"/>
      <c r="B639" s="1"/>
      <c r="C639" s="1"/>
      <c r="D639" s="1"/>
      <c r="E639" s="1"/>
      <c r="F639" s="1"/>
      <c r="G639" s="1"/>
      <c r="H639" s="1"/>
      <c r="I639" s="1"/>
      <c r="J639" s="1"/>
      <c r="K639" s="1"/>
      <c r="L639" s="1"/>
      <c r="M639" s="5"/>
      <c r="N639" s="5"/>
      <c r="O639" s="5"/>
      <c r="P639" s="5"/>
      <c r="Q639" s="1"/>
      <c r="R639" s="1"/>
      <c r="S639" s="1"/>
      <c r="T639" s="1"/>
      <c r="U639" s="1"/>
      <c r="V639" s="1"/>
      <c r="W639" s="1"/>
      <c r="X639" s="1"/>
      <c r="Y639" s="1"/>
      <c r="Z639" s="1"/>
      <c r="AA639" s="1"/>
      <c r="AB639" s="1"/>
      <c r="AC639" s="1"/>
    </row>
    <row r="640" spans="1:29" ht="14.25" customHeight="1" x14ac:dyDescent="0.2">
      <c r="A640" s="1"/>
      <c r="B640" s="1"/>
      <c r="C640" s="1"/>
      <c r="D640" s="1"/>
      <c r="E640" s="1"/>
      <c r="F640" s="1"/>
      <c r="G640" s="1"/>
      <c r="H640" s="1"/>
      <c r="I640" s="1"/>
      <c r="J640" s="1"/>
      <c r="K640" s="1"/>
      <c r="L640" s="1"/>
      <c r="M640" s="5"/>
      <c r="N640" s="5"/>
      <c r="O640" s="5"/>
      <c r="P640" s="5"/>
      <c r="Q640" s="1"/>
      <c r="R640" s="1"/>
      <c r="S640" s="1"/>
      <c r="T640" s="1"/>
      <c r="U640" s="1"/>
      <c r="V640" s="1"/>
      <c r="W640" s="1"/>
      <c r="X640" s="1"/>
      <c r="Y640" s="1"/>
      <c r="Z640" s="1"/>
      <c r="AA640" s="1"/>
      <c r="AB640" s="1"/>
      <c r="AC640" s="1"/>
    </row>
    <row r="641" spans="1:29" ht="14.25" customHeight="1" x14ac:dyDescent="0.2">
      <c r="A641" s="1"/>
      <c r="B641" s="1"/>
      <c r="C641" s="1"/>
      <c r="D641" s="1"/>
      <c r="E641" s="1"/>
      <c r="F641" s="1"/>
      <c r="G641" s="1"/>
      <c r="H641" s="1"/>
      <c r="I641" s="1"/>
      <c r="J641" s="1"/>
      <c r="K641" s="1"/>
      <c r="L641" s="1"/>
      <c r="M641" s="5"/>
      <c r="N641" s="5"/>
      <c r="O641" s="5"/>
      <c r="P641" s="5"/>
      <c r="Q641" s="1"/>
      <c r="R641" s="1"/>
      <c r="S641" s="1"/>
      <c r="T641" s="1"/>
      <c r="U641" s="1"/>
      <c r="V641" s="1"/>
      <c r="W641" s="1"/>
      <c r="X641" s="1"/>
      <c r="Y641" s="1"/>
      <c r="Z641" s="1"/>
      <c r="AA641" s="1"/>
      <c r="AB641" s="1"/>
      <c r="AC641" s="1"/>
    </row>
    <row r="642" spans="1:29" ht="14.25" customHeight="1" x14ac:dyDescent="0.2">
      <c r="A642" s="1"/>
      <c r="B642" s="1"/>
      <c r="C642" s="1"/>
      <c r="D642" s="1"/>
      <c r="E642" s="1"/>
      <c r="F642" s="1"/>
      <c r="G642" s="1"/>
      <c r="H642" s="1"/>
      <c r="I642" s="1"/>
      <c r="J642" s="1"/>
      <c r="K642" s="1"/>
      <c r="L642" s="1"/>
      <c r="M642" s="5"/>
      <c r="N642" s="5"/>
      <c r="O642" s="5"/>
      <c r="P642" s="5"/>
      <c r="Q642" s="1"/>
      <c r="R642" s="1"/>
      <c r="S642" s="1"/>
      <c r="T642" s="1"/>
      <c r="U642" s="1"/>
      <c r="V642" s="1"/>
      <c r="W642" s="1"/>
      <c r="X642" s="1"/>
      <c r="Y642" s="1"/>
      <c r="Z642" s="1"/>
      <c r="AA642" s="1"/>
      <c r="AB642" s="1"/>
      <c r="AC642" s="1"/>
    </row>
    <row r="643" spans="1:29" ht="14.25" customHeight="1" x14ac:dyDescent="0.2">
      <c r="A643" s="1"/>
      <c r="B643" s="1"/>
      <c r="C643" s="1"/>
      <c r="D643" s="1"/>
      <c r="E643" s="1"/>
      <c r="F643" s="1"/>
      <c r="G643" s="1"/>
      <c r="H643" s="1"/>
      <c r="I643" s="1"/>
      <c r="J643" s="1"/>
      <c r="K643" s="1"/>
      <c r="L643" s="1"/>
      <c r="M643" s="5"/>
      <c r="N643" s="5"/>
      <c r="O643" s="5"/>
      <c r="P643" s="5"/>
      <c r="Q643" s="1"/>
      <c r="R643" s="1"/>
      <c r="S643" s="1"/>
      <c r="T643" s="1"/>
      <c r="U643" s="1"/>
      <c r="V643" s="1"/>
      <c r="W643" s="1"/>
      <c r="X643" s="1"/>
      <c r="Y643" s="1"/>
      <c r="Z643" s="1"/>
      <c r="AA643" s="1"/>
      <c r="AB643" s="1"/>
      <c r="AC643" s="1"/>
    </row>
    <row r="644" spans="1:29" ht="14.25" customHeight="1" x14ac:dyDescent="0.2">
      <c r="A644" s="1"/>
      <c r="B644" s="1"/>
      <c r="C644" s="1"/>
      <c r="D644" s="1"/>
      <c r="E644" s="1"/>
      <c r="F644" s="1"/>
      <c r="G644" s="1"/>
      <c r="H644" s="1"/>
      <c r="I644" s="1"/>
      <c r="J644" s="1"/>
      <c r="K644" s="1"/>
      <c r="L644" s="1"/>
      <c r="M644" s="5"/>
      <c r="N644" s="5"/>
      <c r="O644" s="5"/>
      <c r="P644" s="5"/>
      <c r="Q644" s="1"/>
      <c r="R644" s="1"/>
      <c r="S644" s="1"/>
      <c r="T644" s="1"/>
      <c r="U644" s="1"/>
      <c r="V644" s="1"/>
      <c r="W644" s="1"/>
      <c r="X644" s="1"/>
      <c r="Y644" s="1"/>
      <c r="Z644" s="1"/>
      <c r="AA644" s="1"/>
      <c r="AB644" s="1"/>
      <c r="AC644" s="1"/>
    </row>
    <row r="645" spans="1:29" ht="14.25" customHeight="1" x14ac:dyDescent="0.2">
      <c r="A645" s="1"/>
      <c r="B645" s="1"/>
      <c r="C645" s="1"/>
      <c r="D645" s="1"/>
      <c r="E645" s="1"/>
      <c r="F645" s="1"/>
      <c r="G645" s="1"/>
      <c r="H645" s="1"/>
      <c r="I645" s="1"/>
      <c r="J645" s="1"/>
      <c r="K645" s="1"/>
      <c r="L645" s="1"/>
      <c r="M645" s="5"/>
      <c r="N645" s="5"/>
      <c r="O645" s="5"/>
      <c r="P645" s="5"/>
      <c r="Q645" s="1"/>
      <c r="R645" s="1"/>
      <c r="S645" s="1"/>
      <c r="T645" s="1"/>
      <c r="U645" s="1"/>
      <c r="V645" s="1"/>
      <c r="W645" s="1"/>
      <c r="X645" s="1"/>
      <c r="Y645" s="1"/>
      <c r="Z645" s="1"/>
      <c r="AA645" s="1"/>
      <c r="AB645" s="1"/>
      <c r="AC645" s="1"/>
    </row>
    <row r="646" spans="1:29" ht="14.25" customHeight="1" x14ac:dyDescent="0.2">
      <c r="A646" s="1"/>
      <c r="B646" s="1"/>
      <c r="C646" s="1"/>
      <c r="D646" s="1"/>
      <c r="E646" s="1"/>
      <c r="F646" s="1"/>
      <c r="G646" s="1"/>
      <c r="H646" s="1"/>
      <c r="I646" s="1"/>
      <c r="J646" s="1"/>
      <c r="K646" s="1"/>
      <c r="L646" s="1"/>
      <c r="M646" s="5"/>
      <c r="N646" s="5"/>
      <c r="O646" s="5"/>
      <c r="P646" s="5"/>
      <c r="Q646" s="1"/>
      <c r="R646" s="1"/>
      <c r="S646" s="1"/>
      <c r="T646" s="1"/>
      <c r="U646" s="1"/>
      <c r="V646" s="1"/>
      <c r="W646" s="1"/>
      <c r="X646" s="1"/>
      <c r="Y646" s="1"/>
      <c r="Z646" s="1"/>
      <c r="AA646" s="1"/>
      <c r="AB646" s="1"/>
      <c r="AC646" s="1"/>
    </row>
    <row r="647" spans="1:29" ht="14.25" customHeight="1" x14ac:dyDescent="0.2">
      <c r="A647" s="1"/>
      <c r="B647" s="1"/>
      <c r="C647" s="1"/>
      <c r="D647" s="1"/>
      <c r="E647" s="1"/>
      <c r="F647" s="1"/>
      <c r="G647" s="1"/>
      <c r="H647" s="1"/>
      <c r="I647" s="1"/>
      <c r="J647" s="1"/>
      <c r="K647" s="1"/>
      <c r="L647" s="1"/>
      <c r="M647" s="5"/>
      <c r="N647" s="5"/>
      <c r="O647" s="5"/>
      <c r="P647" s="5"/>
      <c r="Q647" s="1"/>
      <c r="R647" s="1"/>
      <c r="S647" s="1"/>
      <c r="T647" s="1"/>
      <c r="U647" s="1"/>
      <c r="V647" s="1"/>
      <c r="W647" s="1"/>
      <c r="X647" s="1"/>
      <c r="Y647" s="1"/>
      <c r="Z647" s="1"/>
      <c r="AA647" s="1"/>
      <c r="AB647" s="1"/>
      <c r="AC647" s="1"/>
    </row>
    <row r="648" spans="1:29" ht="14.25" customHeight="1" x14ac:dyDescent="0.2">
      <c r="A648" s="1"/>
      <c r="B648" s="1"/>
      <c r="C648" s="1"/>
      <c r="D648" s="1"/>
      <c r="E648" s="1"/>
      <c r="F648" s="1"/>
      <c r="G648" s="1"/>
      <c r="H648" s="1"/>
      <c r="I648" s="1"/>
      <c r="J648" s="1"/>
      <c r="K648" s="1"/>
      <c r="L648" s="1"/>
      <c r="M648" s="5"/>
      <c r="N648" s="5"/>
      <c r="O648" s="5"/>
      <c r="P648" s="5"/>
      <c r="Q648" s="1"/>
      <c r="R648" s="1"/>
      <c r="S648" s="1"/>
      <c r="T648" s="1"/>
      <c r="U648" s="1"/>
      <c r="V648" s="1"/>
      <c r="W648" s="1"/>
      <c r="X648" s="1"/>
      <c r="Y648" s="1"/>
      <c r="Z648" s="1"/>
      <c r="AA648" s="1"/>
      <c r="AB648" s="1"/>
      <c r="AC648" s="1"/>
    </row>
    <row r="649" spans="1:29" ht="14.25" customHeight="1" x14ac:dyDescent="0.2">
      <c r="A649" s="1"/>
      <c r="B649" s="1"/>
      <c r="C649" s="1"/>
      <c r="D649" s="1"/>
      <c r="E649" s="1"/>
      <c r="F649" s="1"/>
      <c r="G649" s="1"/>
      <c r="H649" s="1"/>
      <c r="I649" s="1"/>
      <c r="J649" s="1"/>
      <c r="K649" s="1"/>
      <c r="L649" s="1"/>
      <c r="M649" s="5"/>
      <c r="N649" s="5"/>
      <c r="O649" s="5"/>
      <c r="P649" s="5"/>
      <c r="Q649" s="1"/>
      <c r="R649" s="1"/>
      <c r="S649" s="1"/>
      <c r="T649" s="1"/>
      <c r="U649" s="1"/>
      <c r="V649" s="1"/>
      <c r="W649" s="1"/>
      <c r="X649" s="1"/>
      <c r="Y649" s="1"/>
      <c r="Z649" s="1"/>
      <c r="AA649" s="1"/>
      <c r="AB649" s="1"/>
      <c r="AC649" s="1"/>
    </row>
    <row r="650" spans="1:29" ht="14.25" customHeight="1" x14ac:dyDescent="0.2">
      <c r="A650" s="1"/>
      <c r="B650" s="1"/>
      <c r="C650" s="1"/>
      <c r="D650" s="1"/>
      <c r="E650" s="1"/>
      <c r="F650" s="1"/>
      <c r="G650" s="1"/>
      <c r="H650" s="1"/>
      <c r="I650" s="1"/>
      <c r="J650" s="1"/>
      <c r="K650" s="1"/>
      <c r="L650" s="1"/>
      <c r="M650" s="5"/>
      <c r="N650" s="5"/>
      <c r="O650" s="5"/>
      <c r="P650" s="5"/>
      <c r="Q650" s="1"/>
      <c r="R650" s="1"/>
      <c r="S650" s="1"/>
      <c r="T650" s="1"/>
      <c r="U650" s="1"/>
      <c r="V650" s="1"/>
      <c r="W650" s="1"/>
      <c r="X650" s="1"/>
      <c r="Y650" s="1"/>
      <c r="Z650" s="1"/>
      <c r="AA650" s="1"/>
      <c r="AB650" s="1"/>
      <c r="AC650" s="1"/>
    </row>
    <row r="651" spans="1:29" ht="14.25" customHeight="1" x14ac:dyDescent="0.2">
      <c r="A651" s="1"/>
      <c r="B651" s="1"/>
      <c r="C651" s="1"/>
      <c r="D651" s="1"/>
      <c r="E651" s="1"/>
      <c r="F651" s="1"/>
      <c r="G651" s="1"/>
      <c r="H651" s="1"/>
      <c r="I651" s="1"/>
      <c r="J651" s="1"/>
      <c r="K651" s="1"/>
      <c r="L651" s="1"/>
      <c r="M651" s="5"/>
      <c r="N651" s="5"/>
      <c r="O651" s="5"/>
      <c r="P651" s="5"/>
      <c r="Q651" s="1"/>
      <c r="R651" s="1"/>
      <c r="S651" s="1"/>
      <c r="T651" s="1"/>
      <c r="U651" s="1"/>
      <c r="V651" s="1"/>
      <c r="W651" s="1"/>
      <c r="X651" s="1"/>
      <c r="Y651" s="1"/>
      <c r="Z651" s="1"/>
      <c r="AA651" s="1"/>
      <c r="AB651" s="1"/>
      <c r="AC651" s="1"/>
    </row>
    <row r="652" spans="1:29" ht="14.25" customHeight="1" x14ac:dyDescent="0.2">
      <c r="A652" s="1"/>
      <c r="B652" s="1"/>
      <c r="C652" s="1"/>
      <c r="D652" s="1"/>
      <c r="E652" s="1"/>
      <c r="F652" s="1"/>
      <c r="G652" s="1"/>
      <c r="H652" s="1"/>
      <c r="I652" s="1"/>
      <c r="J652" s="1"/>
      <c r="K652" s="1"/>
      <c r="L652" s="1"/>
      <c r="M652" s="5"/>
      <c r="N652" s="5"/>
      <c r="O652" s="5"/>
      <c r="P652" s="5"/>
      <c r="Q652" s="1"/>
      <c r="R652" s="1"/>
      <c r="S652" s="1"/>
      <c r="T652" s="1"/>
      <c r="U652" s="1"/>
      <c r="V652" s="1"/>
      <c r="W652" s="1"/>
      <c r="X652" s="1"/>
      <c r="Y652" s="1"/>
      <c r="Z652" s="1"/>
      <c r="AA652" s="1"/>
      <c r="AB652" s="1"/>
      <c r="AC652" s="1"/>
    </row>
    <row r="653" spans="1:29" ht="14.25" customHeight="1" x14ac:dyDescent="0.2">
      <c r="A653" s="1"/>
      <c r="B653" s="1"/>
      <c r="C653" s="1"/>
      <c r="D653" s="1"/>
      <c r="E653" s="1"/>
      <c r="F653" s="1"/>
      <c r="G653" s="1"/>
      <c r="H653" s="1"/>
      <c r="I653" s="1"/>
      <c r="J653" s="1"/>
      <c r="K653" s="1"/>
      <c r="L653" s="1"/>
      <c r="M653" s="5"/>
      <c r="N653" s="5"/>
      <c r="O653" s="5"/>
      <c r="P653" s="5"/>
      <c r="Q653" s="1"/>
      <c r="R653" s="1"/>
      <c r="S653" s="1"/>
      <c r="T653" s="1"/>
      <c r="U653" s="1"/>
      <c r="V653" s="1"/>
      <c r="W653" s="1"/>
      <c r="X653" s="1"/>
      <c r="Y653" s="1"/>
      <c r="Z653" s="1"/>
      <c r="AA653" s="1"/>
      <c r="AB653" s="1"/>
      <c r="AC653" s="1"/>
    </row>
    <row r="654" spans="1:29" ht="14.25" customHeight="1" x14ac:dyDescent="0.2">
      <c r="A654" s="1"/>
      <c r="B654" s="1"/>
      <c r="C654" s="1"/>
      <c r="D654" s="1"/>
      <c r="E654" s="1"/>
      <c r="F654" s="1"/>
      <c r="G654" s="1"/>
      <c r="H654" s="1"/>
      <c r="I654" s="1"/>
      <c r="J654" s="1"/>
      <c r="K654" s="1"/>
      <c r="L654" s="1"/>
      <c r="M654" s="5"/>
      <c r="N654" s="5"/>
      <c r="O654" s="5"/>
      <c r="P654" s="5"/>
      <c r="Q654" s="1"/>
      <c r="R654" s="1"/>
      <c r="S654" s="1"/>
      <c r="T654" s="1"/>
      <c r="U654" s="1"/>
      <c r="V654" s="1"/>
      <c r="W654" s="1"/>
      <c r="X654" s="1"/>
      <c r="Y654" s="1"/>
      <c r="Z654" s="1"/>
      <c r="AA654" s="1"/>
      <c r="AB654" s="1"/>
      <c r="AC654" s="1"/>
    </row>
    <row r="655" spans="1:29" ht="14.25" customHeight="1" x14ac:dyDescent="0.2">
      <c r="A655" s="1"/>
      <c r="B655" s="1"/>
      <c r="C655" s="1"/>
      <c r="D655" s="1"/>
      <c r="E655" s="1"/>
      <c r="F655" s="1"/>
      <c r="G655" s="1"/>
      <c r="H655" s="1"/>
      <c r="I655" s="1"/>
      <c r="J655" s="1"/>
      <c r="K655" s="1"/>
      <c r="L655" s="1"/>
      <c r="M655" s="5"/>
      <c r="N655" s="5"/>
      <c r="O655" s="5"/>
      <c r="P655" s="5"/>
      <c r="Q655" s="1"/>
      <c r="R655" s="1"/>
      <c r="S655" s="1"/>
      <c r="T655" s="1"/>
      <c r="U655" s="1"/>
      <c r="V655" s="1"/>
      <c r="W655" s="1"/>
      <c r="X655" s="1"/>
      <c r="Y655" s="1"/>
      <c r="Z655" s="1"/>
      <c r="AA655" s="1"/>
      <c r="AB655" s="1"/>
      <c r="AC655" s="1"/>
    </row>
    <row r="656" spans="1:29" ht="14.25" customHeight="1" x14ac:dyDescent="0.2">
      <c r="A656" s="1"/>
      <c r="B656" s="1"/>
      <c r="C656" s="1"/>
      <c r="D656" s="1"/>
      <c r="E656" s="1"/>
      <c r="F656" s="1"/>
      <c r="G656" s="1"/>
      <c r="H656" s="1"/>
      <c r="I656" s="1"/>
      <c r="J656" s="1"/>
      <c r="K656" s="1"/>
      <c r="L656" s="1"/>
      <c r="M656" s="5"/>
      <c r="N656" s="5"/>
      <c r="O656" s="5"/>
      <c r="P656" s="5"/>
      <c r="Q656" s="1"/>
      <c r="R656" s="1"/>
      <c r="S656" s="1"/>
      <c r="T656" s="1"/>
      <c r="U656" s="1"/>
      <c r="V656" s="1"/>
      <c r="W656" s="1"/>
      <c r="X656" s="1"/>
      <c r="Y656" s="1"/>
      <c r="Z656" s="1"/>
      <c r="AA656" s="1"/>
      <c r="AB656" s="1"/>
      <c r="AC656" s="1"/>
    </row>
    <row r="657" spans="1:29" ht="14.25" customHeight="1" x14ac:dyDescent="0.2">
      <c r="A657" s="1"/>
      <c r="B657" s="1"/>
      <c r="C657" s="1"/>
      <c r="D657" s="1"/>
      <c r="E657" s="1"/>
      <c r="F657" s="1"/>
      <c r="G657" s="1"/>
      <c r="H657" s="1"/>
      <c r="I657" s="1"/>
      <c r="J657" s="1"/>
      <c r="K657" s="1"/>
      <c r="L657" s="1"/>
      <c r="M657" s="5"/>
      <c r="N657" s="5"/>
      <c r="O657" s="5"/>
      <c r="P657" s="5"/>
      <c r="Q657" s="1"/>
      <c r="R657" s="1"/>
      <c r="S657" s="1"/>
      <c r="T657" s="1"/>
      <c r="U657" s="1"/>
      <c r="V657" s="1"/>
      <c r="W657" s="1"/>
      <c r="X657" s="1"/>
      <c r="Y657" s="1"/>
      <c r="Z657" s="1"/>
      <c r="AA657" s="1"/>
      <c r="AB657" s="1"/>
      <c r="AC657" s="1"/>
    </row>
    <row r="658" spans="1:29" ht="14.25" customHeight="1" x14ac:dyDescent="0.2">
      <c r="A658" s="1"/>
      <c r="B658" s="1"/>
      <c r="C658" s="1"/>
      <c r="D658" s="1"/>
      <c r="E658" s="1"/>
      <c r="F658" s="1"/>
      <c r="G658" s="1"/>
      <c r="H658" s="1"/>
      <c r="I658" s="1"/>
      <c r="J658" s="1"/>
      <c r="K658" s="1"/>
      <c r="L658" s="1"/>
      <c r="M658" s="5"/>
      <c r="N658" s="5"/>
      <c r="O658" s="5"/>
      <c r="P658" s="5"/>
      <c r="Q658" s="1"/>
      <c r="R658" s="1"/>
      <c r="S658" s="1"/>
      <c r="T658" s="1"/>
      <c r="U658" s="1"/>
      <c r="V658" s="1"/>
      <c r="W658" s="1"/>
      <c r="X658" s="1"/>
      <c r="Y658" s="1"/>
      <c r="Z658" s="1"/>
      <c r="AA658" s="1"/>
      <c r="AB658" s="1"/>
      <c r="AC658" s="1"/>
    </row>
    <row r="659" spans="1:29" ht="14.25" customHeight="1" x14ac:dyDescent="0.2">
      <c r="A659" s="1"/>
      <c r="B659" s="1"/>
      <c r="C659" s="1"/>
      <c r="D659" s="1"/>
      <c r="E659" s="1"/>
      <c r="F659" s="1"/>
      <c r="G659" s="1"/>
      <c r="H659" s="1"/>
      <c r="I659" s="1"/>
      <c r="J659" s="1"/>
      <c r="K659" s="1"/>
      <c r="L659" s="1"/>
      <c r="M659" s="5"/>
      <c r="N659" s="5"/>
      <c r="O659" s="5"/>
      <c r="P659" s="5"/>
      <c r="Q659" s="1"/>
      <c r="R659" s="1"/>
      <c r="S659" s="1"/>
      <c r="T659" s="1"/>
      <c r="U659" s="1"/>
      <c r="V659" s="1"/>
      <c r="W659" s="1"/>
      <c r="X659" s="1"/>
      <c r="Y659" s="1"/>
      <c r="Z659" s="1"/>
      <c r="AA659" s="1"/>
      <c r="AB659" s="1"/>
      <c r="AC659" s="1"/>
    </row>
    <row r="660" spans="1:29" ht="14.25" customHeight="1" x14ac:dyDescent="0.2">
      <c r="A660" s="1"/>
      <c r="B660" s="1"/>
      <c r="C660" s="1"/>
      <c r="D660" s="1"/>
      <c r="E660" s="1"/>
      <c r="F660" s="1"/>
      <c r="G660" s="1"/>
      <c r="H660" s="1"/>
      <c r="I660" s="1"/>
      <c r="J660" s="1"/>
      <c r="K660" s="1"/>
      <c r="L660" s="1"/>
      <c r="M660" s="5"/>
      <c r="N660" s="5"/>
      <c r="O660" s="5"/>
      <c r="P660" s="5"/>
      <c r="Q660" s="1"/>
      <c r="R660" s="1"/>
      <c r="S660" s="1"/>
      <c r="T660" s="1"/>
      <c r="U660" s="1"/>
      <c r="V660" s="1"/>
      <c r="W660" s="1"/>
      <c r="X660" s="1"/>
      <c r="Y660" s="1"/>
      <c r="Z660" s="1"/>
      <c r="AA660" s="1"/>
      <c r="AB660" s="1"/>
      <c r="AC660" s="1"/>
    </row>
    <row r="661" spans="1:29" ht="14.25" customHeight="1" x14ac:dyDescent="0.2">
      <c r="A661" s="1"/>
      <c r="B661" s="1"/>
      <c r="C661" s="1"/>
      <c r="D661" s="1"/>
      <c r="E661" s="1"/>
      <c r="F661" s="1"/>
      <c r="G661" s="1"/>
      <c r="H661" s="1"/>
      <c r="I661" s="1"/>
      <c r="J661" s="1"/>
      <c r="K661" s="1"/>
      <c r="L661" s="1"/>
      <c r="M661" s="5"/>
      <c r="N661" s="5"/>
      <c r="O661" s="5"/>
      <c r="P661" s="5"/>
      <c r="Q661" s="1"/>
      <c r="R661" s="1"/>
      <c r="S661" s="1"/>
      <c r="T661" s="1"/>
      <c r="U661" s="1"/>
      <c r="V661" s="1"/>
      <c r="W661" s="1"/>
      <c r="X661" s="1"/>
      <c r="Y661" s="1"/>
      <c r="Z661" s="1"/>
      <c r="AA661" s="1"/>
      <c r="AB661" s="1"/>
      <c r="AC661" s="1"/>
    </row>
    <row r="662" spans="1:29" ht="14.25" customHeight="1" x14ac:dyDescent="0.2">
      <c r="A662" s="1"/>
      <c r="B662" s="1"/>
      <c r="C662" s="1"/>
      <c r="D662" s="1"/>
      <c r="E662" s="1"/>
      <c r="F662" s="1"/>
      <c r="G662" s="1"/>
      <c r="H662" s="1"/>
      <c r="I662" s="1"/>
      <c r="J662" s="1"/>
      <c r="K662" s="1"/>
      <c r="L662" s="1"/>
      <c r="M662" s="5"/>
      <c r="N662" s="5"/>
      <c r="O662" s="5"/>
      <c r="P662" s="5"/>
      <c r="Q662" s="1"/>
      <c r="R662" s="1"/>
      <c r="S662" s="1"/>
      <c r="T662" s="1"/>
      <c r="U662" s="1"/>
      <c r="V662" s="1"/>
      <c r="W662" s="1"/>
      <c r="X662" s="1"/>
      <c r="Y662" s="1"/>
      <c r="Z662" s="1"/>
      <c r="AA662" s="1"/>
      <c r="AB662" s="1"/>
      <c r="AC662" s="1"/>
    </row>
    <row r="663" spans="1:29" ht="14.25" customHeight="1" x14ac:dyDescent="0.2">
      <c r="A663" s="1"/>
      <c r="B663" s="1"/>
      <c r="C663" s="1"/>
      <c r="D663" s="1"/>
      <c r="E663" s="1"/>
      <c r="F663" s="1"/>
      <c r="G663" s="1"/>
      <c r="H663" s="1"/>
      <c r="I663" s="1"/>
      <c r="J663" s="1"/>
      <c r="K663" s="1"/>
      <c r="L663" s="1"/>
      <c r="M663" s="5"/>
      <c r="N663" s="5"/>
      <c r="O663" s="5"/>
      <c r="P663" s="5"/>
      <c r="Q663" s="1"/>
      <c r="R663" s="1"/>
      <c r="S663" s="1"/>
      <c r="T663" s="1"/>
      <c r="U663" s="1"/>
      <c r="V663" s="1"/>
      <c r="W663" s="1"/>
      <c r="X663" s="1"/>
      <c r="Y663" s="1"/>
      <c r="Z663" s="1"/>
      <c r="AA663" s="1"/>
      <c r="AB663" s="1"/>
      <c r="AC663" s="1"/>
    </row>
    <row r="664" spans="1:29" ht="14.25" customHeight="1" x14ac:dyDescent="0.2">
      <c r="A664" s="1"/>
      <c r="B664" s="1"/>
      <c r="C664" s="1"/>
      <c r="D664" s="1"/>
      <c r="E664" s="1"/>
      <c r="F664" s="1"/>
      <c r="G664" s="1"/>
      <c r="H664" s="1"/>
      <c r="I664" s="1"/>
      <c r="J664" s="1"/>
      <c r="K664" s="1"/>
      <c r="L664" s="1"/>
      <c r="M664" s="5"/>
      <c r="N664" s="5"/>
      <c r="O664" s="5"/>
      <c r="P664" s="5"/>
      <c r="Q664" s="1"/>
      <c r="R664" s="1"/>
      <c r="S664" s="1"/>
      <c r="T664" s="1"/>
      <c r="U664" s="1"/>
      <c r="V664" s="1"/>
      <c r="W664" s="1"/>
      <c r="X664" s="1"/>
      <c r="Y664" s="1"/>
      <c r="Z664" s="1"/>
      <c r="AA664" s="1"/>
      <c r="AB664" s="1"/>
      <c r="AC664" s="1"/>
    </row>
    <row r="665" spans="1:29" ht="14.25" customHeight="1" x14ac:dyDescent="0.2">
      <c r="A665" s="1"/>
      <c r="B665" s="1"/>
      <c r="C665" s="1"/>
      <c r="D665" s="1"/>
      <c r="E665" s="1"/>
      <c r="F665" s="1"/>
      <c r="G665" s="1"/>
      <c r="H665" s="1"/>
      <c r="I665" s="1"/>
      <c r="J665" s="1"/>
      <c r="K665" s="1"/>
      <c r="L665" s="1"/>
      <c r="M665" s="5"/>
      <c r="N665" s="5"/>
      <c r="O665" s="5"/>
      <c r="P665" s="5"/>
      <c r="Q665" s="1"/>
      <c r="R665" s="1"/>
      <c r="S665" s="1"/>
      <c r="T665" s="1"/>
      <c r="U665" s="1"/>
      <c r="V665" s="1"/>
      <c r="W665" s="1"/>
      <c r="X665" s="1"/>
      <c r="Y665" s="1"/>
      <c r="Z665" s="1"/>
      <c r="AA665" s="1"/>
      <c r="AB665" s="1"/>
      <c r="AC665" s="1"/>
    </row>
    <row r="666" spans="1:29" ht="14.25" customHeight="1" x14ac:dyDescent="0.2">
      <c r="A666" s="1"/>
      <c r="B666" s="1"/>
      <c r="C666" s="1"/>
      <c r="D666" s="1"/>
      <c r="E666" s="1"/>
      <c r="F666" s="1"/>
      <c r="G666" s="1"/>
      <c r="H666" s="1"/>
      <c r="I666" s="1"/>
      <c r="J666" s="1"/>
      <c r="K666" s="1"/>
      <c r="L666" s="1"/>
      <c r="M666" s="5"/>
      <c r="N666" s="5"/>
      <c r="O666" s="5"/>
      <c r="P666" s="5"/>
      <c r="Q666" s="1"/>
      <c r="R666" s="1"/>
      <c r="S666" s="1"/>
      <c r="T666" s="1"/>
      <c r="U666" s="1"/>
      <c r="V666" s="1"/>
      <c r="W666" s="1"/>
      <c r="X666" s="1"/>
      <c r="Y666" s="1"/>
      <c r="Z666" s="1"/>
      <c r="AA666" s="1"/>
      <c r="AB666" s="1"/>
      <c r="AC666" s="1"/>
    </row>
    <row r="667" spans="1:29" ht="14.25" customHeight="1" x14ac:dyDescent="0.2">
      <c r="A667" s="1"/>
      <c r="B667" s="1"/>
      <c r="C667" s="1"/>
      <c r="D667" s="1"/>
      <c r="E667" s="1"/>
      <c r="F667" s="1"/>
      <c r="G667" s="1"/>
      <c r="H667" s="1"/>
      <c r="I667" s="1"/>
      <c r="J667" s="1"/>
      <c r="K667" s="1"/>
      <c r="L667" s="1"/>
      <c r="M667" s="5"/>
      <c r="N667" s="5"/>
      <c r="O667" s="5"/>
      <c r="P667" s="5"/>
      <c r="Q667" s="1"/>
      <c r="R667" s="1"/>
      <c r="S667" s="1"/>
      <c r="T667" s="1"/>
      <c r="U667" s="1"/>
      <c r="V667" s="1"/>
      <c r="W667" s="1"/>
      <c r="X667" s="1"/>
      <c r="Y667" s="1"/>
      <c r="Z667" s="1"/>
      <c r="AA667" s="1"/>
      <c r="AB667" s="1"/>
      <c r="AC667" s="1"/>
    </row>
    <row r="668" spans="1:29" ht="14.25" customHeight="1" x14ac:dyDescent="0.2">
      <c r="A668" s="1"/>
      <c r="B668" s="1"/>
      <c r="C668" s="1"/>
      <c r="D668" s="1"/>
      <c r="E668" s="1"/>
      <c r="F668" s="1"/>
      <c r="G668" s="1"/>
      <c r="H668" s="1"/>
      <c r="I668" s="1"/>
      <c r="J668" s="1"/>
      <c r="K668" s="1"/>
      <c r="L668" s="1"/>
      <c r="M668" s="5"/>
      <c r="N668" s="5"/>
      <c r="O668" s="5"/>
      <c r="P668" s="5"/>
      <c r="Q668" s="1"/>
      <c r="R668" s="1"/>
      <c r="S668" s="1"/>
      <c r="T668" s="1"/>
      <c r="U668" s="1"/>
      <c r="V668" s="1"/>
      <c r="W668" s="1"/>
      <c r="X668" s="1"/>
      <c r="Y668" s="1"/>
      <c r="Z668" s="1"/>
      <c r="AA668" s="1"/>
      <c r="AB668" s="1"/>
      <c r="AC668" s="1"/>
    </row>
    <row r="669" spans="1:29" ht="14.25" customHeight="1" x14ac:dyDescent="0.2">
      <c r="A669" s="1"/>
      <c r="B669" s="1"/>
      <c r="C669" s="1"/>
      <c r="D669" s="1"/>
      <c r="E669" s="1"/>
      <c r="F669" s="1"/>
      <c r="G669" s="1"/>
      <c r="H669" s="1"/>
      <c r="I669" s="1"/>
      <c r="J669" s="1"/>
      <c r="K669" s="1"/>
      <c r="L669" s="1"/>
      <c r="M669" s="5"/>
      <c r="N669" s="5"/>
      <c r="O669" s="5"/>
      <c r="P669" s="5"/>
      <c r="Q669" s="1"/>
      <c r="R669" s="1"/>
      <c r="S669" s="1"/>
      <c r="T669" s="1"/>
      <c r="U669" s="1"/>
      <c r="V669" s="1"/>
      <c r="W669" s="1"/>
      <c r="X669" s="1"/>
      <c r="Y669" s="1"/>
      <c r="Z669" s="1"/>
      <c r="AA669" s="1"/>
      <c r="AB669" s="1"/>
      <c r="AC669" s="1"/>
    </row>
    <row r="670" spans="1:29" ht="14.25" customHeight="1" x14ac:dyDescent="0.2">
      <c r="A670" s="1"/>
      <c r="B670" s="1"/>
      <c r="C670" s="1"/>
      <c r="D670" s="1"/>
      <c r="E670" s="1"/>
      <c r="F670" s="1"/>
      <c r="G670" s="1"/>
      <c r="H670" s="1"/>
      <c r="I670" s="1"/>
      <c r="J670" s="1"/>
      <c r="K670" s="1"/>
      <c r="L670" s="1"/>
      <c r="M670" s="5"/>
      <c r="N670" s="5"/>
      <c r="O670" s="5"/>
      <c r="P670" s="5"/>
      <c r="Q670" s="1"/>
      <c r="R670" s="1"/>
      <c r="S670" s="1"/>
      <c r="T670" s="1"/>
      <c r="U670" s="1"/>
      <c r="V670" s="1"/>
      <c r="W670" s="1"/>
      <c r="X670" s="1"/>
      <c r="Y670" s="1"/>
      <c r="Z670" s="1"/>
      <c r="AA670" s="1"/>
      <c r="AB670" s="1"/>
      <c r="AC670" s="1"/>
    </row>
    <row r="671" spans="1:29" ht="14.25" customHeight="1" x14ac:dyDescent="0.2">
      <c r="A671" s="1"/>
      <c r="B671" s="1"/>
      <c r="C671" s="1"/>
      <c r="D671" s="1"/>
      <c r="E671" s="1"/>
      <c r="F671" s="1"/>
      <c r="G671" s="1"/>
      <c r="H671" s="1"/>
      <c r="I671" s="1"/>
      <c r="J671" s="1"/>
      <c r="K671" s="1"/>
      <c r="L671" s="1"/>
      <c r="M671" s="5"/>
      <c r="N671" s="5"/>
      <c r="O671" s="5"/>
      <c r="P671" s="5"/>
      <c r="Q671" s="1"/>
      <c r="R671" s="1"/>
      <c r="S671" s="1"/>
      <c r="T671" s="1"/>
      <c r="U671" s="1"/>
      <c r="V671" s="1"/>
      <c r="W671" s="1"/>
      <c r="X671" s="1"/>
      <c r="Y671" s="1"/>
      <c r="Z671" s="1"/>
      <c r="AA671" s="1"/>
      <c r="AB671" s="1"/>
      <c r="AC671" s="1"/>
    </row>
    <row r="672" spans="1:29" ht="14.25" customHeight="1" x14ac:dyDescent="0.2">
      <c r="A672" s="1"/>
      <c r="B672" s="1"/>
      <c r="C672" s="1"/>
      <c r="D672" s="1"/>
      <c r="E672" s="1"/>
      <c r="F672" s="1"/>
      <c r="G672" s="1"/>
      <c r="H672" s="1"/>
      <c r="I672" s="1"/>
      <c r="J672" s="1"/>
      <c r="K672" s="1"/>
      <c r="L672" s="1"/>
      <c r="M672" s="5"/>
      <c r="N672" s="5"/>
      <c r="O672" s="5"/>
      <c r="P672" s="5"/>
      <c r="Q672" s="1"/>
      <c r="R672" s="1"/>
      <c r="S672" s="1"/>
      <c r="T672" s="1"/>
      <c r="U672" s="1"/>
      <c r="V672" s="1"/>
      <c r="W672" s="1"/>
      <c r="X672" s="1"/>
      <c r="Y672" s="1"/>
      <c r="Z672" s="1"/>
      <c r="AA672" s="1"/>
      <c r="AB672" s="1"/>
      <c r="AC672" s="1"/>
    </row>
    <row r="673" spans="1:29" ht="14.25" customHeight="1" x14ac:dyDescent="0.2">
      <c r="A673" s="1"/>
      <c r="B673" s="1"/>
      <c r="C673" s="1"/>
      <c r="D673" s="1"/>
      <c r="E673" s="1"/>
      <c r="F673" s="1"/>
      <c r="G673" s="1"/>
      <c r="H673" s="1"/>
      <c r="I673" s="1"/>
      <c r="J673" s="1"/>
      <c r="K673" s="1"/>
      <c r="L673" s="1"/>
      <c r="M673" s="5"/>
      <c r="N673" s="5"/>
      <c r="O673" s="5"/>
      <c r="P673" s="5"/>
      <c r="Q673" s="1"/>
      <c r="R673" s="1"/>
      <c r="S673" s="1"/>
      <c r="T673" s="1"/>
      <c r="U673" s="1"/>
      <c r="V673" s="1"/>
      <c r="W673" s="1"/>
      <c r="X673" s="1"/>
      <c r="Y673" s="1"/>
      <c r="Z673" s="1"/>
      <c r="AA673" s="1"/>
      <c r="AB673" s="1"/>
      <c r="AC673" s="1"/>
    </row>
    <row r="674" spans="1:29" ht="14.25" customHeight="1" x14ac:dyDescent="0.2">
      <c r="A674" s="1"/>
      <c r="B674" s="1"/>
      <c r="C674" s="1"/>
      <c r="D674" s="1"/>
      <c r="E674" s="1"/>
      <c r="F674" s="1"/>
      <c r="G674" s="1"/>
      <c r="H674" s="1"/>
      <c r="I674" s="1"/>
      <c r="J674" s="1"/>
      <c r="K674" s="1"/>
      <c r="L674" s="1"/>
      <c r="M674" s="5"/>
      <c r="N674" s="5"/>
      <c r="O674" s="5"/>
      <c r="P674" s="5"/>
      <c r="Q674" s="1"/>
      <c r="R674" s="1"/>
      <c r="S674" s="1"/>
      <c r="T674" s="1"/>
      <c r="U674" s="1"/>
      <c r="V674" s="1"/>
      <c r="W674" s="1"/>
      <c r="X674" s="1"/>
      <c r="Y674" s="1"/>
      <c r="Z674" s="1"/>
      <c r="AA674" s="1"/>
      <c r="AB674" s="1"/>
      <c r="AC674" s="1"/>
    </row>
    <row r="675" spans="1:29" ht="14.25" customHeight="1" x14ac:dyDescent="0.2">
      <c r="A675" s="1"/>
      <c r="B675" s="1"/>
      <c r="C675" s="1"/>
      <c r="D675" s="1"/>
      <c r="E675" s="1"/>
      <c r="F675" s="1"/>
      <c r="G675" s="1"/>
      <c r="H675" s="1"/>
      <c r="I675" s="1"/>
      <c r="J675" s="1"/>
      <c r="K675" s="1"/>
      <c r="L675" s="1"/>
      <c r="M675" s="5"/>
      <c r="N675" s="5"/>
      <c r="O675" s="5"/>
      <c r="P675" s="5"/>
      <c r="Q675" s="1"/>
      <c r="R675" s="1"/>
      <c r="S675" s="1"/>
      <c r="T675" s="1"/>
      <c r="U675" s="1"/>
      <c r="V675" s="1"/>
      <c r="W675" s="1"/>
      <c r="X675" s="1"/>
      <c r="Y675" s="1"/>
      <c r="Z675" s="1"/>
      <c r="AA675" s="1"/>
      <c r="AB675" s="1"/>
      <c r="AC675" s="1"/>
    </row>
    <row r="676" spans="1:29" ht="14.25" customHeight="1" x14ac:dyDescent="0.2">
      <c r="A676" s="1"/>
      <c r="B676" s="1"/>
      <c r="C676" s="1"/>
      <c r="D676" s="1"/>
      <c r="E676" s="1"/>
      <c r="F676" s="1"/>
      <c r="G676" s="1"/>
      <c r="H676" s="1"/>
      <c r="I676" s="1"/>
      <c r="J676" s="1"/>
      <c r="K676" s="1"/>
      <c r="L676" s="1"/>
      <c r="M676" s="5"/>
      <c r="N676" s="5"/>
      <c r="O676" s="5"/>
      <c r="P676" s="5"/>
      <c r="Q676" s="1"/>
      <c r="R676" s="1"/>
      <c r="S676" s="1"/>
      <c r="T676" s="1"/>
      <c r="U676" s="1"/>
      <c r="V676" s="1"/>
      <c r="W676" s="1"/>
      <c r="X676" s="1"/>
      <c r="Y676" s="1"/>
      <c r="Z676" s="1"/>
      <c r="AA676" s="1"/>
      <c r="AB676" s="1"/>
      <c r="AC676" s="1"/>
    </row>
    <row r="677" spans="1:29" ht="14.25" customHeight="1" x14ac:dyDescent="0.2">
      <c r="A677" s="1"/>
      <c r="B677" s="1"/>
      <c r="C677" s="1"/>
      <c r="D677" s="1"/>
      <c r="E677" s="1"/>
      <c r="F677" s="1"/>
      <c r="G677" s="1"/>
      <c r="H677" s="1"/>
      <c r="I677" s="1"/>
      <c r="J677" s="1"/>
      <c r="K677" s="1"/>
      <c r="L677" s="1"/>
      <c r="M677" s="5"/>
      <c r="N677" s="5"/>
      <c r="O677" s="5"/>
      <c r="P677" s="5"/>
      <c r="Q677" s="1"/>
      <c r="R677" s="1"/>
      <c r="S677" s="1"/>
      <c r="T677" s="1"/>
      <c r="U677" s="1"/>
      <c r="V677" s="1"/>
      <c r="W677" s="1"/>
      <c r="X677" s="1"/>
      <c r="Y677" s="1"/>
      <c r="Z677" s="1"/>
      <c r="AA677" s="1"/>
      <c r="AB677" s="1"/>
      <c r="AC677" s="1"/>
    </row>
    <row r="678" spans="1:29" ht="14.25" customHeight="1" x14ac:dyDescent="0.2">
      <c r="A678" s="1"/>
      <c r="B678" s="1"/>
      <c r="C678" s="1"/>
      <c r="D678" s="1"/>
      <c r="E678" s="1"/>
      <c r="F678" s="1"/>
      <c r="G678" s="1"/>
      <c r="H678" s="1"/>
      <c r="I678" s="1"/>
      <c r="J678" s="1"/>
      <c r="K678" s="1"/>
      <c r="L678" s="1"/>
      <c r="M678" s="5"/>
      <c r="N678" s="5"/>
      <c r="O678" s="5"/>
      <c r="P678" s="5"/>
      <c r="Q678" s="1"/>
      <c r="R678" s="1"/>
      <c r="S678" s="1"/>
      <c r="T678" s="1"/>
      <c r="U678" s="1"/>
      <c r="V678" s="1"/>
      <c r="W678" s="1"/>
      <c r="X678" s="1"/>
      <c r="Y678" s="1"/>
      <c r="Z678" s="1"/>
      <c r="AA678" s="1"/>
      <c r="AB678" s="1"/>
      <c r="AC678" s="1"/>
    </row>
    <row r="679" spans="1:29" ht="14.25" customHeight="1" x14ac:dyDescent="0.2">
      <c r="A679" s="1"/>
      <c r="B679" s="1"/>
      <c r="C679" s="1"/>
      <c r="D679" s="1"/>
      <c r="E679" s="1"/>
      <c r="F679" s="1"/>
      <c r="G679" s="1"/>
      <c r="H679" s="1"/>
      <c r="I679" s="1"/>
      <c r="J679" s="1"/>
      <c r="K679" s="1"/>
      <c r="L679" s="1"/>
      <c r="M679" s="5"/>
      <c r="N679" s="5"/>
      <c r="O679" s="5"/>
      <c r="P679" s="5"/>
      <c r="Q679" s="1"/>
      <c r="R679" s="1"/>
      <c r="S679" s="1"/>
      <c r="T679" s="1"/>
      <c r="U679" s="1"/>
      <c r="V679" s="1"/>
      <c r="W679" s="1"/>
      <c r="X679" s="1"/>
      <c r="Y679" s="1"/>
      <c r="Z679" s="1"/>
      <c r="AA679" s="1"/>
      <c r="AB679" s="1"/>
      <c r="AC679" s="1"/>
    </row>
    <row r="680" spans="1:29" ht="14.25" customHeight="1" x14ac:dyDescent="0.2">
      <c r="A680" s="1"/>
      <c r="B680" s="1"/>
      <c r="C680" s="1"/>
      <c r="D680" s="1"/>
      <c r="E680" s="1"/>
      <c r="F680" s="1"/>
      <c r="G680" s="1"/>
      <c r="H680" s="1"/>
      <c r="I680" s="1"/>
      <c r="J680" s="1"/>
      <c r="K680" s="1"/>
      <c r="L680" s="1"/>
      <c r="M680" s="5"/>
      <c r="N680" s="5"/>
      <c r="O680" s="5"/>
      <c r="P680" s="5"/>
      <c r="Q680" s="1"/>
      <c r="R680" s="1"/>
      <c r="S680" s="1"/>
      <c r="T680" s="1"/>
      <c r="U680" s="1"/>
      <c r="V680" s="1"/>
      <c r="W680" s="1"/>
      <c r="X680" s="1"/>
      <c r="Y680" s="1"/>
      <c r="Z680" s="1"/>
      <c r="AA680" s="1"/>
      <c r="AB680" s="1"/>
      <c r="AC680" s="1"/>
    </row>
    <row r="681" spans="1:29" ht="14.25" customHeight="1" x14ac:dyDescent="0.2">
      <c r="A681" s="1"/>
      <c r="B681" s="1"/>
      <c r="C681" s="1"/>
      <c r="D681" s="1"/>
      <c r="E681" s="1"/>
      <c r="F681" s="1"/>
      <c r="G681" s="1"/>
      <c r="H681" s="1"/>
      <c r="I681" s="1"/>
      <c r="J681" s="1"/>
      <c r="K681" s="1"/>
      <c r="L681" s="1"/>
      <c r="M681" s="5"/>
      <c r="N681" s="5"/>
      <c r="O681" s="5"/>
      <c r="P681" s="5"/>
      <c r="Q681" s="1"/>
      <c r="R681" s="1"/>
      <c r="S681" s="1"/>
      <c r="T681" s="1"/>
      <c r="U681" s="1"/>
      <c r="V681" s="1"/>
      <c r="W681" s="1"/>
      <c r="X681" s="1"/>
      <c r="Y681" s="1"/>
      <c r="Z681" s="1"/>
      <c r="AA681" s="1"/>
      <c r="AB681" s="1"/>
      <c r="AC681" s="1"/>
    </row>
    <row r="682" spans="1:29" ht="14.25" customHeight="1" x14ac:dyDescent="0.2">
      <c r="A682" s="1"/>
      <c r="B682" s="1"/>
      <c r="C682" s="1"/>
      <c r="D682" s="1"/>
      <c r="E682" s="1"/>
      <c r="F682" s="1"/>
      <c r="G682" s="1"/>
      <c r="H682" s="1"/>
      <c r="I682" s="1"/>
      <c r="J682" s="1"/>
      <c r="K682" s="1"/>
      <c r="L682" s="1"/>
      <c r="M682" s="5"/>
      <c r="N682" s="5"/>
      <c r="O682" s="5"/>
      <c r="P682" s="5"/>
      <c r="Q682" s="1"/>
      <c r="R682" s="1"/>
      <c r="S682" s="1"/>
      <c r="T682" s="1"/>
      <c r="U682" s="1"/>
      <c r="V682" s="1"/>
      <c r="W682" s="1"/>
      <c r="X682" s="1"/>
      <c r="Y682" s="1"/>
      <c r="Z682" s="1"/>
      <c r="AA682" s="1"/>
      <c r="AB682" s="1"/>
      <c r="AC682" s="1"/>
    </row>
    <row r="683" spans="1:29" ht="14.25" customHeight="1" x14ac:dyDescent="0.2">
      <c r="A683" s="1"/>
      <c r="B683" s="1"/>
      <c r="C683" s="1"/>
      <c r="D683" s="1"/>
      <c r="E683" s="1"/>
      <c r="F683" s="1"/>
      <c r="G683" s="1"/>
      <c r="H683" s="1"/>
      <c r="I683" s="1"/>
      <c r="J683" s="1"/>
      <c r="K683" s="1"/>
      <c r="L683" s="1"/>
      <c r="M683" s="5"/>
      <c r="N683" s="5"/>
      <c r="O683" s="5"/>
      <c r="P683" s="5"/>
      <c r="Q683" s="1"/>
      <c r="R683" s="1"/>
      <c r="S683" s="1"/>
      <c r="T683" s="1"/>
      <c r="U683" s="1"/>
      <c r="V683" s="1"/>
      <c r="W683" s="1"/>
      <c r="X683" s="1"/>
      <c r="Y683" s="1"/>
      <c r="Z683" s="1"/>
      <c r="AA683" s="1"/>
      <c r="AB683" s="1"/>
      <c r="AC683" s="1"/>
    </row>
    <row r="684" spans="1:29" ht="14.25" customHeight="1" x14ac:dyDescent="0.2">
      <c r="A684" s="1"/>
      <c r="B684" s="1"/>
      <c r="C684" s="1"/>
      <c r="D684" s="1"/>
      <c r="E684" s="1"/>
      <c r="F684" s="1"/>
      <c r="G684" s="1"/>
      <c r="H684" s="1"/>
      <c r="I684" s="1"/>
      <c r="J684" s="1"/>
      <c r="K684" s="1"/>
      <c r="L684" s="1"/>
      <c r="M684" s="5"/>
      <c r="N684" s="5"/>
      <c r="O684" s="5"/>
      <c r="P684" s="5"/>
      <c r="Q684" s="1"/>
      <c r="R684" s="1"/>
      <c r="S684" s="1"/>
      <c r="T684" s="1"/>
      <c r="U684" s="1"/>
      <c r="V684" s="1"/>
      <c r="W684" s="1"/>
      <c r="X684" s="1"/>
      <c r="Y684" s="1"/>
      <c r="Z684" s="1"/>
      <c r="AA684" s="1"/>
      <c r="AB684" s="1"/>
      <c r="AC684" s="1"/>
    </row>
    <row r="685" spans="1:29" ht="14.25" customHeight="1" x14ac:dyDescent="0.2">
      <c r="A685" s="1"/>
      <c r="B685" s="1"/>
      <c r="C685" s="1"/>
      <c r="D685" s="1"/>
      <c r="E685" s="1"/>
      <c r="F685" s="1"/>
      <c r="G685" s="1"/>
      <c r="H685" s="1"/>
      <c r="I685" s="1"/>
      <c r="J685" s="1"/>
      <c r="K685" s="1"/>
      <c r="L685" s="1"/>
      <c r="M685" s="5"/>
      <c r="N685" s="5"/>
      <c r="O685" s="5"/>
      <c r="P685" s="5"/>
      <c r="Q685" s="1"/>
      <c r="R685" s="1"/>
      <c r="S685" s="1"/>
      <c r="T685" s="1"/>
      <c r="U685" s="1"/>
      <c r="V685" s="1"/>
      <c r="W685" s="1"/>
      <c r="X685" s="1"/>
      <c r="Y685" s="1"/>
      <c r="Z685" s="1"/>
      <c r="AA685" s="1"/>
      <c r="AB685" s="1"/>
      <c r="AC685" s="1"/>
    </row>
    <row r="686" spans="1:29" ht="14.25" customHeight="1" x14ac:dyDescent="0.2">
      <c r="A686" s="1"/>
      <c r="B686" s="1"/>
      <c r="C686" s="1"/>
      <c r="D686" s="1"/>
      <c r="E686" s="1"/>
      <c r="F686" s="1"/>
      <c r="G686" s="1"/>
      <c r="H686" s="1"/>
      <c r="I686" s="1"/>
      <c r="J686" s="1"/>
      <c r="K686" s="1"/>
      <c r="L686" s="1"/>
      <c r="M686" s="5"/>
      <c r="N686" s="5"/>
      <c r="O686" s="5"/>
      <c r="P686" s="5"/>
      <c r="Q686" s="1"/>
      <c r="R686" s="1"/>
      <c r="S686" s="1"/>
      <c r="T686" s="1"/>
      <c r="U686" s="1"/>
      <c r="V686" s="1"/>
      <c r="W686" s="1"/>
      <c r="X686" s="1"/>
      <c r="Y686" s="1"/>
      <c r="Z686" s="1"/>
      <c r="AA686" s="1"/>
      <c r="AB686" s="1"/>
      <c r="AC686" s="1"/>
    </row>
    <row r="687" spans="1:29" ht="14.25" customHeight="1" x14ac:dyDescent="0.2">
      <c r="A687" s="1"/>
      <c r="B687" s="1"/>
      <c r="C687" s="1"/>
      <c r="D687" s="1"/>
      <c r="E687" s="1"/>
      <c r="F687" s="1"/>
      <c r="G687" s="1"/>
      <c r="H687" s="1"/>
      <c r="I687" s="1"/>
      <c r="J687" s="1"/>
      <c r="K687" s="1"/>
      <c r="L687" s="1"/>
      <c r="M687" s="5"/>
      <c r="N687" s="5"/>
      <c r="O687" s="5"/>
      <c r="P687" s="5"/>
      <c r="Q687" s="1"/>
      <c r="R687" s="1"/>
      <c r="S687" s="1"/>
      <c r="T687" s="1"/>
      <c r="U687" s="1"/>
      <c r="V687" s="1"/>
      <c r="W687" s="1"/>
      <c r="X687" s="1"/>
      <c r="Y687" s="1"/>
      <c r="Z687" s="1"/>
      <c r="AA687" s="1"/>
      <c r="AB687" s="1"/>
      <c r="AC687" s="1"/>
    </row>
    <row r="688" spans="1:29" ht="14.25" customHeight="1" x14ac:dyDescent="0.2">
      <c r="A688" s="1"/>
      <c r="B688" s="1"/>
      <c r="C688" s="1"/>
      <c r="D688" s="1"/>
      <c r="E688" s="1"/>
      <c r="F688" s="1"/>
      <c r="G688" s="1"/>
      <c r="H688" s="1"/>
      <c r="I688" s="1"/>
      <c r="J688" s="1"/>
      <c r="K688" s="1"/>
      <c r="L688" s="1"/>
      <c r="M688" s="5"/>
      <c r="N688" s="5"/>
      <c r="O688" s="5"/>
      <c r="P688" s="5"/>
      <c r="Q688" s="1"/>
      <c r="R688" s="1"/>
      <c r="S688" s="1"/>
      <c r="T688" s="1"/>
      <c r="U688" s="1"/>
      <c r="V688" s="1"/>
      <c r="W688" s="1"/>
      <c r="X688" s="1"/>
      <c r="Y688" s="1"/>
      <c r="Z688" s="1"/>
      <c r="AA688" s="1"/>
      <c r="AB688" s="1"/>
      <c r="AC688" s="1"/>
    </row>
    <row r="689" spans="1:29" ht="14.25" customHeight="1" x14ac:dyDescent="0.2">
      <c r="A689" s="1"/>
      <c r="B689" s="1"/>
      <c r="C689" s="1"/>
      <c r="D689" s="1"/>
      <c r="E689" s="1"/>
      <c r="F689" s="1"/>
      <c r="G689" s="1"/>
      <c r="H689" s="1"/>
      <c r="I689" s="1"/>
      <c r="J689" s="1"/>
      <c r="K689" s="1"/>
      <c r="L689" s="1"/>
      <c r="M689" s="5"/>
      <c r="N689" s="5"/>
      <c r="O689" s="5"/>
      <c r="P689" s="5"/>
      <c r="Q689" s="1"/>
      <c r="R689" s="1"/>
      <c r="S689" s="1"/>
      <c r="T689" s="1"/>
      <c r="U689" s="1"/>
      <c r="V689" s="1"/>
      <c r="W689" s="1"/>
      <c r="X689" s="1"/>
      <c r="Y689" s="1"/>
      <c r="Z689" s="1"/>
      <c r="AA689" s="1"/>
      <c r="AB689" s="1"/>
      <c r="AC689" s="1"/>
    </row>
    <row r="690" spans="1:29" ht="14.25" customHeight="1" x14ac:dyDescent="0.2">
      <c r="A690" s="1"/>
      <c r="B690" s="1"/>
      <c r="C690" s="1"/>
      <c r="D690" s="1"/>
      <c r="E690" s="1"/>
      <c r="F690" s="1"/>
      <c r="G690" s="1"/>
      <c r="H690" s="1"/>
      <c r="I690" s="1"/>
      <c r="J690" s="1"/>
      <c r="K690" s="1"/>
      <c r="L690" s="1"/>
      <c r="M690" s="5"/>
      <c r="N690" s="5"/>
      <c r="O690" s="5"/>
      <c r="P690" s="5"/>
      <c r="Q690" s="1"/>
      <c r="R690" s="1"/>
      <c r="S690" s="1"/>
      <c r="T690" s="1"/>
      <c r="U690" s="1"/>
      <c r="V690" s="1"/>
      <c r="W690" s="1"/>
      <c r="X690" s="1"/>
      <c r="Y690" s="1"/>
      <c r="Z690" s="1"/>
      <c r="AA690" s="1"/>
      <c r="AB690" s="1"/>
      <c r="AC690" s="1"/>
    </row>
    <row r="691" spans="1:29" ht="14.25" customHeight="1" x14ac:dyDescent="0.2">
      <c r="A691" s="1"/>
      <c r="B691" s="1"/>
      <c r="C691" s="1"/>
      <c r="D691" s="1"/>
      <c r="E691" s="1"/>
      <c r="F691" s="1"/>
      <c r="G691" s="1"/>
      <c r="H691" s="1"/>
      <c r="I691" s="1"/>
      <c r="J691" s="1"/>
      <c r="K691" s="1"/>
      <c r="L691" s="1"/>
      <c r="M691" s="5"/>
      <c r="N691" s="5"/>
      <c r="O691" s="5"/>
      <c r="P691" s="5"/>
      <c r="Q691" s="1"/>
      <c r="R691" s="1"/>
      <c r="S691" s="1"/>
      <c r="T691" s="1"/>
      <c r="U691" s="1"/>
      <c r="V691" s="1"/>
      <c r="W691" s="1"/>
      <c r="X691" s="1"/>
      <c r="Y691" s="1"/>
      <c r="Z691" s="1"/>
      <c r="AA691" s="1"/>
      <c r="AB691" s="1"/>
      <c r="AC691" s="1"/>
    </row>
    <row r="692" spans="1:29" ht="14.25" customHeight="1" x14ac:dyDescent="0.2">
      <c r="A692" s="1"/>
      <c r="B692" s="1"/>
      <c r="C692" s="1"/>
      <c r="D692" s="1"/>
      <c r="E692" s="1"/>
      <c r="F692" s="1"/>
      <c r="G692" s="1"/>
      <c r="H692" s="1"/>
      <c r="I692" s="1"/>
      <c r="J692" s="1"/>
      <c r="K692" s="1"/>
      <c r="L692" s="1"/>
      <c r="M692" s="5"/>
      <c r="N692" s="5"/>
      <c r="O692" s="5"/>
      <c r="P692" s="5"/>
      <c r="Q692" s="1"/>
      <c r="R692" s="1"/>
      <c r="S692" s="1"/>
      <c r="T692" s="1"/>
      <c r="U692" s="1"/>
      <c r="V692" s="1"/>
      <c r="W692" s="1"/>
      <c r="X692" s="1"/>
      <c r="Y692" s="1"/>
      <c r="Z692" s="1"/>
      <c r="AA692" s="1"/>
      <c r="AB692" s="1"/>
      <c r="AC692" s="1"/>
    </row>
    <row r="693" spans="1:29" ht="14.25" customHeight="1" x14ac:dyDescent="0.2">
      <c r="A693" s="1"/>
      <c r="B693" s="1"/>
      <c r="C693" s="1"/>
      <c r="D693" s="1"/>
      <c r="E693" s="1"/>
      <c r="F693" s="1"/>
      <c r="G693" s="1"/>
      <c r="H693" s="1"/>
      <c r="I693" s="1"/>
      <c r="J693" s="1"/>
      <c r="K693" s="1"/>
      <c r="L693" s="1"/>
      <c r="M693" s="5"/>
      <c r="N693" s="5"/>
      <c r="O693" s="5"/>
      <c r="P693" s="5"/>
      <c r="Q693" s="1"/>
      <c r="R693" s="1"/>
      <c r="S693" s="1"/>
      <c r="T693" s="1"/>
      <c r="U693" s="1"/>
      <c r="V693" s="1"/>
      <c r="W693" s="1"/>
      <c r="X693" s="1"/>
      <c r="Y693" s="1"/>
      <c r="Z693" s="1"/>
      <c r="AA693" s="1"/>
      <c r="AB693" s="1"/>
      <c r="AC693" s="1"/>
    </row>
    <row r="694" spans="1:29" ht="14.25" customHeight="1" x14ac:dyDescent="0.2">
      <c r="A694" s="1"/>
      <c r="B694" s="1"/>
      <c r="C694" s="1"/>
      <c r="D694" s="1"/>
      <c r="E694" s="1"/>
      <c r="F694" s="1"/>
      <c r="G694" s="1"/>
      <c r="H694" s="1"/>
      <c r="I694" s="1"/>
      <c r="J694" s="1"/>
      <c r="K694" s="1"/>
      <c r="L694" s="1"/>
      <c r="M694" s="5"/>
      <c r="N694" s="5"/>
      <c r="O694" s="5"/>
      <c r="P694" s="5"/>
      <c r="Q694" s="1"/>
      <c r="R694" s="1"/>
      <c r="S694" s="1"/>
      <c r="T694" s="1"/>
      <c r="U694" s="1"/>
      <c r="V694" s="1"/>
      <c r="W694" s="1"/>
      <c r="X694" s="1"/>
      <c r="Y694" s="1"/>
      <c r="Z694" s="1"/>
      <c r="AA694" s="1"/>
      <c r="AB694" s="1"/>
      <c r="AC694" s="1"/>
    </row>
    <row r="695" spans="1:29" ht="14.25" customHeight="1" x14ac:dyDescent="0.2">
      <c r="A695" s="1"/>
      <c r="B695" s="1"/>
      <c r="C695" s="1"/>
      <c r="D695" s="1"/>
      <c r="E695" s="1"/>
      <c r="F695" s="1"/>
      <c r="G695" s="1"/>
      <c r="H695" s="1"/>
      <c r="I695" s="1"/>
      <c r="J695" s="1"/>
      <c r="K695" s="1"/>
      <c r="L695" s="1"/>
      <c r="M695" s="5"/>
      <c r="N695" s="5"/>
      <c r="O695" s="5"/>
      <c r="P695" s="5"/>
      <c r="Q695" s="1"/>
      <c r="R695" s="1"/>
      <c r="S695" s="1"/>
      <c r="T695" s="1"/>
      <c r="U695" s="1"/>
      <c r="V695" s="1"/>
      <c r="W695" s="1"/>
      <c r="X695" s="1"/>
      <c r="Y695" s="1"/>
      <c r="Z695" s="1"/>
      <c r="AA695" s="1"/>
      <c r="AB695" s="1"/>
      <c r="AC695" s="1"/>
    </row>
    <row r="696" spans="1:29" ht="14.25" customHeight="1" x14ac:dyDescent="0.2">
      <c r="A696" s="1"/>
      <c r="B696" s="1"/>
      <c r="C696" s="1"/>
      <c r="D696" s="1"/>
      <c r="E696" s="1"/>
      <c r="F696" s="1"/>
      <c r="G696" s="1"/>
      <c r="H696" s="1"/>
      <c r="I696" s="1"/>
      <c r="J696" s="1"/>
      <c r="K696" s="1"/>
      <c r="L696" s="1"/>
      <c r="M696" s="5"/>
      <c r="N696" s="5"/>
      <c r="O696" s="5"/>
      <c r="P696" s="5"/>
      <c r="Q696" s="1"/>
      <c r="R696" s="1"/>
      <c r="S696" s="1"/>
      <c r="T696" s="1"/>
      <c r="U696" s="1"/>
      <c r="V696" s="1"/>
      <c r="W696" s="1"/>
      <c r="X696" s="1"/>
      <c r="Y696" s="1"/>
      <c r="Z696" s="1"/>
      <c r="AA696" s="1"/>
      <c r="AB696" s="1"/>
      <c r="AC696" s="1"/>
    </row>
    <row r="697" spans="1:29" ht="14.25" customHeight="1" x14ac:dyDescent="0.2">
      <c r="A697" s="1"/>
      <c r="B697" s="1"/>
      <c r="C697" s="1"/>
      <c r="D697" s="1"/>
      <c r="E697" s="1"/>
      <c r="F697" s="1"/>
      <c r="G697" s="1"/>
      <c r="H697" s="1"/>
      <c r="I697" s="1"/>
      <c r="J697" s="1"/>
      <c r="K697" s="1"/>
      <c r="L697" s="1"/>
      <c r="M697" s="5"/>
      <c r="N697" s="5"/>
      <c r="O697" s="5"/>
      <c r="P697" s="5"/>
      <c r="Q697" s="1"/>
      <c r="R697" s="1"/>
      <c r="S697" s="1"/>
      <c r="T697" s="1"/>
      <c r="U697" s="1"/>
      <c r="V697" s="1"/>
      <c r="W697" s="1"/>
      <c r="X697" s="1"/>
      <c r="Y697" s="1"/>
      <c r="Z697" s="1"/>
      <c r="AA697" s="1"/>
      <c r="AB697" s="1"/>
      <c r="AC697" s="1"/>
    </row>
    <row r="698" spans="1:29" ht="14.25" customHeight="1" x14ac:dyDescent="0.2">
      <c r="A698" s="1"/>
      <c r="B698" s="1"/>
      <c r="C698" s="1"/>
      <c r="D698" s="1"/>
      <c r="E698" s="1"/>
      <c r="F698" s="1"/>
      <c r="G698" s="1"/>
      <c r="H698" s="1"/>
      <c r="I698" s="1"/>
      <c r="J698" s="1"/>
      <c r="K698" s="1"/>
      <c r="L698" s="1"/>
      <c r="M698" s="5"/>
      <c r="N698" s="5"/>
      <c r="O698" s="5"/>
      <c r="P698" s="5"/>
      <c r="Q698" s="1"/>
      <c r="R698" s="1"/>
      <c r="S698" s="1"/>
      <c r="T698" s="1"/>
      <c r="U698" s="1"/>
      <c r="V698" s="1"/>
      <c r="W698" s="1"/>
      <c r="X698" s="1"/>
      <c r="Y698" s="1"/>
      <c r="Z698" s="1"/>
      <c r="AA698" s="1"/>
      <c r="AB698" s="1"/>
      <c r="AC698" s="1"/>
    </row>
    <row r="699" spans="1:29" ht="14.25" customHeight="1" x14ac:dyDescent="0.2">
      <c r="A699" s="1"/>
      <c r="B699" s="1"/>
      <c r="C699" s="1"/>
      <c r="D699" s="1"/>
      <c r="E699" s="1"/>
      <c r="F699" s="1"/>
      <c r="G699" s="1"/>
      <c r="H699" s="1"/>
      <c r="I699" s="1"/>
      <c r="J699" s="1"/>
      <c r="K699" s="1"/>
      <c r="L699" s="1"/>
      <c r="M699" s="5"/>
      <c r="N699" s="5"/>
      <c r="O699" s="5"/>
      <c r="P699" s="5"/>
      <c r="Q699" s="1"/>
      <c r="R699" s="1"/>
      <c r="S699" s="1"/>
      <c r="T699" s="1"/>
      <c r="U699" s="1"/>
      <c r="V699" s="1"/>
      <c r="W699" s="1"/>
      <c r="X699" s="1"/>
      <c r="Y699" s="1"/>
      <c r="Z699" s="1"/>
      <c r="AA699" s="1"/>
      <c r="AB699" s="1"/>
      <c r="AC699" s="1"/>
    </row>
    <row r="700" spans="1:29" ht="14.25" customHeight="1" x14ac:dyDescent="0.2">
      <c r="A700" s="1"/>
      <c r="B700" s="1"/>
      <c r="C700" s="1"/>
      <c r="D700" s="1"/>
      <c r="E700" s="1"/>
      <c r="F700" s="1"/>
      <c r="G700" s="1"/>
      <c r="H700" s="1"/>
      <c r="I700" s="1"/>
      <c r="J700" s="1"/>
      <c r="K700" s="1"/>
      <c r="L700" s="1"/>
      <c r="M700" s="5"/>
      <c r="N700" s="5"/>
      <c r="O700" s="5"/>
      <c r="P700" s="5"/>
      <c r="Q700" s="1"/>
      <c r="R700" s="1"/>
      <c r="S700" s="1"/>
      <c r="T700" s="1"/>
      <c r="U700" s="1"/>
      <c r="V700" s="1"/>
      <c r="W700" s="1"/>
      <c r="X700" s="1"/>
      <c r="Y700" s="1"/>
      <c r="Z700" s="1"/>
      <c r="AA700" s="1"/>
      <c r="AB700" s="1"/>
      <c r="AC700" s="1"/>
    </row>
    <row r="701" spans="1:29" ht="14.25" customHeight="1" x14ac:dyDescent="0.2">
      <c r="A701" s="1"/>
      <c r="B701" s="1"/>
      <c r="C701" s="1"/>
      <c r="D701" s="1"/>
      <c r="E701" s="1"/>
      <c r="F701" s="1"/>
      <c r="G701" s="1"/>
      <c r="H701" s="1"/>
      <c r="I701" s="1"/>
      <c r="J701" s="1"/>
      <c r="K701" s="1"/>
      <c r="L701" s="1"/>
      <c r="M701" s="5"/>
      <c r="N701" s="5"/>
      <c r="O701" s="5"/>
      <c r="P701" s="5"/>
      <c r="Q701" s="1"/>
      <c r="R701" s="1"/>
      <c r="S701" s="1"/>
      <c r="T701" s="1"/>
      <c r="U701" s="1"/>
      <c r="V701" s="1"/>
      <c r="W701" s="1"/>
      <c r="X701" s="1"/>
      <c r="Y701" s="1"/>
      <c r="Z701" s="1"/>
      <c r="AA701" s="1"/>
      <c r="AB701" s="1"/>
      <c r="AC701" s="1"/>
    </row>
    <row r="702" spans="1:29" ht="14.25" customHeight="1" x14ac:dyDescent="0.2">
      <c r="A702" s="1"/>
      <c r="B702" s="1"/>
      <c r="C702" s="1"/>
      <c r="D702" s="1"/>
      <c r="E702" s="1"/>
      <c r="F702" s="1"/>
      <c r="G702" s="1"/>
      <c r="H702" s="1"/>
      <c r="I702" s="1"/>
      <c r="J702" s="1"/>
      <c r="K702" s="1"/>
      <c r="L702" s="1"/>
      <c r="M702" s="5"/>
      <c r="N702" s="5"/>
      <c r="O702" s="5"/>
      <c r="P702" s="5"/>
      <c r="Q702" s="1"/>
      <c r="R702" s="1"/>
      <c r="S702" s="1"/>
      <c r="T702" s="1"/>
      <c r="U702" s="1"/>
      <c r="V702" s="1"/>
      <c r="W702" s="1"/>
      <c r="X702" s="1"/>
      <c r="Y702" s="1"/>
      <c r="Z702" s="1"/>
      <c r="AA702" s="1"/>
      <c r="AB702" s="1"/>
      <c r="AC702" s="1"/>
    </row>
    <row r="703" spans="1:29" ht="14.25" customHeight="1" x14ac:dyDescent="0.2">
      <c r="A703" s="1"/>
      <c r="B703" s="1"/>
      <c r="C703" s="1"/>
      <c r="D703" s="1"/>
      <c r="E703" s="1"/>
      <c r="F703" s="1"/>
      <c r="G703" s="1"/>
      <c r="H703" s="1"/>
      <c r="I703" s="1"/>
      <c r="J703" s="1"/>
      <c r="K703" s="1"/>
      <c r="L703" s="1"/>
      <c r="M703" s="5"/>
      <c r="N703" s="5"/>
      <c r="O703" s="5"/>
      <c r="P703" s="5"/>
      <c r="Q703" s="1"/>
      <c r="R703" s="1"/>
      <c r="S703" s="1"/>
      <c r="T703" s="1"/>
      <c r="U703" s="1"/>
      <c r="V703" s="1"/>
      <c r="W703" s="1"/>
      <c r="X703" s="1"/>
      <c r="Y703" s="1"/>
      <c r="Z703" s="1"/>
      <c r="AA703" s="1"/>
      <c r="AB703" s="1"/>
      <c r="AC703" s="1"/>
    </row>
    <row r="704" spans="1:29" ht="14.25" customHeight="1" x14ac:dyDescent="0.2">
      <c r="A704" s="1"/>
      <c r="B704" s="1"/>
      <c r="C704" s="1"/>
      <c r="D704" s="1"/>
      <c r="E704" s="1"/>
      <c r="F704" s="1"/>
      <c r="G704" s="1"/>
      <c r="H704" s="1"/>
      <c r="I704" s="1"/>
      <c r="J704" s="1"/>
      <c r="K704" s="1"/>
      <c r="L704" s="1"/>
      <c r="M704" s="5"/>
      <c r="N704" s="5"/>
      <c r="O704" s="5"/>
      <c r="P704" s="5"/>
      <c r="Q704" s="1"/>
      <c r="R704" s="1"/>
      <c r="S704" s="1"/>
      <c r="T704" s="1"/>
      <c r="U704" s="1"/>
      <c r="V704" s="1"/>
      <c r="W704" s="1"/>
      <c r="X704" s="1"/>
      <c r="Y704" s="1"/>
      <c r="Z704" s="1"/>
      <c r="AA704" s="1"/>
      <c r="AB704" s="1"/>
      <c r="AC704" s="1"/>
    </row>
    <row r="705" spans="1:29" ht="14.25" customHeight="1" x14ac:dyDescent="0.2">
      <c r="A705" s="1"/>
      <c r="B705" s="1"/>
      <c r="C705" s="1"/>
      <c r="D705" s="1"/>
      <c r="E705" s="1"/>
      <c r="F705" s="1"/>
      <c r="G705" s="1"/>
      <c r="H705" s="1"/>
      <c r="I705" s="1"/>
      <c r="J705" s="1"/>
      <c r="K705" s="1"/>
      <c r="L705" s="1"/>
      <c r="M705" s="5"/>
      <c r="N705" s="5"/>
      <c r="O705" s="5"/>
      <c r="P705" s="5"/>
      <c r="Q705" s="1"/>
      <c r="R705" s="1"/>
      <c r="S705" s="1"/>
      <c r="T705" s="1"/>
      <c r="U705" s="1"/>
      <c r="V705" s="1"/>
      <c r="W705" s="1"/>
      <c r="X705" s="1"/>
      <c r="Y705" s="1"/>
      <c r="Z705" s="1"/>
      <c r="AA705" s="1"/>
      <c r="AB705" s="1"/>
      <c r="AC705" s="1"/>
    </row>
    <row r="706" spans="1:29" ht="14.25" customHeight="1" x14ac:dyDescent="0.2">
      <c r="A706" s="1"/>
      <c r="B706" s="1"/>
      <c r="C706" s="1"/>
      <c r="D706" s="1"/>
      <c r="E706" s="1"/>
      <c r="F706" s="1"/>
      <c r="G706" s="1"/>
      <c r="H706" s="1"/>
      <c r="I706" s="1"/>
      <c r="J706" s="1"/>
      <c r="K706" s="1"/>
      <c r="L706" s="1"/>
      <c r="M706" s="5"/>
      <c r="N706" s="5"/>
      <c r="O706" s="5"/>
      <c r="P706" s="5"/>
      <c r="Q706" s="1"/>
      <c r="R706" s="1"/>
      <c r="S706" s="1"/>
      <c r="T706" s="1"/>
      <c r="U706" s="1"/>
      <c r="V706" s="1"/>
      <c r="W706" s="1"/>
      <c r="X706" s="1"/>
      <c r="Y706" s="1"/>
      <c r="Z706" s="1"/>
      <c r="AA706" s="1"/>
      <c r="AB706" s="1"/>
      <c r="AC706" s="1"/>
    </row>
    <row r="707" spans="1:29" ht="14.25" customHeight="1" x14ac:dyDescent="0.2">
      <c r="A707" s="1"/>
      <c r="B707" s="1"/>
      <c r="C707" s="1"/>
      <c r="D707" s="1"/>
      <c r="E707" s="1"/>
      <c r="F707" s="1"/>
      <c r="G707" s="1"/>
      <c r="H707" s="1"/>
      <c r="I707" s="1"/>
      <c r="J707" s="1"/>
      <c r="K707" s="1"/>
      <c r="L707" s="1"/>
      <c r="M707" s="5"/>
      <c r="N707" s="5"/>
      <c r="O707" s="5"/>
      <c r="P707" s="5"/>
      <c r="Q707" s="1"/>
      <c r="R707" s="1"/>
      <c r="S707" s="1"/>
      <c r="T707" s="1"/>
      <c r="U707" s="1"/>
      <c r="V707" s="1"/>
      <c r="W707" s="1"/>
      <c r="X707" s="1"/>
      <c r="Y707" s="1"/>
      <c r="Z707" s="1"/>
      <c r="AA707" s="1"/>
      <c r="AB707" s="1"/>
      <c r="AC707" s="1"/>
    </row>
    <row r="708" spans="1:29" ht="14.25" customHeight="1" x14ac:dyDescent="0.2">
      <c r="A708" s="1"/>
      <c r="B708" s="1"/>
      <c r="C708" s="1"/>
      <c r="D708" s="1"/>
      <c r="E708" s="1"/>
      <c r="F708" s="1"/>
      <c r="G708" s="1"/>
      <c r="H708" s="1"/>
      <c r="I708" s="1"/>
      <c r="J708" s="1"/>
      <c r="K708" s="1"/>
      <c r="L708" s="1"/>
      <c r="M708" s="5"/>
      <c r="N708" s="5"/>
      <c r="O708" s="5"/>
      <c r="P708" s="5"/>
      <c r="Q708" s="1"/>
      <c r="R708" s="1"/>
      <c r="S708" s="1"/>
      <c r="T708" s="1"/>
      <c r="U708" s="1"/>
      <c r="V708" s="1"/>
      <c r="W708" s="1"/>
      <c r="X708" s="1"/>
      <c r="Y708" s="1"/>
      <c r="Z708" s="1"/>
      <c r="AA708" s="1"/>
      <c r="AB708" s="1"/>
      <c r="AC708" s="1"/>
    </row>
    <row r="709" spans="1:29" ht="14.25" customHeight="1" x14ac:dyDescent="0.2">
      <c r="A709" s="1"/>
      <c r="B709" s="1"/>
      <c r="C709" s="1"/>
      <c r="D709" s="1"/>
      <c r="E709" s="1"/>
      <c r="F709" s="1"/>
      <c r="G709" s="1"/>
      <c r="H709" s="1"/>
      <c r="I709" s="1"/>
      <c r="J709" s="1"/>
      <c r="K709" s="1"/>
      <c r="L709" s="1"/>
      <c r="M709" s="5"/>
      <c r="N709" s="5"/>
      <c r="O709" s="5"/>
      <c r="P709" s="5"/>
      <c r="Q709" s="1"/>
      <c r="R709" s="1"/>
      <c r="S709" s="1"/>
      <c r="T709" s="1"/>
      <c r="U709" s="1"/>
      <c r="V709" s="1"/>
      <c r="W709" s="1"/>
      <c r="X709" s="1"/>
      <c r="Y709" s="1"/>
      <c r="Z709" s="1"/>
      <c r="AA709" s="1"/>
      <c r="AB709" s="1"/>
      <c r="AC709" s="1"/>
    </row>
    <row r="710" spans="1:29" ht="14.25" customHeight="1" x14ac:dyDescent="0.2">
      <c r="A710" s="1"/>
      <c r="B710" s="1"/>
      <c r="C710" s="1"/>
      <c r="D710" s="1"/>
      <c r="E710" s="1"/>
      <c r="F710" s="1"/>
      <c r="G710" s="1"/>
      <c r="H710" s="1"/>
      <c r="I710" s="1"/>
      <c r="J710" s="1"/>
      <c r="K710" s="1"/>
      <c r="L710" s="1"/>
      <c r="M710" s="5"/>
      <c r="N710" s="5"/>
      <c r="O710" s="5"/>
      <c r="P710" s="5"/>
      <c r="Q710" s="1"/>
      <c r="R710" s="1"/>
      <c r="S710" s="1"/>
      <c r="T710" s="1"/>
      <c r="U710" s="1"/>
      <c r="V710" s="1"/>
      <c r="W710" s="1"/>
      <c r="X710" s="1"/>
      <c r="Y710" s="1"/>
      <c r="Z710" s="1"/>
      <c r="AA710" s="1"/>
      <c r="AB710" s="1"/>
      <c r="AC710" s="1"/>
    </row>
    <row r="711" spans="1:29" ht="14.25" customHeight="1" x14ac:dyDescent="0.2">
      <c r="A711" s="1"/>
      <c r="B711" s="1"/>
      <c r="C711" s="1"/>
      <c r="D711" s="1"/>
      <c r="E711" s="1"/>
      <c r="F711" s="1"/>
      <c r="G711" s="1"/>
      <c r="H711" s="1"/>
      <c r="I711" s="1"/>
      <c r="J711" s="1"/>
      <c r="K711" s="1"/>
      <c r="L711" s="1"/>
      <c r="M711" s="5"/>
      <c r="N711" s="5"/>
      <c r="O711" s="5"/>
      <c r="P711" s="5"/>
      <c r="Q711" s="1"/>
      <c r="R711" s="1"/>
      <c r="S711" s="1"/>
      <c r="T711" s="1"/>
      <c r="U711" s="1"/>
      <c r="V711" s="1"/>
      <c r="W711" s="1"/>
      <c r="X711" s="1"/>
      <c r="Y711" s="1"/>
      <c r="Z711" s="1"/>
      <c r="AA711" s="1"/>
      <c r="AB711" s="1"/>
      <c r="AC711" s="1"/>
    </row>
    <row r="712" spans="1:29" ht="14.25" customHeight="1" x14ac:dyDescent="0.2">
      <c r="A712" s="1"/>
      <c r="B712" s="1"/>
      <c r="C712" s="1"/>
      <c r="D712" s="1"/>
      <c r="E712" s="1"/>
      <c r="F712" s="1"/>
      <c r="G712" s="1"/>
      <c r="H712" s="1"/>
      <c r="I712" s="1"/>
      <c r="J712" s="1"/>
      <c r="K712" s="1"/>
      <c r="L712" s="1"/>
      <c r="M712" s="5"/>
      <c r="N712" s="5"/>
      <c r="O712" s="5"/>
      <c r="P712" s="5"/>
      <c r="Q712" s="1"/>
      <c r="R712" s="1"/>
      <c r="S712" s="1"/>
      <c r="T712" s="1"/>
      <c r="U712" s="1"/>
      <c r="V712" s="1"/>
      <c r="W712" s="1"/>
      <c r="X712" s="1"/>
      <c r="Y712" s="1"/>
      <c r="Z712" s="1"/>
      <c r="AA712" s="1"/>
      <c r="AB712" s="1"/>
      <c r="AC712" s="1"/>
    </row>
    <row r="713" spans="1:29" ht="14.25" customHeight="1" x14ac:dyDescent="0.2">
      <c r="A713" s="1"/>
      <c r="B713" s="1"/>
      <c r="C713" s="1"/>
      <c r="D713" s="1"/>
      <c r="E713" s="1"/>
      <c r="F713" s="1"/>
      <c r="G713" s="1"/>
      <c r="H713" s="1"/>
      <c r="I713" s="1"/>
      <c r="J713" s="1"/>
      <c r="K713" s="1"/>
      <c r="L713" s="1"/>
      <c r="M713" s="5"/>
      <c r="N713" s="5"/>
      <c r="O713" s="5"/>
      <c r="P713" s="5"/>
      <c r="Q713" s="1"/>
      <c r="R713" s="1"/>
      <c r="S713" s="1"/>
      <c r="T713" s="1"/>
      <c r="U713" s="1"/>
      <c r="V713" s="1"/>
      <c r="W713" s="1"/>
      <c r="X713" s="1"/>
      <c r="Y713" s="1"/>
      <c r="Z713" s="1"/>
      <c r="AA713" s="1"/>
      <c r="AB713" s="1"/>
      <c r="AC713" s="1"/>
    </row>
    <row r="714" spans="1:29" ht="14.25" customHeight="1" x14ac:dyDescent="0.2">
      <c r="A714" s="1"/>
      <c r="B714" s="1"/>
      <c r="C714" s="1"/>
      <c r="D714" s="1"/>
      <c r="E714" s="1"/>
      <c r="F714" s="1"/>
      <c r="G714" s="1"/>
      <c r="H714" s="1"/>
      <c r="I714" s="1"/>
      <c r="J714" s="1"/>
      <c r="K714" s="1"/>
      <c r="L714" s="1"/>
      <c r="M714" s="5"/>
      <c r="N714" s="5"/>
      <c r="O714" s="5"/>
      <c r="P714" s="5"/>
      <c r="Q714" s="1"/>
      <c r="R714" s="1"/>
      <c r="S714" s="1"/>
      <c r="T714" s="1"/>
      <c r="U714" s="1"/>
      <c r="V714" s="1"/>
      <c r="W714" s="1"/>
      <c r="X714" s="1"/>
      <c r="Y714" s="1"/>
      <c r="Z714" s="1"/>
      <c r="AA714" s="1"/>
      <c r="AB714" s="1"/>
      <c r="AC714" s="1"/>
    </row>
    <row r="715" spans="1:29" ht="14.25" customHeight="1" x14ac:dyDescent="0.2">
      <c r="A715" s="1"/>
      <c r="B715" s="1"/>
      <c r="C715" s="1"/>
      <c r="D715" s="1"/>
      <c r="E715" s="1"/>
      <c r="F715" s="1"/>
      <c r="G715" s="1"/>
      <c r="H715" s="1"/>
      <c r="I715" s="1"/>
      <c r="J715" s="1"/>
      <c r="K715" s="1"/>
      <c r="L715" s="1"/>
      <c r="M715" s="5"/>
      <c r="N715" s="5"/>
      <c r="O715" s="5"/>
      <c r="P715" s="5"/>
      <c r="Q715" s="1"/>
      <c r="R715" s="1"/>
      <c r="S715" s="1"/>
      <c r="T715" s="1"/>
      <c r="U715" s="1"/>
      <c r="V715" s="1"/>
      <c r="W715" s="1"/>
      <c r="X715" s="1"/>
      <c r="Y715" s="1"/>
      <c r="Z715" s="1"/>
      <c r="AA715" s="1"/>
      <c r="AB715" s="1"/>
      <c r="AC715" s="1"/>
    </row>
    <row r="716" spans="1:29" ht="14.25" customHeight="1" x14ac:dyDescent="0.2">
      <c r="A716" s="1"/>
      <c r="B716" s="1"/>
      <c r="C716" s="1"/>
      <c r="D716" s="1"/>
      <c r="E716" s="1"/>
      <c r="F716" s="1"/>
      <c r="G716" s="1"/>
      <c r="H716" s="1"/>
      <c r="I716" s="1"/>
      <c r="J716" s="1"/>
      <c r="K716" s="1"/>
      <c r="L716" s="1"/>
      <c r="M716" s="5"/>
      <c r="N716" s="5"/>
      <c r="O716" s="5"/>
      <c r="P716" s="5"/>
      <c r="Q716" s="1"/>
      <c r="R716" s="1"/>
      <c r="S716" s="1"/>
      <c r="T716" s="1"/>
      <c r="U716" s="1"/>
      <c r="V716" s="1"/>
      <c r="W716" s="1"/>
      <c r="X716" s="1"/>
      <c r="Y716" s="1"/>
      <c r="Z716" s="1"/>
      <c r="AA716" s="1"/>
      <c r="AB716" s="1"/>
      <c r="AC716" s="1"/>
    </row>
    <row r="717" spans="1:29" ht="14.25" customHeight="1" x14ac:dyDescent="0.2">
      <c r="A717" s="1"/>
      <c r="B717" s="1"/>
      <c r="C717" s="1"/>
      <c r="D717" s="1"/>
      <c r="E717" s="1"/>
      <c r="F717" s="1"/>
      <c r="G717" s="1"/>
      <c r="H717" s="1"/>
      <c r="I717" s="1"/>
      <c r="J717" s="1"/>
      <c r="K717" s="1"/>
      <c r="L717" s="1"/>
      <c r="M717" s="5"/>
      <c r="N717" s="5"/>
      <c r="O717" s="5"/>
      <c r="P717" s="5"/>
      <c r="Q717" s="1"/>
      <c r="R717" s="1"/>
      <c r="S717" s="1"/>
      <c r="T717" s="1"/>
      <c r="U717" s="1"/>
      <c r="V717" s="1"/>
      <c r="W717" s="1"/>
      <c r="X717" s="1"/>
      <c r="Y717" s="1"/>
      <c r="Z717" s="1"/>
      <c r="AA717" s="1"/>
      <c r="AB717" s="1"/>
      <c r="AC717" s="1"/>
    </row>
    <row r="718" spans="1:29" ht="14.25" customHeight="1" x14ac:dyDescent="0.2">
      <c r="A718" s="1"/>
      <c r="B718" s="1"/>
      <c r="C718" s="1"/>
      <c r="D718" s="1"/>
      <c r="E718" s="1"/>
      <c r="F718" s="1"/>
      <c r="G718" s="1"/>
      <c r="H718" s="1"/>
      <c r="I718" s="1"/>
      <c r="J718" s="1"/>
      <c r="K718" s="1"/>
      <c r="L718" s="1"/>
      <c r="M718" s="5"/>
      <c r="N718" s="5"/>
      <c r="O718" s="5"/>
      <c r="P718" s="5"/>
      <c r="Q718" s="1"/>
      <c r="R718" s="1"/>
      <c r="S718" s="1"/>
      <c r="T718" s="1"/>
      <c r="U718" s="1"/>
      <c r="V718" s="1"/>
      <c r="W718" s="1"/>
      <c r="X718" s="1"/>
      <c r="Y718" s="1"/>
      <c r="Z718" s="1"/>
      <c r="AA718" s="1"/>
      <c r="AB718" s="1"/>
      <c r="AC718" s="1"/>
    </row>
    <row r="719" spans="1:29" ht="14.25" customHeight="1" x14ac:dyDescent="0.2">
      <c r="A719" s="1"/>
      <c r="B719" s="1"/>
      <c r="C719" s="1"/>
      <c r="D719" s="1"/>
      <c r="E719" s="1"/>
      <c r="F719" s="1"/>
      <c r="G719" s="1"/>
      <c r="H719" s="1"/>
      <c r="I719" s="1"/>
      <c r="J719" s="1"/>
      <c r="K719" s="1"/>
      <c r="L719" s="1"/>
      <c r="M719" s="5"/>
      <c r="N719" s="5"/>
      <c r="O719" s="5"/>
      <c r="P719" s="5"/>
      <c r="Q719" s="1"/>
      <c r="R719" s="1"/>
      <c r="S719" s="1"/>
      <c r="T719" s="1"/>
      <c r="U719" s="1"/>
      <c r="V719" s="1"/>
      <c r="W719" s="1"/>
      <c r="X719" s="1"/>
      <c r="Y719" s="1"/>
      <c r="Z719" s="1"/>
      <c r="AA719" s="1"/>
      <c r="AB719" s="1"/>
      <c r="AC719" s="1"/>
    </row>
    <row r="720" spans="1:29" ht="14.25" customHeight="1" x14ac:dyDescent="0.2">
      <c r="A720" s="1"/>
      <c r="B720" s="1"/>
      <c r="C720" s="1"/>
      <c r="D720" s="1"/>
      <c r="E720" s="1"/>
      <c r="F720" s="1"/>
      <c r="G720" s="1"/>
      <c r="H720" s="1"/>
      <c r="I720" s="1"/>
      <c r="J720" s="1"/>
      <c r="K720" s="1"/>
      <c r="L720" s="1"/>
      <c r="M720" s="5"/>
      <c r="N720" s="5"/>
      <c r="O720" s="5"/>
      <c r="P720" s="5"/>
      <c r="Q720" s="1"/>
      <c r="R720" s="1"/>
      <c r="S720" s="1"/>
      <c r="T720" s="1"/>
      <c r="U720" s="1"/>
      <c r="V720" s="1"/>
      <c r="W720" s="1"/>
      <c r="X720" s="1"/>
      <c r="Y720" s="1"/>
      <c r="Z720" s="1"/>
      <c r="AA720" s="1"/>
      <c r="AB720" s="1"/>
      <c r="AC720" s="1"/>
    </row>
    <row r="721" spans="1:29" ht="14.25" customHeight="1" x14ac:dyDescent="0.2">
      <c r="A721" s="1"/>
      <c r="B721" s="1"/>
      <c r="C721" s="1"/>
      <c r="D721" s="1"/>
      <c r="E721" s="1"/>
      <c r="F721" s="1"/>
      <c r="G721" s="1"/>
      <c r="H721" s="1"/>
      <c r="I721" s="1"/>
      <c r="J721" s="1"/>
      <c r="K721" s="1"/>
      <c r="L721" s="1"/>
      <c r="M721" s="5"/>
      <c r="N721" s="5"/>
      <c r="O721" s="5"/>
      <c r="P721" s="5"/>
      <c r="Q721" s="1"/>
      <c r="R721" s="1"/>
      <c r="S721" s="1"/>
      <c r="T721" s="1"/>
      <c r="U721" s="1"/>
      <c r="V721" s="1"/>
      <c r="W721" s="1"/>
      <c r="X721" s="1"/>
      <c r="Y721" s="1"/>
      <c r="Z721" s="1"/>
      <c r="AA721" s="1"/>
      <c r="AB721" s="1"/>
      <c r="AC721" s="1"/>
    </row>
    <row r="722" spans="1:29" ht="14.25" customHeight="1" x14ac:dyDescent="0.2">
      <c r="A722" s="1"/>
      <c r="B722" s="1"/>
      <c r="C722" s="1"/>
      <c r="D722" s="1"/>
      <c r="E722" s="1"/>
      <c r="F722" s="1"/>
      <c r="G722" s="1"/>
      <c r="H722" s="1"/>
      <c r="I722" s="1"/>
      <c r="J722" s="1"/>
      <c r="K722" s="1"/>
      <c r="L722" s="1"/>
      <c r="M722" s="5"/>
      <c r="N722" s="5"/>
      <c r="O722" s="5"/>
      <c r="P722" s="5"/>
      <c r="Q722" s="1"/>
      <c r="R722" s="1"/>
      <c r="S722" s="1"/>
      <c r="T722" s="1"/>
      <c r="U722" s="1"/>
      <c r="V722" s="1"/>
      <c r="W722" s="1"/>
      <c r="X722" s="1"/>
      <c r="Y722" s="1"/>
      <c r="Z722" s="1"/>
      <c r="AA722" s="1"/>
      <c r="AB722" s="1"/>
      <c r="AC722" s="1"/>
    </row>
    <row r="723" spans="1:29" ht="14.25" customHeight="1" x14ac:dyDescent="0.2">
      <c r="A723" s="1"/>
      <c r="B723" s="1"/>
      <c r="C723" s="1"/>
      <c r="D723" s="1"/>
      <c r="E723" s="1"/>
      <c r="F723" s="1"/>
      <c r="G723" s="1"/>
      <c r="H723" s="1"/>
      <c r="I723" s="1"/>
      <c r="J723" s="1"/>
      <c r="K723" s="1"/>
      <c r="L723" s="1"/>
      <c r="M723" s="5"/>
      <c r="N723" s="5"/>
      <c r="O723" s="5"/>
      <c r="P723" s="5"/>
      <c r="Q723" s="1"/>
      <c r="R723" s="1"/>
      <c r="S723" s="1"/>
      <c r="T723" s="1"/>
      <c r="U723" s="1"/>
      <c r="V723" s="1"/>
      <c r="W723" s="1"/>
      <c r="X723" s="1"/>
      <c r="Y723" s="1"/>
      <c r="Z723" s="1"/>
      <c r="AA723" s="1"/>
      <c r="AB723" s="1"/>
      <c r="AC723" s="1"/>
    </row>
    <row r="724" spans="1:29" ht="14.25" customHeight="1" x14ac:dyDescent="0.2">
      <c r="A724" s="1"/>
      <c r="B724" s="1"/>
      <c r="C724" s="1"/>
      <c r="D724" s="1"/>
      <c r="E724" s="1"/>
      <c r="F724" s="1"/>
      <c r="G724" s="1"/>
      <c r="H724" s="1"/>
      <c r="I724" s="1"/>
      <c r="J724" s="1"/>
      <c r="K724" s="1"/>
      <c r="L724" s="1"/>
      <c r="M724" s="5"/>
      <c r="N724" s="5"/>
      <c r="O724" s="5"/>
      <c r="P724" s="5"/>
      <c r="Q724" s="1"/>
      <c r="R724" s="1"/>
      <c r="S724" s="1"/>
      <c r="T724" s="1"/>
      <c r="U724" s="1"/>
      <c r="V724" s="1"/>
      <c r="W724" s="1"/>
      <c r="X724" s="1"/>
      <c r="Y724" s="1"/>
      <c r="Z724" s="1"/>
      <c r="AA724" s="1"/>
      <c r="AB724" s="1"/>
      <c r="AC724" s="1"/>
    </row>
    <row r="725" spans="1:29" ht="14.25" customHeight="1" x14ac:dyDescent="0.2">
      <c r="A725" s="1"/>
      <c r="B725" s="1"/>
      <c r="C725" s="1"/>
      <c r="D725" s="1"/>
      <c r="E725" s="1"/>
      <c r="F725" s="1"/>
      <c r="G725" s="1"/>
      <c r="H725" s="1"/>
      <c r="I725" s="1"/>
      <c r="J725" s="1"/>
      <c r="K725" s="1"/>
      <c r="L725" s="1"/>
      <c r="M725" s="5"/>
      <c r="N725" s="5"/>
      <c r="O725" s="5"/>
      <c r="P725" s="5"/>
      <c r="Q725" s="1"/>
      <c r="R725" s="1"/>
      <c r="S725" s="1"/>
      <c r="T725" s="1"/>
      <c r="U725" s="1"/>
      <c r="V725" s="1"/>
      <c r="W725" s="1"/>
      <c r="X725" s="1"/>
      <c r="Y725" s="1"/>
      <c r="Z725" s="1"/>
      <c r="AA725" s="1"/>
      <c r="AB725" s="1"/>
      <c r="AC725" s="1"/>
    </row>
    <row r="726" spans="1:29" ht="14.25" customHeight="1" x14ac:dyDescent="0.2">
      <c r="A726" s="1"/>
      <c r="B726" s="1"/>
      <c r="C726" s="1"/>
      <c r="D726" s="1"/>
      <c r="E726" s="1"/>
      <c r="F726" s="1"/>
      <c r="G726" s="1"/>
      <c r="H726" s="1"/>
      <c r="I726" s="1"/>
      <c r="J726" s="1"/>
      <c r="K726" s="1"/>
      <c r="L726" s="1"/>
      <c r="M726" s="5"/>
      <c r="N726" s="5"/>
      <c r="O726" s="5"/>
      <c r="P726" s="5"/>
      <c r="Q726" s="1"/>
      <c r="R726" s="1"/>
      <c r="S726" s="1"/>
      <c r="T726" s="1"/>
      <c r="U726" s="1"/>
      <c r="V726" s="1"/>
      <c r="W726" s="1"/>
      <c r="X726" s="1"/>
      <c r="Y726" s="1"/>
      <c r="Z726" s="1"/>
      <c r="AA726" s="1"/>
      <c r="AB726" s="1"/>
      <c r="AC726" s="1"/>
    </row>
    <row r="727" spans="1:29" ht="14.25" customHeight="1" x14ac:dyDescent="0.2">
      <c r="A727" s="1"/>
      <c r="B727" s="1"/>
      <c r="C727" s="1"/>
      <c r="D727" s="1"/>
      <c r="E727" s="1"/>
      <c r="F727" s="1"/>
      <c r="G727" s="1"/>
      <c r="H727" s="1"/>
      <c r="I727" s="1"/>
      <c r="J727" s="1"/>
      <c r="K727" s="1"/>
      <c r="L727" s="1"/>
      <c r="M727" s="5"/>
      <c r="N727" s="5"/>
      <c r="O727" s="5"/>
      <c r="P727" s="5"/>
      <c r="Q727" s="1"/>
      <c r="R727" s="1"/>
      <c r="S727" s="1"/>
      <c r="T727" s="1"/>
      <c r="U727" s="1"/>
      <c r="V727" s="1"/>
      <c r="W727" s="1"/>
      <c r="X727" s="1"/>
      <c r="Y727" s="1"/>
      <c r="Z727" s="1"/>
      <c r="AA727" s="1"/>
      <c r="AB727" s="1"/>
      <c r="AC727" s="1"/>
    </row>
    <row r="728" spans="1:29" ht="14.25" customHeight="1" x14ac:dyDescent="0.2">
      <c r="A728" s="1"/>
      <c r="B728" s="1"/>
      <c r="C728" s="1"/>
      <c r="D728" s="1"/>
      <c r="E728" s="1"/>
      <c r="F728" s="1"/>
      <c r="G728" s="1"/>
      <c r="H728" s="1"/>
      <c r="I728" s="1"/>
      <c r="J728" s="1"/>
      <c r="K728" s="1"/>
      <c r="L728" s="1"/>
      <c r="M728" s="5"/>
      <c r="N728" s="5"/>
      <c r="O728" s="5"/>
      <c r="P728" s="5"/>
      <c r="Q728" s="1"/>
      <c r="R728" s="1"/>
      <c r="S728" s="1"/>
      <c r="T728" s="1"/>
      <c r="U728" s="1"/>
      <c r="V728" s="1"/>
      <c r="W728" s="1"/>
      <c r="X728" s="1"/>
      <c r="Y728" s="1"/>
      <c r="Z728" s="1"/>
      <c r="AA728" s="1"/>
      <c r="AB728" s="1"/>
      <c r="AC728" s="1"/>
    </row>
    <row r="729" spans="1:29" ht="14.25" customHeight="1" x14ac:dyDescent="0.2">
      <c r="A729" s="1"/>
      <c r="B729" s="1"/>
      <c r="C729" s="1"/>
      <c r="D729" s="1"/>
      <c r="E729" s="1"/>
      <c r="F729" s="1"/>
      <c r="G729" s="1"/>
      <c r="H729" s="1"/>
      <c r="I729" s="1"/>
      <c r="J729" s="1"/>
      <c r="K729" s="1"/>
      <c r="L729" s="1"/>
      <c r="M729" s="5"/>
      <c r="N729" s="5"/>
      <c r="O729" s="5"/>
      <c r="P729" s="5"/>
      <c r="Q729" s="1"/>
      <c r="R729" s="1"/>
      <c r="S729" s="1"/>
      <c r="T729" s="1"/>
      <c r="U729" s="1"/>
      <c r="V729" s="1"/>
      <c r="W729" s="1"/>
      <c r="X729" s="1"/>
      <c r="Y729" s="1"/>
      <c r="Z729" s="1"/>
      <c r="AA729" s="1"/>
      <c r="AB729" s="1"/>
      <c r="AC729" s="1"/>
    </row>
    <row r="730" spans="1:29" ht="14.25" customHeight="1" x14ac:dyDescent="0.2">
      <c r="A730" s="1"/>
      <c r="B730" s="1"/>
      <c r="C730" s="1"/>
      <c r="D730" s="1"/>
      <c r="E730" s="1"/>
      <c r="F730" s="1"/>
      <c r="G730" s="1"/>
      <c r="H730" s="1"/>
      <c r="I730" s="1"/>
      <c r="J730" s="1"/>
      <c r="K730" s="1"/>
      <c r="L730" s="1"/>
      <c r="M730" s="5"/>
      <c r="N730" s="5"/>
      <c r="O730" s="5"/>
      <c r="P730" s="5"/>
      <c r="Q730" s="1"/>
      <c r="R730" s="1"/>
      <c r="S730" s="1"/>
      <c r="T730" s="1"/>
      <c r="U730" s="1"/>
      <c r="V730" s="1"/>
      <c r="W730" s="1"/>
      <c r="X730" s="1"/>
      <c r="Y730" s="1"/>
      <c r="Z730" s="1"/>
      <c r="AA730" s="1"/>
      <c r="AB730" s="1"/>
      <c r="AC730" s="1"/>
    </row>
    <row r="731" spans="1:29" ht="14.25" customHeight="1" x14ac:dyDescent="0.2">
      <c r="A731" s="1"/>
      <c r="B731" s="1"/>
      <c r="C731" s="1"/>
      <c r="D731" s="1"/>
      <c r="E731" s="1"/>
      <c r="F731" s="1"/>
      <c r="G731" s="1"/>
      <c r="H731" s="1"/>
      <c r="I731" s="1"/>
      <c r="J731" s="1"/>
      <c r="K731" s="1"/>
      <c r="L731" s="1"/>
      <c r="M731" s="5"/>
      <c r="N731" s="5"/>
      <c r="O731" s="5"/>
      <c r="P731" s="5"/>
      <c r="Q731" s="1"/>
      <c r="R731" s="1"/>
      <c r="S731" s="1"/>
      <c r="T731" s="1"/>
      <c r="U731" s="1"/>
      <c r="V731" s="1"/>
      <c r="W731" s="1"/>
      <c r="X731" s="1"/>
      <c r="Y731" s="1"/>
      <c r="Z731" s="1"/>
      <c r="AA731" s="1"/>
      <c r="AB731" s="1"/>
      <c r="AC731" s="1"/>
    </row>
    <row r="732" spans="1:29" ht="14.25" customHeight="1" x14ac:dyDescent="0.2">
      <c r="A732" s="1"/>
      <c r="B732" s="1"/>
      <c r="C732" s="1"/>
      <c r="D732" s="1"/>
      <c r="E732" s="1"/>
      <c r="F732" s="1"/>
      <c r="G732" s="1"/>
      <c r="H732" s="1"/>
      <c r="I732" s="1"/>
      <c r="J732" s="1"/>
      <c r="K732" s="1"/>
      <c r="L732" s="1"/>
      <c r="M732" s="5"/>
      <c r="N732" s="5"/>
      <c r="O732" s="5"/>
      <c r="P732" s="5"/>
      <c r="Q732" s="1"/>
      <c r="R732" s="1"/>
      <c r="S732" s="1"/>
      <c r="T732" s="1"/>
      <c r="U732" s="1"/>
      <c r="V732" s="1"/>
      <c r="W732" s="1"/>
      <c r="X732" s="1"/>
      <c r="Y732" s="1"/>
      <c r="Z732" s="1"/>
      <c r="AA732" s="1"/>
      <c r="AB732" s="1"/>
      <c r="AC732" s="1"/>
    </row>
    <row r="733" spans="1:29" ht="14.25" customHeight="1" x14ac:dyDescent="0.2">
      <c r="A733" s="1"/>
      <c r="B733" s="1"/>
      <c r="C733" s="1"/>
      <c r="D733" s="1"/>
      <c r="E733" s="1"/>
      <c r="F733" s="1"/>
      <c r="G733" s="1"/>
      <c r="H733" s="1"/>
      <c r="I733" s="1"/>
      <c r="J733" s="1"/>
      <c r="K733" s="1"/>
      <c r="L733" s="1"/>
      <c r="M733" s="5"/>
      <c r="N733" s="5"/>
      <c r="O733" s="5"/>
      <c r="P733" s="5"/>
      <c r="Q733" s="1"/>
      <c r="R733" s="1"/>
      <c r="S733" s="1"/>
      <c r="T733" s="1"/>
      <c r="U733" s="1"/>
      <c r="V733" s="1"/>
      <c r="W733" s="1"/>
      <c r="X733" s="1"/>
      <c r="Y733" s="1"/>
      <c r="Z733" s="1"/>
      <c r="AA733" s="1"/>
      <c r="AB733" s="1"/>
      <c r="AC733" s="1"/>
    </row>
    <row r="734" spans="1:29" ht="14.25" customHeight="1" x14ac:dyDescent="0.2">
      <c r="A734" s="1"/>
      <c r="B734" s="1"/>
      <c r="C734" s="1"/>
      <c r="D734" s="1"/>
      <c r="E734" s="1"/>
      <c r="F734" s="1"/>
      <c r="G734" s="1"/>
      <c r="H734" s="1"/>
      <c r="I734" s="1"/>
      <c r="J734" s="1"/>
      <c r="K734" s="1"/>
      <c r="L734" s="1"/>
      <c r="M734" s="5"/>
      <c r="N734" s="5"/>
      <c r="O734" s="5"/>
      <c r="P734" s="5"/>
      <c r="Q734" s="1"/>
      <c r="R734" s="1"/>
      <c r="S734" s="1"/>
      <c r="T734" s="1"/>
      <c r="U734" s="1"/>
      <c r="V734" s="1"/>
      <c r="W734" s="1"/>
      <c r="X734" s="1"/>
      <c r="Y734" s="1"/>
      <c r="Z734" s="1"/>
      <c r="AA734" s="1"/>
      <c r="AB734" s="1"/>
      <c r="AC734" s="1"/>
    </row>
    <row r="735" spans="1:29" ht="14.25" customHeight="1" x14ac:dyDescent="0.2">
      <c r="A735" s="1"/>
      <c r="B735" s="1"/>
      <c r="C735" s="1"/>
      <c r="D735" s="1"/>
      <c r="E735" s="1"/>
      <c r="F735" s="1"/>
      <c r="G735" s="1"/>
      <c r="H735" s="1"/>
      <c r="I735" s="1"/>
      <c r="J735" s="1"/>
      <c r="K735" s="1"/>
      <c r="L735" s="1"/>
      <c r="M735" s="5"/>
      <c r="N735" s="5"/>
      <c r="O735" s="5"/>
      <c r="P735" s="5"/>
      <c r="Q735" s="1"/>
      <c r="R735" s="1"/>
      <c r="S735" s="1"/>
      <c r="T735" s="1"/>
      <c r="U735" s="1"/>
      <c r="V735" s="1"/>
      <c r="W735" s="1"/>
      <c r="X735" s="1"/>
      <c r="Y735" s="1"/>
      <c r="Z735" s="1"/>
      <c r="AA735" s="1"/>
      <c r="AB735" s="1"/>
      <c r="AC735" s="1"/>
    </row>
    <row r="736" spans="1:29" ht="14.25" customHeight="1" x14ac:dyDescent="0.2">
      <c r="A736" s="1"/>
      <c r="B736" s="1"/>
      <c r="C736" s="1"/>
      <c r="D736" s="1"/>
      <c r="E736" s="1"/>
      <c r="F736" s="1"/>
      <c r="G736" s="1"/>
      <c r="H736" s="1"/>
      <c r="I736" s="1"/>
      <c r="J736" s="1"/>
      <c r="K736" s="1"/>
      <c r="L736" s="1"/>
      <c r="M736" s="5"/>
      <c r="N736" s="5"/>
      <c r="O736" s="5"/>
      <c r="P736" s="5"/>
      <c r="Q736" s="1"/>
      <c r="R736" s="1"/>
      <c r="S736" s="1"/>
      <c r="T736" s="1"/>
      <c r="U736" s="1"/>
      <c r="V736" s="1"/>
      <c r="W736" s="1"/>
      <c r="X736" s="1"/>
      <c r="Y736" s="1"/>
      <c r="Z736" s="1"/>
      <c r="AA736" s="1"/>
      <c r="AB736" s="1"/>
      <c r="AC736" s="1"/>
    </row>
    <row r="737" spans="1:29" ht="14.25" customHeight="1" x14ac:dyDescent="0.2">
      <c r="A737" s="1"/>
      <c r="B737" s="1"/>
      <c r="C737" s="1"/>
      <c r="D737" s="1"/>
      <c r="E737" s="1"/>
      <c r="F737" s="1"/>
      <c r="G737" s="1"/>
      <c r="H737" s="1"/>
      <c r="I737" s="1"/>
      <c r="J737" s="1"/>
      <c r="K737" s="1"/>
      <c r="L737" s="1"/>
      <c r="M737" s="5"/>
      <c r="N737" s="5"/>
      <c r="O737" s="5"/>
      <c r="P737" s="5"/>
      <c r="Q737" s="1"/>
      <c r="R737" s="1"/>
      <c r="S737" s="1"/>
      <c r="T737" s="1"/>
      <c r="U737" s="1"/>
      <c r="V737" s="1"/>
      <c r="W737" s="1"/>
      <c r="X737" s="1"/>
      <c r="Y737" s="1"/>
      <c r="Z737" s="1"/>
      <c r="AA737" s="1"/>
      <c r="AB737" s="1"/>
      <c r="AC737" s="1"/>
    </row>
    <row r="738" spans="1:29" ht="14.25" customHeight="1" x14ac:dyDescent="0.2">
      <c r="A738" s="1"/>
      <c r="B738" s="1"/>
      <c r="C738" s="1"/>
      <c r="D738" s="1"/>
      <c r="E738" s="1"/>
      <c r="F738" s="1"/>
      <c r="G738" s="1"/>
      <c r="H738" s="1"/>
      <c r="I738" s="1"/>
      <c r="J738" s="1"/>
      <c r="K738" s="1"/>
      <c r="L738" s="1"/>
      <c r="M738" s="5"/>
      <c r="N738" s="5"/>
      <c r="O738" s="5"/>
      <c r="P738" s="5"/>
      <c r="Q738" s="1"/>
      <c r="R738" s="1"/>
      <c r="S738" s="1"/>
      <c r="T738" s="1"/>
      <c r="U738" s="1"/>
      <c r="V738" s="1"/>
      <c r="W738" s="1"/>
      <c r="X738" s="1"/>
      <c r="Y738" s="1"/>
      <c r="Z738" s="1"/>
      <c r="AA738" s="1"/>
      <c r="AB738" s="1"/>
      <c r="AC738" s="1"/>
    </row>
    <row r="739" spans="1:29" ht="14.25" customHeight="1" x14ac:dyDescent="0.2">
      <c r="A739" s="1"/>
      <c r="B739" s="1"/>
      <c r="C739" s="1"/>
      <c r="D739" s="1"/>
      <c r="E739" s="1"/>
      <c r="F739" s="1"/>
      <c r="G739" s="1"/>
      <c r="H739" s="1"/>
      <c r="I739" s="1"/>
      <c r="J739" s="1"/>
      <c r="K739" s="1"/>
      <c r="L739" s="1"/>
      <c r="M739" s="5"/>
      <c r="N739" s="5"/>
      <c r="O739" s="5"/>
      <c r="P739" s="5"/>
      <c r="Q739" s="1"/>
      <c r="R739" s="1"/>
      <c r="S739" s="1"/>
      <c r="T739" s="1"/>
      <c r="U739" s="1"/>
      <c r="V739" s="1"/>
      <c r="W739" s="1"/>
      <c r="X739" s="1"/>
      <c r="Y739" s="1"/>
      <c r="Z739" s="1"/>
      <c r="AA739" s="1"/>
      <c r="AB739" s="1"/>
      <c r="AC739" s="1"/>
    </row>
    <row r="740" spans="1:29" ht="14.25" customHeight="1" x14ac:dyDescent="0.2">
      <c r="A740" s="1"/>
      <c r="B740" s="1"/>
      <c r="C740" s="1"/>
      <c r="D740" s="1"/>
      <c r="E740" s="1"/>
      <c r="F740" s="1"/>
      <c r="G740" s="1"/>
      <c r="H740" s="1"/>
      <c r="I740" s="1"/>
      <c r="J740" s="1"/>
      <c r="K740" s="1"/>
      <c r="L740" s="1"/>
      <c r="M740" s="5"/>
      <c r="N740" s="5"/>
      <c r="O740" s="5"/>
      <c r="P740" s="5"/>
      <c r="Q740" s="1"/>
      <c r="R740" s="1"/>
      <c r="S740" s="1"/>
      <c r="T740" s="1"/>
      <c r="U740" s="1"/>
      <c r="V740" s="1"/>
      <c r="W740" s="1"/>
      <c r="X740" s="1"/>
      <c r="Y740" s="1"/>
      <c r="Z740" s="1"/>
      <c r="AA740" s="1"/>
      <c r="AB740" s="1"/>
      <c r="AC740" s="1"/>
    </row>
    <row r="741" spans="1:29" ht="14.25" customHeight="1" x14ac:dyDescent="0.2">
      <c r="A741" s="1"/>
      <c r="B741" s="1"/>
      <c r="C741" s="1"/>
      <c r="D741" s="1"/>
      <c r="E741" s="1"/>
      <c r="F741" s="1"/>
      <c r="G741" s="1"/>
      <c r="H741" s="1"/>
      <c r="I741" s="1"/>
      <c r="J741" s="1"/>
      <c r="K741" s="1"/>
      <c r="L741" s="1"/>
      <c r="M741" s="5"/>
      <c r="N741" s="5"/>
      <c r="O741" s="5"/>
      <c r="P741" s="5"/>
      <c r="Q741" s="1"/>
      <c r="R741" s="1"/>
      <c r="S741" s="1"/>
      <c r="T741" s="1"/>
      <c r="U741" s="1"/>
      <c r="V741" s="1"/>
      <c r="W741" s="1"/>
      <c r="X741" s="1"/>
      <c r="Y741" s="1"/>
      <c r="Z741" s="1"/>
      <c r="AA741" s="1"/>
      <c r="AB741" s="1"/>
      <c r="AC741" s="1"/>
    </row>
    <row r="742" spans="1:29" ht="14.25" customHeight="1" x14ac:dyDescent="0.2">
      <c r="A742" s="1"/>
      <c r="B742" s="1"/>
      <c r="C742" s="1"/>
      <c r="D742" s="1"/>
      <c r="E742" s="1"/>
      <c r="F742" s="1"/>
      <c r="G742" s="1"/>
      <c r="H742" s="1"/>
      <c r="I742" s="1"/>
      <c r="J742" s="1"/>
      <c r="K742" s="1"/>
      <c r="L742" s="1"/>
      <c r="M742" s="5"/>
      <c r="N742" s="5"/>
      <c r="O742" s="5"/>
      <c r="P742" s="5"/>
      <c r="Q742" s="1"/>
      <c r="R742" s="1"/>
      <c r="S742" s="1"/>
      <c r="T742" s="1"/>
      <c r="U742" s="1"/>
      <c r="V742" s="1"/>
      <c r="W742" s="1"/>
      <c r="X742" s="1"/>
      <c r="Y742" s="1"/>
      <c r="Z742" s="1"/>
      <c r="AA742" s="1"/>
      <c r="AB742" s="1"/>
      <c r="AC742" s="1"/>
    </row>
    <row r="743" spans="1:29" ht="14.25" customHeight="1" x14ac:dyDescent="0.2">
      <c r="A743" s="1"/>
      <c r="B743" s="1"/>
      <c r="C743" s="1"/>
      <c r="D743" s="1"/>
      <c r="E743" s="1"/>
      <c r="F743" s="1"/>
      <c r="G743" s="1"/>
      <c r="H743" s="1"/>
      <c r="I743" s="1"/>
      <c r="J743" s="1"/>
      <c r="K743" s="1"/>
      <c r="L743" s="1"/>
      <c r="M743" s="5"/>
      <c r="N743" s="5"/>
      <c r="O743" s="5"/>
      <c r="P743" s="5"/>
      <c r="Q743" s="1"/>
      <c r="R743" s="1"/>
      <c r="S743" s="1"/>
      <c r="T743" s="1"/>
      <c r="U743" s="1"/>
      <c r="V743" s="1"/>
      <c r="W743" s="1"/>
      <c r="X743" s="1"/>
      <c r="Y743" s="1"/>
      <c r="Z743" s="1"/>
      <c r="AA743" s="1"/>
      <c r="AB743" s="1"/>
      <c r="AC743" s="1"/>
    </row>
    <row r="744" spans="1:29" ht="14.25" customHeight="1" x14ac:dyDescent="0.2">
      <c r="A744" s="1"/>
      <c r="B744" s="1"/>
      <c r="C744" s="1"/>
      <c r="D744" s="1"/>
      <c r="E744" s="1"/>
      <c r="F744" s="1"/>
      <c r="G744" s="1"/>
      <c r="H744" s="1"/>
      <c r="I744" s="1"/>
      <c r="J744" s="1"/>
      <c r="K744" s="1"/>
      <c r="L744" s="1"/>
      <c r="M744" s="5"/>
      <c r="N744" s="5"/>
      <c r="O744" s="5"/>
      <c r="P744" s="5"/>
      <c r="Q744" s="1"/>
      <c r="R744" s="1"/>
      <c r="S744" s="1"/>
      <c r="T744" s="1"/>
      <c r="U744" s="1"/>
      <c r="V744" s="1"/>
      <c r="W744" s="1"/>
      <c r="X744" s="1"/>
      <c r="Y744" s="1"/>
      <c r="Z744" s="1"/>
      <c r="AA744" s="1"/>
      <c r="AB744" s="1"/>
      <c r="AC744" s="1"/>
    </row>
    <row r="745" spans="1:29" ht="14.25" customHeight="1" x14ac:dyDescent="0.2">
      <c r="A745" s="1"/>
      <c r="B745" s="1"/>
      <c r="C745" s="1"/>
      <c r="D745" s="1"/>
      <c r="E745" s="1"/>
      <c r="F745" s="1"/>
      <c r="G745" s="1"/>
      <c r="H745" s="1"/>
      <c r="I745" s="1"/>
      <c r="J745" s="1"/>
      <c r="K745" s="1"/>
      <c r="L745" s="1"/>
      <c r="M745" s="5"/>
      <c r="N745" s="5"/>
      <c r="O745" s="5"/>
      <c r="P745" s="5"/>
      <c r="Q745" s="1"/>
      <c r="R745" s="1"/>
      <c r="S745" s="1"/>
      <c r="T745" s="1"/>
      <c r="U745" s="1"/>
      <c r="V745" s="1"/>
      <c r="W745" s="1"/>
      <c r="X745" s="1"/>
      <c r="Y745" s="1"/>
      <c r="Z745" s="1"/>
      <c r="AA745" s="1"/>
      <c r="AB745" s="1"/>
      <c r="AC745" s="1"/>
    </row>
    <row r="746" spans="1:29" ht="14.25" customHeight="1" x14ac:dyDescent="0.2">
      <c r="A746" s="1"/>
      <c r="B746" s="1"/>
      <c r="C746" s="1"/>
      <c r="D746" s="1"/>
      <c r="E746" s="1"/>
      <c r="F746" s="1"/>
      <c r="G746" s="1"/>
      <c r="H746" s="1"/>
      <c r="I746" s="1"/>
      <c r="J746" s="1"/>
      <c r="K746" s="1"/>
      <c r="L746" s="1"/>
      <c r="M746" s="5"/>
      <c r="N746" s="5"/>
      <c r="O746" s="5"/>
      <c r="P746" s="5"/>
      <c r="Q746" s="1"/>
      <c r="R746" s="1"/>
      <c r="S746" s="1"/>
      <c r="T746" s="1"/>
      <c r="U746" s="1"/>
      <c r="V746" s="1"/>
      <c r="W746" s="1"/>
      <c r="X746" s="1"/>
      <c r="Y746" s="1"/>
      <c r="Z746" s="1"/>
      <c r="AA746" s="1"/>
      <c r="AB746" s="1"/>
      <c r="AC746" s="1"/>
    </row>
    <row r="747" spans="1:29" ht="14.25" customHeight="1" x14ac:dyDescent="0.2">
      <c r="A747" s="1"/>
      <c r="B747" s="1"/>
      <c r="C747" s="1"/>
      <c r="D747" s="1"/>
      <c r="E747" s="1"/>
      <c r="F747" s="1"/>
      <c r="G747" s="1"/>
      <c r="H747" s="1"/>
      <c r="I747" s="1"/>
      <c r="J747" s="1"/>
      <c r="K747" s="1"/>
      <c r="L747" s="1"/>
      <c r="M747" s="5"/>
      <c r="N747" s="5"/>
      <c r="O747" s="5"/>
      <c r="P747" s="5"/>
      <c r="Q747" s="1"/>
      <c r="R747" s="1"/>
      <c r="S747" s="1"/>
      <c r="T747" s="1"/>
      <c r="U747" s="1"/>
      <c r="V747" s="1"/>
      <c r="W747" s="1"/>
      <c r="X747" s="1"/>
      <c r="Y747" s="1"/>
      <c r="Z747" s="1"/>
      <c r="AA747" s="1"/>
      <c r="AB747" s="1"/>
      <c r="AC747" s="1"/>
    </row>
    <row r="748" spans="1:29" ht="14.25" customHeight="1" x14ac:dyDescent="0.2">
      <c r="A748" s="1"/>
      <c r="B748" s="1"/>
      <c r="C748" s="1"/>
      <c r="D748" s="1"/>
      <c r="E748" s="1"/>
      <c r="F748" s="1"/>
      <c r="G748" s="1"/>
      <c r="H748" s="1"/>
      <c r="I748" s="1"/>
      <c r="J748" s="1"/>
      <c r="K748" s="1"/>
      <c r="L748" s="1"/>
      <c r="M748" s="5"/>
      <c r="N748" s="5"/>
      <c r="O748" s="5"/>
      <c r="P748" s="5"/>
      <c r="Q748" s="1"/>
      <c r="R748" s="1"/>
      <c r="S748" s="1"/>
      <c r="T748" s="1"/>
      <c r="U748" s="1"/>
      <c r="V748" s="1"/>
      <c r="W748" s="1"/>
      <c r="X748" s="1"/>
      <c r="Y748" s="1"/>
      <c r="Z748" s="1"/>
      <c r="AA748" s="1"/>
      <c r="AB748" s="1"/>
      <c r="AC748" s="1"/>
    </row>
    <row r="749" spans="1:29" ht="14.25" customHeight="1" x14ac:dyDescent="0.2">
      <c r="A749" s="1"/>
      <c r="B749" s="1"/>
      <c r="C749" s="1"/>
      <c r="D749" s="1"/>
      <c r="E749" s="1"/>
      <c r="F749" s="1"/>
      <c r="G749" s="1"/>
      <c r="H749" s="1"/>
      <c r="I749" s="1"/>
      <c r="J749" s="1"/>
      <c r="K749" s="1"/>
      <c r="L749" s="1"/>
      <c r="M749" s="5"/>
      <c r="N749" s="5"/>
      <c r="O749" s="5"/>
      <c r="P749" s="5"/>
      <c r="Q749" s="1"/>
      <c r="R749" s="1"/>
      <c r="S749" s="1"/>
      <c r="T749" s="1"/>
      <c r="U749" s="1"/>
      <c r="V749" s="1"/>
      <c r="W749" s="1"/>
      <c r="X749" s="1"/>
      <c r="Y749" s="1"/>
      <c r="Z749" s="1"/>
      <c r="AA749" s="1"/>
      <c r="AB749" s="1"/>
      <c r="AC749" s="1"/>
    </row>
    <row r="750" spans="1:29" ht="14.25" customHeight="1" x14ac:dyDescent="0.2">
      <c r="A750" s="1"/>
      <c r="B750" s="1"/>
      <c r="C750" s="1"/>
      <c r="D750" s="1"/>
      <c r="E750" s="1"/>
      <c r="F750" s="1"/>
      <c r="G750" s="1"/>
      <c r="H750" s="1"/>
      <c r="I750" s="1"/>
      <c r="J750" s="1"/>
      <c r="K750" s="1"/>
      <c r="L750" s="1"/>
      <c r="M750" s="5"/>
      <c r="N750" s="5"/>
      <c r="O750" s="5"/>
      <c r="P750" s="5"/>
      <c r="Q750" s="1"/>
      <c r="R750" s="1"/>
      <c r="S750" s="1"/>
      <c r="T750" s="1"/>
      <c r="U750" s="1"/>
      <c r="V750" s="1"/>
      <c r="W750" s="1"/>
      <c r="X750" s="1"/>
      <c r="Y750" s="1"/>
      <c r="Z750" s="1"/>
      <c r="AA750" s="1"/>
      <c r="AB750" s="1"/>
      <c r="AC750" s="1"/>
    </row>
    <row r="751" spans="1:29" ht="14.25" customHeight="1" x14ac:dyDescent="0.2">
      <c r="A751" s="1"/>
      <c r="B751" s="1"/>
      <c r="C751" s="1"/>
      <c r="D751" s="1"/>
      <c r="E751" s="1"/>
      <c r="F751" s="1"/>
      <c r="G751" s="1"/>
      <c r="H751" s="1"/>
      <c r="I751" s="1"/>
      <c r="J751" s="1"/>
      <c r="K751" s="1"/>
      <c r="L751" s="1"/>
      <c r="M751" s="5"/>
      <c r="N751" s="5"/>
      <c r="O751" s="5"/>
      <c r="P751" s="5"/>
      <c r="Q751" s="1"/>
      <c r="R751" s="1"/>
      <c r="S751" s="1"/>
      <c r="T751" s="1"/>
      <c r="U751" s="1"/>
      <c r="V751" s="1"/>
      <c r="W751" s="1"/>
      <c r="X751" s="1"/>
      <c r="Y751" s="1"/>
      <c r="Z751" s="1"/>
      <c r="AA751" s="1"/>
      <c r="AB751" s="1"/>
      <c r="AC751" s="1"/>
    </row>
    <row r="752" spans="1:29" ht="14.25" customHeight="1" x14ac:dyDescent="0.2">
      <c r="A752" s="1"/>
      <c r="B752" s="1"/>
      <c r="C752" s="1"/>
      <c r="D752" s="1"/>
      <c r="E752" s="1"/>
      <c r="F752" s="1"/>
      <c r="G752" s="1"/>
      <c r="H752" s="1"/>
      <c r="I752" s="1"/>
      <c r="J752" s="1"/>
      <c r="K752" s="1"/>
      <c r="L752" s="1"/>
      <c r="M752" s="5"/>
      <c r="N752" s="5"/>
      <c r="O752" s="5"/>
      <c r="P752" s="5"/>
      <c r="Q752" s="1"/>
      <c r="R752" s="1"/>
      <c r="S752" s="1"/>
      <c r="T752" s="1"/>
      <c r="U752" s="1"/>
      <c r="V752" s="1"/>
      <c r="W752" s="1"/>
      <c r="X752" s="1"/>
      <c r="Y752" s="1"/>
      <c r="Z752" s="1"/>
      <c r="AA752" s="1"/>
      <c r="AB752" s="1"/>
      <c r="AC752" s="1"/>
    </row>
    <row r="753" spans="1:29" ht="14.25" customHeight="1" x14ac:dyDescent="0.2">
      <c r="A753" s="1"/>
      <c r="B753" s="1"/>
      <c r="C753" s="1"/>
      <c r="D753" s="1"/>
      <c r="E753" s="1"/>
      <c r="F753" s="1"/>
      <c r="G753" s="1"/>
      <c r="H753" s="1"/>
      <c r="I753" s="1"/>
      <c r="J753" s="1"/>
      <c r="K753" s="1"/>
      <c r="L753" s="1"/>
      <c r="M753" s="5"/>
      <c r="N753" s="5"/>
      <c r="O753" s="5"/>
      <c r="P753" s="5"/>
      <c r="Q753" s="1"/>
      <c r="R753" s="1"/>
      <c r="S753" s="1"/>
      <c r="T753" s="1"/>
      <c r="U753" s="1"/>
      <c r="V753" s="1"/>
      <c r="W753" s="1"/>
      <c r="X753" s="1"/>
      <c r="Y753" s="1"/>
      <c r="Z753" s="1"/>
      <c r="AA753" s="1"/>
      <c r="AB753" s="1"/>
      <c r="AC753" s="1"/>
    </row>
    <row r="754" spans="1:29" ht="14.25" customHeight="1" x14ac:dyDescent="0.2">
      <c r="A754" s="1"/>
      <c r="B754" s="1"/>
      <c r="C754" s="1"/>
      <c r="D754" s="1"/>
      <c r="E754" s="1"/>
      <c r="F754" s="1"/>
      <c r="G754" s="1"/>
      <c r="H754" s="1"/>
      <c r="I754" s="1"/>
      <c r="J754" s="1"/>
      <c r="K754" s="1"/>
      <c r="L754" s="1"/>
      <c r="M754" s="5"/>
      <c r="N754" s="5"/>
      <c r="O754" s="5"/>
      <c r="P754" s="5"/>
      <c r="Q754" s="1"/>
      <c r="R754" s="1"/>
      <c r="S754" s="1"/>
      <c r="T754" s="1"/>
      <c r="U754" s="1"/>
      <c r="V754" s="1"/>
      <c r="W754" s="1"/>
      <c r="X754" s="1"/>
      <c r="Y754" s="1"/>
      <c r="Z754" s="1"/>
      <c r="AA754" s="1"/>
      <c r="AB754" s="1"/>
      <c r="AC754" s="1"/>
    </row>
    <row r="755" spans="1:29" ht="14.25" customHeight="1" x14ac:dyDescent="0.2">
      <c r="A755" s="1"/>
      <c r="B755" s="1"/>
      <c r="C755" s="1"/>
      <c r="D755" s="1"/>
      <c r="E755" s="1"/>
      <c r="F755" s="1"/>
      <c r="G755" s="1"/>
      <c r="H755" s="1"/>
      <c r="I755" s="1"/>
      <c r="J755" s="1"/>
      <c r="K755" s="1"/>
      <c r="L755" s="1"/>
      <c r="M755" s="5"/>
      <c r="N755" s="5"/>
      <c r="O755" s="5"/>
      <c r="P755" s="5"/>
      <c r="Q755" s="1"/>
      <c r="R755" s="1"/>
      <c r="S755" s="1"/>
      <c r="T755" s="1"/>
      <c r="U755" s="1"/>
      <c r="V755" s="1"/>
      <c r="W755" s="1"/>
      <c r="X755" s="1"/>
      <c r="Y755" s="1"/>
      <c r="Z755" s="1"/>
      <c r="AA755" s="1"/>
      <c r="AB755" s="1"/>
      <c r="AC755" s="1"/>
    </row>
    <row r="756" spans="1:29" ht="14.25" customHeight="1" x14ac:dyDescent="0.2">
      <c r="A756" s="1"/>
      <c r="B756" s="1"/>
      <c r="C756" s="1"/>
      <c r="D756" s="1"/>
      <c r="E756" s="1"/>
      <c r="F756" s="1"/>
      <c r="G756" s="1"/>
      <c r="H756" s="1"/>
      <c r="I756" s="1"/>
      <c r="J756" s="1"/>
      <c r="K756" s="1"/>
      <c r="L756" s="1"/>
      <c r="M756" s="5"/>
      <c r="N756" s="5"/>
      <c r="O756" s="5"/>
      <c r="P756" s="5"/>
      <c r="Q756" s="1"/>
      <c r="R756" s="1"/>
      <c r="S756" s="1"/>
      <c r="T756" s="1"/>
      <c r="U756" s="1"/>
      <c r="V756" s="1"/>
      <c r="W756" s="1"/>
      <c r="X756" s="1"/>
      <c r="Y756" s="1"/>
      <c r="Z756" s="1"/>
      <c r="AA756" s="1"/>
      <c r="AB756" s="1"/>
      <c r="AC756" s="1"/>
    </row>
    <row r="757" spans="1:29" ht="14.25" customHeight="1" x14ac:dyDescent="0.2">
      <c r="A757" s="1"/>
      <c r="B757" s="1"/>
      <c r="C757" s="1"/>
      <c r="D757" s="1"/>
      <c r="E757" s="1"/>
      <c r="F757" s="1"/>
      <c r="G757" s="1"/>
      <c r="H757" s="1"/>
      <c r="I757" s="1"/>
      <c r="J757" s="1"/>
      <c r="K757" s="1"/>
      <c r="L757" s="1"/>
      <c r="M757" s="5"/>
      <c r="N757" s="5"/>
      <c r="O757" s="5"/>
      <c r="P757" s="5"/>
      <c r="Q757" s="1"/>
      <c r="R757" s="1"/>
      <c r="S757" s="1"/>
      <c r="T757" s="1"/>
      <c r="U757" s="1"/>
      <c r="V757" s="1"/>
      <c r="W757" s="1"/>
      <c r="X757" s="1"/>
      <c r="Y757" s="1"/>
      <c r="Z757" s="1"/>
      <c r="AA757" s="1"/>
      <c r="AB757" s="1"/>
      <c r="AC757" s="1"/>
    </row>
    <row r="758" spans="1:29" ht="14.25" customHeight="1" x14ac:dyDescent="0.2">
      <c r="A758" s="1"/>
      <c r="B758" s="1"/>
      <c r="C758" s="1"/>
      <c r="D758" s="1"/>
      <c r="E758" s="1"/>
      <c r="F758" s="1"/>
      <c r="G758" s="1"/>
      <c r="H758" s="1"/>
      <c r="I758" s="1"/>
      <c r="J758" s="1"/>
      <c r="K758" s="1"/>
      <c r="L758" s="1"/>
      <c r="M758" s="5"/>
      <c r="N758" s="5"/>
      <c r="O758" s="5"/>
      <c r="P758" s="5"/>
      <c r="Q758" s="1"/>
      <c r="R758" s="1"/>
      <c r="S758" s="1"/>
      <c r="T758" s="1"/>
      <c r="U758" s="1"/>
      <c r="V758" s="1"/>
      <c r="W758" s="1"/>
      <c r="X758" s="1"/>
      <c r="Y758" s="1"/>
      <c r="Z758" s="1"/>
      <c r="AA758" s="1"/>
      <c r="AB758" s="1"/>
      <c r="AC758" s="1"/>
    </row>
    <row r="759" spans="1:29" ht="14.25" customHeight="1" x14ac:dyDescent="0.2">
      <c r="A759" s="1"/>
      <c r="B759" s="1"/>
      <c r="C759" s="1"/>
      <c r="D759" s="1"/>
      <c r="E759" s="1"/>
      <c r="F759" s="1"/>
      <c r="G759" s="1"/>
      <c r="H759" s="1"/>
      <c r="I759" s="1"/>
      <c r="J759" s="1"/>
      <c r="K759" s="1"/>
      <c r="L759" s="1"/>
      <c r="M759" s="5"/>
      <c r="N759" s="5"/>
      <c r="O759" s="5"/>
      <c r="P759" s="5"/>
      <c r="Q759" s="1"/>
      <c r="R759" s="1"/>
      <c r="S759" s="1"/>
      <c r="T759" s="1"/>
      <c r="U759" s="1"/>
      <c r="V759" s="1"/>
      <c r="W759" s="1"/>
      <c r="X759" s="1"/>
      <c r="Y759" s="1"/>
      <c r="Z759" s="1"/>
      <c r="AA759" s="1"/>
      <c r="AB759" s="1"/>
      <c r="AC759" s="1"/>
    </row>
    <row r="760" spans="1:29" ht="14.25" customHeight="1" x14ac:dyDescent="0.2">
      <c r="A760" s="1"/>
      <c r="B760" s="1"/>
      <c r="C760" s="1"/>
      <c r="D760" s="1"/>
      <c r="E760" s="1"/>
      <c r="F760" s="1"/>
      <c r="G760" s="1"/>
      <c r="H760" s="1"/>
      <c r="I760" s="1"/>
      <c r="J760" s="1"/>
      <c r="K760" s="1"/>
      <c r="L760" s="1"/>
      <c r="M760" s="5"/>
      <c r="N760" s="5"/>
      <c r="O760" s="5"/>
      <c r="P760" s="5"/>
      <c r="Q760" s="1"/>
      <c r="R760" s="1"/>
      <c r="S760" s="1"/>
      <c r="T760" s="1"/>
      <c r="U760" s="1"/>
      <c r="V760" s="1"/>
      <c r="W760" s="1"/>
      <c r="X760" s="1"/>
      <c r="Y760" s="1"/>
      <c r="Z760" s="1"/>
      <c r="AA760" s="1"/>
      <c r="AB760" s="1"/>
      <c r="AC760" s="1"/>
    </row>
    <row r="761" spans="1:29" ht="14.25" customHeight="1" x14ac:dyDescent="0.2">
      <c r="A761" s="1"/>
      <c r="B761" s="1"/>
      <c r="C761" s="1"/>
      <c r="D761" s="1"/>
      <c r="E761" s="1"/>
      <c r="F761" s="1"/>
      <c r="G761" s="1"/>
      <c r="H761" s="1"/>
      <c r="I761" s="1"/>
      <c r="J761" s="1"/>
      <c r="K761" s="1"/>
      <c r="L761" s="1"/>
      <c r="M761" s="5"/>
      <c r="N761" s="5"/>
      <c r="O761" s="5"/>
      <c r="P761" s="5"/>
      <c r="Q761" s="1"/>
      <c r="R761" s="1"/>
      <c r="S761" s="1"/>
      <c r="T761" s="1"/>
      <c r="U761" s="1"/>
      <c r="V761" s="1"/>
      <c r="W761" s="1"/>
      <c r="X761" s="1"/>
      <c r="Y761" s="1"/>
      <c r="Z761" s="1"/>
      <c r="AA761" s="1"/>
      <c r="AB761" s="1"/>
      <c r="AC761" s="1"/>
    </row>
    <row r="762" spans="1:29" ht="14.25" customHeight="1" x14ac:dyDescent="0.2">
      <c r="A762" s="1"/>
      <c r="B762" s="1"/>
      <c r="C762" s="1"/>
      <c r="D762" s="1"/>
      <c r="E762" s="1"/>
      <c r="F762" s="1"/>
      <c r="G762" s="1"/>
      <c r="H762" s="1"/>
      <c r="I762" s="1"/>
      <c r="J762" s="1"/>
      <c r="K762" s="1"/>
      <c r="L762" s="1"/>
      <c r="M762" s="5"/>
      <c r="N762" s="5"/>
      <c r="O762" s="5"/>
      <c r="P762" s="5"/>
      <c r="Q762" s="1"/>
      <c r="R762" s="1"/>
      <c r="S762" s="1"/>
      <c r="T762" s="1"/>
      <c r="U762" s="1"/>
      <c r="V762" s="1"/>
      <c r="W762" s="1"/>
      <c r="X762" s="1"/>
      <c r="Y762" s="1"/>
      <c r="Z762" s="1"/>
      <c r="AA762" s="1"/>
      <c r="AB762" s="1"/>
      <c r="AC762" s="1"/>
    </row>
    <row r="763" spans="1:29" ht="14.25" customHeight="1" x14ac:dyDescent="0.2">
      <c r="A763" s="1"/>
      <c r="B763" s="1"/>
      <c r="C763" s="1"/>
      <c r="D763" s="1"/>
      <c r="E763" s="1"/>
      <c r="F763" s="1"/>
      <c r="G763" s="1"/>
      <c r="H763" s="1"/>
      <c r="I763" s="1"/>
      <c r="J763" s="1"/>
      <c r="K763" s="1"/>
      <c r="L763" s="1"/>
      <c r="M763" s="5"/>
      <c r="N763" s="5"/>
      <c r="O763" s="5"/>
      <c r="P763" s="5"/>
      <c r="Q763" s="1"/>
      <c r="R763" s="1"/>
      <c r="S763" s="1"/>
      <c r="T763" s="1"/>
      <c r="U763" s="1"/>
      <c r="V763" s="1"/>
      <c r="W763" s="1"/>
      <c r="X763" s="1"/>
      <c r="Y763" s="1"/>
      <c r="Z763" s="1"/>
      <c r="AA763" s="1"/>
      <c r="AB763" s="1"/>
      <c r="AC763" s="1"/>
    </row>
    <row r="764" spans="1:29" ht="14.25" customHeight="1" x14ac:dyDescent="0.2">
      <c r="A764" s="1"/>
      <c r="B764" s="1"/>
      <c r="C764" s="1"/>
      <c r="D764" s="1"/>
      <c r="E764" s="1"/>
      <c r="F764" s="1"/>
      <c r="G764" s="1"/>
      <c r="H764" s="1"/>
      <c r="I764" s="1"/>
      <c r="J764" s="1"/>
      <c r="K764" s="1"/>
      <c r="L764" s="1"/>
      <c r="M764" s="5"/>
      <c r="N764" s="5"/>
      <c r="O764" s="5"/>
      <c r="P764" s="5"/>
      <c r="Q764" s="1"/>
      <c r="R764" s="1"/>
      <c r="S764" s="1"/>
      <c r="T764" s="1"/>
      <c r="U764" s="1"/>
      <c r="V764" s="1"/>
      <c r="W764" s="1"/>
      <c r="X764" s="1"/>
      <c r="Y764" s="1"/>
      <c r="Z764" s="1"/>
      <c r="AA764" s="1"/>
      <c r="AB764" s="1"/>
      <c r="AC764" s="1"/>
    </row>
    <row r="765" spans="1:29" ht="14.25" customHeight="1" x14ac:dyDescent="0.2">
      <c r="A765" s="1"/>
      <c r="B765" s="1"/>
      <c r="C765" s="1"/>
      <c r="D765" s="1"/>
      <c r="E765" s="1"/>
      <c r="F765" s="1"/>
      <c r="G765" s="1"/>
      <c r="H765" s="1"/>
      <c r="I765" s="1"/>
      <c r="J765" s="1"/>
      <c r="K765" s="1"/>
      <c r="L765" s="1"/>
      <c r="M765" s="5"/>
      <c r="N765" s="5"/>
      <c r="O765" s="5"/>
      <c r="P765" s="5"/>
      <c r="Q765" s="1"/>
      <c r="R765" s="1"/>
      <c r="S765" s="1"/>
      <c r="T765" s="1"/>
      <c r="U765" s="1"/>
      <c r="V765" s="1"/>
      <c r="W765" s="1"/>
      <c r="X765" s="1"/>
      <c r="Y765" s="1"/>
      <c r="Z765" s="1"/>
      <c r="AA765" s="1"/>
      <c r="AB765" s="1"/>
      <c r="AC765" s="1"/>
    </row>
    <row r="766" spans="1:29" ht="14.25" customHeight="1" x14ac:dyDescent="0.2">
      <c r="A766" s="1"/>
      <c r="B766" s="1"/>
      <c r="C766" s="1"/>
      <c r="D766" s="1"/>
      <c r="E766" s="1"/>
      <c r="F766" s="1"/>
      <c r="G766" s="1"/>
      <c r="H766" s="1"/>
      <c r="I766" s="1"/>
      <c r="J766" s="1"/>
      <c r="K766" s="1"/>
      <c r="L766" s="1"/>
      <c r="M766" s="5"/>
      <c r="N766" s="5"/>
      <c r="O766" s="5"/>
      <c r="P766" s="5"/>
      <c r="Q766" s="1"/>
      <c r="R766" s="1"/>
      <c r="S766" s="1"/>
      <c r="T766" s="1"/>
      <c r="U766" s="1"/>
      <c r="V766" s="1"/>
      <c r="W766" s="1"/>
      <c r="X766" s="1"/>
      <c r="Y766" s="1"/>
      <c r="Z766" s="1"/>
      <c r="AA766" s="1"/>
      <c r="AB766" s="1"/>
      <c r="AC766" s="1"/>
    </row>
    <row r="767" spans="1:29" ht="14.25" customHeight="1" x14ac:dyDescent="0.2">
      <c r="A767" s="1"/>
      <c r="B767" s="1"/>
      <c r="C767" s="1"/>
      <c r="D767" s="1"/>
      <c r="E767" s="1"/>
      <c r="F767" s="1"/>
      <c r="G767" s="1"/>
      <c r="H767" s="1"/>
      <c r="I767" s="1"/>
      <c r="J767" s="1"/>
      <c r="K767" s="1"/>
      <c r="L767" s="1"/>
      <c r="M767" s="5"/>
      <c r="N767" s="5"/>
      <c r="O767" s="5"/>
      <c r="P767" s="5"/>
      <c r="Q767" s="1"/>
      <c r="R767" s="1"/>
      <c r="S767" s="1"/>
      <c r="T767" s="1"/>
      <c r="U767" s="1"/>
      <c r="V767" s="1"/>
      <c r="W767" s="1"/>
      <c r="X767" s="1"/>
      <c r="Y767" s="1"/>
      <c r="Z767" s="1"/>
      <c r="AA767" s="1"/>
      <c r="AB767" s="1"/>
      <c r="AC767" s="1"/>
    </row>
    <row r="768" spans="1:29" ht="14.25" customHeight="1" x14ac:dyDescent="0.2">
      <c r="A768" s="1"/>
      <c r="B768" s="1"/>
      <c r="C768" s="1"/>
      <c r="D768" s="1"/>
      <c r="E768" s="1"/>
      <c r="F768" s="1"/>
      <c r="G768" s="1"/>
      <c r="H768" s="1"/>
      <c r="I768" s="1"/>
      <c r="J768" s="1"/>
      <c r="K768" s="1"/>
      <c r="L768" s="1"/>
      <c r="M768" s="5"/>
      <c r="N768" s="5"/>
      <c r="O768" s="5"/>
      <c r="P768" s="5"/>
      <c r="Q768" s="1"/>
      <c r="R768" s="1"/>
      <c r="S768" s="1"/>
      <c r="T768" s="1"/>
      <c r="U768" s="1"/>
      <c r="V768" s="1"/>
      <c r="W768" s="1"/>
      <c r="X768" s="1"/>
      <c r="Y768" s="1"/>
      <c r="Z768" s="1"/>
      <c r="AA768" s="1"/>
      <c r="AB768" s="1"/>
      <c r="AC768" s="1"/>
    </row>
    <row r="769" spans="1:29" ht="14.25" customHeight="1" x14ac:dyDescent="0.2">
      <c r="A769" s="1"/>
      <c r="B769" s="1"/>
      <c r="C769" s="1"/>
      <c r="D769" s="1"/>
      <c r="E769" s="1"/>
      <c r="F769" s="1"/>
      <c r="G769" s="1"/>
      <c r="H769" s="1"/>
      <c r="I769" s="1"/>
      <c r="J769" s="1"/>
      <c r="K769" s="1"/>
      <c r="L769" s="1"/>
      <c r="M769" s="5"/>
      <c r="N769" s="5"/>
      <c r="O769" s="5"/>
      <c r="P769" s="5"/>
      <c r="Q769" s="1"/>
      <c r="R769" s="1"/>
      <c r="S769" s="1"/>
      <c r="T769" s="1"/>
      <c r="U769" s="1"/>
      <c r="V769" s="1"/>
      <c r="W769" s="1"/>
      <c r="X769" s="1"/>
      <c r="Y769" s="1"/>
      <c r="Z769" s="1"/>
      <c r="AA769" s="1"/>
      <c r="AB769" s="1"/>
      <c r="AC769" s="1"/>
    </row>
    <row r="770" spans="1:29" ht="14.25" customHeight="1" x14ac:dyDescent="0.2">
      <c r="A770" s="1"/>
      <c r="B770" s="1"/>
      <c r="C770" s="1"/>
      <c r="D770" s="1"/>
      <c r="E770" s="1"/>
      <c r="F770" s="1"/>
      <c r="G770" s="1"/>
      <c r="H770" s="1"/>
      <c r="I770" s="1"/>
      <c r="J770" s="1"/>
      <c r="K770" s="1"/>
      <c r="L770" s="1"/>
      <c r="M770" s="5"/>
      <c r="N770" s="5"/>
      <c r="O770" s="5"/>
      <c r="P770" s="5"/>
      <c r="Q770" s="1"/>
      <c r="R770" s="1"/>
      <c r="S770" s="1"/>
      <c r="T770" s="1"/>
      <c r="U770" s="1"/>
      <c r="V770" s="1"/>
      <c r="W770" s="1"/>
      <c r="X770" s="1"/>
      <c r="Y770" s="1"/>
      <c r="Z770" s="1"/>
      <c r="AA770" s="1"/>
      <c r="AB770" s="1"/>
      <c r="AC770" s="1"/>
    </row>
    <row r="771" spans="1:29" ht="14.25" customHeight="1" x14ac:dyDescent="0.2">
      <c r="A771" s="1"/>
      <c r="B771" s="1"/>
      <c r="C771" s="1"/>
      <c r="D771" s="1"/>
      <c r="E771" s="1"/>
      <c r="F771" s="1"/>
      <c r="G771" s="1"/>
      <c r="H771" s="1"/>
      <c r="I771" s="1"/>
      <c r="J771" s="1"/>
      <c r="K771" s="1"/>
      <c r="L771" s="1"/>
      <c r="M771" s="5"/>
      <c r="N771" s="5"/>
      <c r="O771" s="5"/>
      <c r="P771" s="5"/>
      <c r="Q771" s="1"/>
      <c r="R771" s="1"/>
      <c r="S771" s="1"/>
      <c r="T771" s="1"/>
      <c r="U771" s="1"/>
      <c r="V771" s="1"/>
      <c r="W771" s="1"/>
      <c r="X771" s="1"/>
      <c r="Y771" s="1"/>
      <c r="Z771" s="1"/>
      <c r="AA771" s="1"/>
      <c r="AB771" s="1"/>
      <c r="AC771" s="1"/>
    </row>
    <row r="772" spans="1:29" ht="14.25" customHeight="1" x14ac:dyDescent="0.2">
      <c r="A772" s="1"/>
      <c r="B772" s="1"/>
      <c r="C772" s="1"/>
      <c r="D772" s="1"/>
      <c r="E772" s="1"/>
      <c r="F772" s="1"/>
      <c r="G772" s="1"/>
      <c r="H772" s="1"/>
      <c r="I772" s="1"/>
      <c r="J772" s="1"/>
      <c r="K772" s="1"/>
      <c r="L772" s="1"/>
      <c r="M772" s="5"/>
      <c r="N772" s="5"/>
      <c r="O772" s="5"/>
      <c r="P772" s="5"/>
      <c r="Q772" s="1"/>
      <c r="R772" s="1"/>
      <c r="S772" s="1"/>
      <c r="T772" s="1"/>
      <c r="U772" s="1"/>
      <c r="V772" s="1"/>
      <c r="W772" s="1"/>
      <c r="X772" s="1"/>
      <c r="Y772" s="1"/>
      <c r="Z772" s="1"/>
      <c r="AA772" s="1"/>
      <c r="AB772" s="1"/>
      <c r="AC772" s="1"/>
    </row>
    <row r="773" spans="1:29" ht="14.25" customHeight="1" x14ac:dyDescent="0.2">
      <c r="A773" s="1"/>
      <c r="B773" s="1"/>
      <c r="C773" s="1"/>
      <c r="D773" s="1"/>
      <c r="E773" s="1"/>
      <c r="F773" s="1"/>
      <c r="G773" s="1"/>
      <c r="H773" s="1"/>
      <c r="I773" s="1"/>
      <c r="J773" s="1"/>
      <c r="K773" s="1"/>
      <c r="L773" s="1"/>
      <c r="M773" s="5"/>
      <c r="N773" s="5"/>
      <c r="O773" s="5"/>
      <c r="P773" s="5"/>
      <c r="Q773" s="1"/>
      <c r="R773" s="1"/>
      <c r="S773" s="1"/>
      <c r="T773" s="1"/>
      <c r="U773" s="1"/>
      <c r="V773" s="1"/>
      <c r="W773" s="1"/>
      <c r="X773" s="1"/>
      <c r="Y773" s="1"/>
      <c r="Z773" s="1"/>
      <c r="AA773" s="1"/>
      <c r="AB773" s="1"/>
      <c r="AC773" s="1"/>
    </row>
    <row r="774" spans="1:29" ht="14.25" customHeight="1" x14ac:dyDescent="0.2">
      <c r="A774" s="1"/>
      <c r="B774" s="1"/>
      <c r="C774" s="1"/>
      <c r="D774" s="1"/>
      <c r="E774" s="1"/>
      <c r="F774" s="1"/>
      <c r="G774" s="1"/>
      <c r="H774" s="1"/>
      <c r="I774" s="1"/>
      <c r="J774" s="1"/>
      <c r="K774" s="1"/>
      <c r="L774" s="1"/>
      <c r="M774" s="5"/>
      <c r="N774" s="5"/>
      <c r="O774" s="5"/>
      <c r="P774" s="5"/>
      <c r="Q774" s="1"/>
      <c r="R774" s="1"/>
      <c r="S774" s="1"/>
      <c r="T774" s="1"/>
      <c r="U774" s="1"/>
      <c r="V774" s="1"/>
      <c r="W774" s="1"/>
      <c r="X774" s="1"/>
      <c r="Y774" s="1"/>
      <c r="Z774" s="1"/>
      <c r="AA774" s="1"/>
      <c r="AB774" s="1"/>
      <c r="AC774" s="1"/>
    </row>
    <row r="775" spans="1:29" ht="14.25" customHeight="1" x14ac:dyDescent="0.2">
      <c r="A775" s="1"/>
      <c r="B775" s="1"/>
      <c r="C775" s="1"/>
      <c r="D775" s="1"/>
      <c r="E775" s="1"/>
      <c r="F775" s="1"/>
      <c r="G775" s="1"/>
      <c r="H775" s="1"/>
      <c r="I775" s="1"/>
      <c r="J775" s="1"/>
      <c r="K775" s="1"/>
      <c r="L775" s="1"/>
      <c r="M775" s="5"/>
      <c r="N775" s="5"/>
      <c r="O775" s="5"/>
      <c r="P775" s="5"/>
      <c r="Q775" s="1"/>
      <c r="R775" s="1"/>
      <c r="S775" s="1"/>
      <c r="T775" s="1"/>
      <c r="U775" s="1"/>
      <c r="V775" s="1"/>
      <c r="W775" s="1"/>
      <c r="X775" s="1"/>
      <c r="Y775" s="1"/>
      <c r="Z775" s="1"/>
      <c r="AA775" s="1"/>
      <c r="AB775" s="1"/>
      <c r="AC775" s="1"/>
    </row>
    <row r="776" spans="1:29" ht="14.25" customHeight="1" x14ac:dyDescent="0.2">
      <c r="A776" s="1"/>
      <c r="B776" s="1"/>
      <c r="C776" s="1"/>
      <c r="D776" s="1"/>
      <c r="E776" s="1"/>
      <c r="F776" s="1"/>
      <c r="G776" s="1"/>
      <c r="H776" s="1"/>
      <c r="I776" s="1"/>
      <c r="J776" s="1"/>
      <c r="K776" s="1"/>
      <c r="L776" s="1"/>
      <c r="M776" s="5"/>
      <c r="N776" s="5"/>
      <c r="O776" s="5"/>
      <c r="P776" s="5"/>
      <c r="Q776" s="1"/>
      <c r="R776" s="1"/>
      <c r="S776" s="1"/>
      <c r="T776" s="1"/>
      <c r="U776" s="1"/>
      <c r="V776" s="1"/>
      <c r="W776" s="1"/>
      <c r="X776" s="1"/>
      <c r="Y776" s="1"/>
      <c r="Z776" s="1"/>
      <c r="AA776" s="1"/>
      <c r="AB776" s="1"/>
      <c r="AC776" s="1"/>
    </row>
    <row r="777" spans="1:29" ht="14.25" customHeight="1" x14ac:dyDescent="0.2">
      <c r="A777" s="1"/>
      <c r="B777" s="1"/>
      <c r="C777" s="1"/>
      <c r="D777" s="1"/>
      <c r="E777" s="1"/>
      <c r="F777" s="1"/>
      <c r="G777" s="1"/>
      <c r="H777" s="1"/>
      <c r="I777" s="1"/>
      <c r="J777" s="1"/>
      <c r="K777" s="1"/>
      <c r="L777" s="1"/>
      <c r="M777" s="5"/>
      <c r="N777" s="5"/>
      <c r="O777" s="5"/>
      <c r="P777" s="5"/>
      <c r="Q777" s="1"/>
      <c r="R777" s="1"/>
      <c r="S777" s="1"/>
      <c r="T777" s="1"/>
      <c r="U777" s="1"/>
      <c r="V777" s="1"/>
      <c r="W777" s="1"/>
      <c r="X777" s="1"/>
      <c r="Y777" s="1"/>
      <c r="Z777" s="1"/>
      <c r="AA777" s="1"/>
      <c r="AB777" s="1"/>
      <c r="AC777" s="1"/>
    </row>
    <row r="778" spans="1:29" ht="14.25" customHeight="1" x14ac:dyDescent="0.2">
      <c r="A778" s="1"/>
      <c r="B778" s="1"/>
      <c r="C778" s="1"/>
      <c r="D778" s="1"/>
      <c r="E778" s="1"/>
      <c r="F778" s="1"/>
      <c r="G778" s="1"/>
      <c r="H778" s="1"/>
      <c r="I778" s="1"/>
      <c r="J778" s="1"/>
      <c r="K778" s="1"/>
      <c r="L778" s="1"/>
      <c r="M778" s="5"/>
      <c r="N778" s="5"/>
      <c r="O778" s="5"/>
      <c r="P778" s="5"/>
      <c r="Q778" s="1"/>
      <c r="R778" s="1"/>
      <c r="S778" s="1"/>
      <c r="T778" s="1"/>
      <c r="U778" s="1"/>
      <c r="V778" s="1"/>
      <c r="W778" s="1"/>
      <c r="X778" s="1"/>
      <c r="Y778" s="1"/>
      <c r="Z778" s="1"/>
      <c r="AA778" s="1"/>
      <c r="AB778" s="1"/>
      <c r="AC778" s="1"/>
    </row>
    <row r="779" spans="1:29" ht="14.25" customHeight="1" x14ac:dyDescent="0.2">
      <c r="A779" s="1"/>
      <c r="B779" s="1"/>
      <c r="C779" s="1"/>
      <c r="D779" s="1"/>
      <c r="E779" s="1"/>
      <c r="F779" s="1"/>
      <c r="G779" s="1"/>
      <c r="H779" s="1"/>
      <c r="I779" s="1"/>
      <c r="J779" s="1"/>
      <c r="K779" s="1"/>
      <c r="L779" s="1"/>
      <c r="M779" s="5"/>
      <c r="N779" s="5"/>
      <c r="O779" s="5"/>
      <c r="P779" s="5"/>
      <c r="Q779" s="1"/>
      <c r="R779" s="1"/>
      <c r="S779" s="1"/>
      <c r="T779" s="1"/>
      <c r="U779" s="1"/>
      <c r="V779" s="1"/>
      <c r="W779" s="1"/>
      <c r="X779" s="1"/>
      <c r="Y779" s="1"/>
      <c r="Z779" s="1"/>
      <c r="AA779" s="1"/>
      <c r="AB779" s="1"/>
      <c r="AC779" s="1"/>
    </row>
    <row r="780" spans="1:29" ht="14.25" customHeight="1" x14ac:dyDescent="0.2">
      <c r="A780" s="1"/>
      <c r="B780" s="1"/>
      <c r="C780" s="1"/>
      <c r="D780" s="1"/>
      <c r="E780" s="1"/>
      <c r="F780" s="1"/>
      <c r="G780" s="1"/>
      <c r="H780" s="1"/>
      <c r="I780" s="1"/>
      <c r="J780" s="1"/>
      <c r="K780" s="1"/>
      <c r="L780" s="1"/>
      <c r="M780" s="5"/>
      <c r="N780" s="5"/>
      <c r="O780" s="5"/>
      <c r="P780" s="5"/>
      <c r="Q780" s="1"/>
      <c r="R780" s="1"/>
      <c r="S780" s="1"/>
      <c r="T780" s="1"/>
      <c r="U780" s="1"/>
      <c r="V780" s="1"/>
      <c r="W780" s="1"/>
      <c r="X780" s="1"/>
      <c r="Y780" s="1"/>
      <c r="Z780" s="1"/>
      <c r="AA780" s="1"/>
      <c r="AB780" s="1"/>
      <c r="AC780" s="1"/>
    </row>
    <row r="781" spans="1:29" ht="14.25" customHeight="1" x14ac:dyDescent="0.2">
      <c r="A781" s="1"/>
      <c r="B781" s="1"/>
      <c r="C781" s="1"/>
      <c r="D781" s="1"/>
      <c r="E781" s="1"/>
      <c r="F781" s="1"/>
      <c r="G781" s="1"/>
      <c r="H781" s="1"/>
      <c r="I781" s="1"/>
      <c r="J781" s="1"/>
      <c r="K781" s="1"/>
      <c r="L781" s="1"/>
      <c r="M781" s="5"/>
      <c r="N781" s="5"/>
      <c r="O781" s="5"/>
      <c r="P781" s="5"/>
      <c r="Q781" s="1"/>
      <c r="R781" s="1"/>
      <c r="S781" s="1"/>
      <c r="T781" s="1"/>
      <c r="U781" s="1"/>
      <c r="V781" s="1"/>
      <c r="W781" s="1"/>
      <c r="X781" s="1"/>
      <c r="Y781" s="1"/>
      <c r="Z781" s="1"/>
      <c r="AA781" s="1"/>
      <c r="AB781" s="1"/>
      <c r="AC781" s="1"/>
    </row>
    <row r="782" spans="1:29" ht="14.25" customHeight="1" x14ac:dyDescent="0.2">
      <c r="A782" s="1"/>
      <c r="B782" s="1"/>
      <c r="C782" s="1"/>
      <c r="D782" s="1"/>
      <c r="E782" s="1"/>
      <c r="F782" s="1"/>
      <c r="G782" s="1"/>
      <c r="H782" s="1"/>
      <c r="I782" s="1"/>
      <c r="J782" s="1"/>
      <c r="K782" s="1"/>
      <c r="L782" s="1"/>
      <c r="M782" s="5"/>
      <c r="N782" s="5"/>
      <c r="O782" s="5"/>
      <c r="P782" s="5"/>
      <c r="Q782" s="1"/>
      <c r="R782" s="1"/>
      <c r="S782" s="1"/>
      <c r="T782" s="1"/>
      <c r="U782" s="1"/>
      <c r="V782" s="1"/>
      <c r="W782" s="1"/>
      <c r="X782" s="1"/>
      <c r="Y782" s="1"/>
      <c r="Z782" s="1"/>
      <c r="AA782" s="1"/>
      <c r="AB782" s="1"/>
      <c r="AC782" s="1"/>
    </row>
    <row r="783" spans="1:29" ht="14.25" customHeight="1" x14ac:dyDescent="0.2">
      <c r="A783" s="1"/>
      <c r="B783" s="1"/>
      <c r="C783" s="1"/>
      <c r="D783" s="1"/>
      <c r="E783" s="1"/>
      <c r="F783" s="1"/>
      <c r="G783" s="1"/>
      <c r="H783" s="1"/>
      <c r="I783" s="1"/>
      <c r="J783" s="1"/>
      <c r="K783" s="1"/>
      <c r="L783" s="1"/>
      <c r="M783" s="5"/>
      <c r="N783" s="5"/>
      <c r="O783" s="5"/>
      <c r="P783" s="5"/>
      <c r="Q783" s="1"/>
      <c r="R783" s="1"/>
      <c r="S783" s="1"/>
      <c r="T783" s="1"/>
      <c r="U783" s="1"/>
      <c r="V783" s="1"/>
      <c r="W783" s="1"/>
      <c r="X783" s="1"/>
      <c r="Y783" s="1"/>
      <c r="Z783" s="1"/>
      <c r="AA783" s="1"/>
      <c r="AB783" s="1"/>
      <c r="AC783" s="1"/>
    </row>
    <row r="784" spans="1:29" ht="14.25" customHeight="1" x14ac:dyDescent="0.2">
      <c r="A784" s="1"/>
      <c r="B784" s="1"/>
      <c r="C784" s="1"/>
      <c r="D784" s="1"/>
      <c r="E784" s="1"/>
      <c r="F784" s="1"/>
      <c r="G784" s="1"/>
      <c r="H784" s="1"/>
      <c r="I784" s="1"/>
      <c r="J784" s="1"/>
      <c r="K784" s="1"/>
      <c r="L784" s="1"/>
      <c r="M784" s="5"/>
      <c r="N784" s="5"/>
      <c r="O784" s="5"/>
      <c r="P784" s="5"/>
      <c r="Q784" s="1"/>
      <c r="R784" s="1"/>
      <c r="S784" s="1"/>
      <c r="T784" s="1"/>
      <c r="U784" s="1"/>
      <c r="V784" s="1"/>
      <c r="W784" s="1"/>
      <c r="X784" s="1"/>
      <c r="Y784" s="1"/>
      <c r="Z784" s="1"/>
      <c r="AA784" s="1"/>
      <c r="AB784" s="1"/>
      <c r="AC784" s="1"/>
    </row>
    <row r="785" spans="1:29" ht="14.25" customHeight="1" x14ac:dyDescent="0.2">
      <c r="A785" s="1"/>
      <c r="B785" s="1"/>
      <c r="C785" s="1"/>
      <c r="D785" s="1"/>
      <c r="E785" s="1"/>
      <c r="F785" s="1"/>
      <c r="G785" s="1"/>
      <c r="H785" s="1"/>
      <c r="I785" s="1"/>
      <c r="J785" s="1"/>
      <c r="K785" s="1"/>
      <c r="L785" s="1"/>
      <c r="M785" s="5"/>
      <c r="N785" s="5"/>
      <c r="O785" s="5"/>
      <c r="P785" s="5"/>
      <c r="Q785" s="1"/>
      <c r="R785" s="1"/>
      <c r="S785" s="1"/>
      <c r="T785" s="1"/>
      <c r="U785" s="1"/>
      <c r="V785" s="1"/>
      <c r="W785" s="1"/>
      <c r="X785" s="1"/>
      <c r="Y785" s="1"/>
      <c r="Z785" s="1"/>
      <c r="AA785" s="1"/>
      <c r="AB785" s="1"/>
      <c r="AC785" s="1"/>
    </row>
    <row r="786" spans="1:29" ht="14.25" customHeight="1" x14ac:dyDescent="0.2">
      <c r="A786" s="1"/>
      <c r="B786" s="1"/>
      <c r="C786" s="1"/>
      <c r="D786" s="1"/>
      <c r="E786" s="1"/>
      <c r="F786" s="1"/>
      <c r="G786" s="1"/>
      <c r="H786" s="1"/>
      <c r="I786" s="1"/>
      <c r="J786" s="1"/>
      <c r="K786" s="1"/>
      <c r="L786" s="1"/>
      <c r="M786" s="5"/>
      <c r="N786" s="5"/>
      <c r="O786" s="5"/>
      <c r="P786" s="5"/>
      <c r="Q786" s="1"/>
      <c r="R786" s="1"/>
      <c r="S786" s="1"/>
      <c r="T786" s="1"/>
      <c r="U786" s="1"/>
      <c r="V786" s="1"/>
      <c r="W786" s="1"/>
      <c r="X786" s="1"/>
      <c r="Y786" s="1"/>
      <c r="Z786" s="1"/>
      <c r="AA786" s="1"/>
      <c r="AB786" s="1"/>
      <c r="AC786" s="1"/>
    </row>
    <row r="787" spans="1:29" ht="14.25" customHeight="1" x14ac:dyDescent="0.2">
      <c r="A787" s="1"/>
      <c r="B787" s="1"/>
      <c r="C787" s="1"/>
      <c r="D787" s="1"/>
      <c r="E787" s="1"/>
      <c r="F787" s="1"/>
      <c r="G787" s="1"/>
      <c r="H787" s="1"/>
      <c r="I787" s="1"/>
      <c r="J787" s="1"/>
      <c r="K787" s="1"/>
      <c r="L787" s="1"/>
      <c r="M787" s="5"/>
      <c r="N787" s="5"/>
      <c r="O787" s="5"/>
      <c r="P787" s="5"/>
      <c r="Q787" s="1"/>
      <c r="R787" s="1"/>
      <c r="S787" s="1"/>
      <c r="T787" s="1"/>
      <c r="U787" s="1"/>
      <c r="V787" s="1"/>
      <c r="W787" s="1"/>
      <c r="X787" s="1"/>
      <c r="Y787" s="1"/>
      <c r="Z787" s="1"/>
      <c r="AA787" s="1"/>
      <c r="AB787" s="1"/>
      <c r="AC787" s="1"/>
    </row>
    <row r="788" spans="1:29" ht="14.25" customHeight="1" x14ac:dyDescent="0.2">
      <c r="A788" s="1"/>
      <c r="B788" s="1"/>
      <c r="C788" s="1"/>
      <c r="D788" s="1"/>
      <c r="E788" s="1"/>
      <c r="F788" s="1"/>
      <c r="G788" s="1"/>
      <c r="H788" s="1"/>
      <c r="I788" s="1"/>
      <c r="J788" s="1"/>
      <c r="K788" s="1"/>
      <c r="L788" s="1"/>
      <c r="M788" s="5"/>
      <c r="N788" s="5"/>
      <c r="O788" s="5"/>
      <c r="P788" s="5"/>
      <c r="Q788" s="1"/>
      <c r="R788" s="1"/>
      <c r="S788" s="1"/>
      <c r="T788" s="1"/>
      <c r="U788" s="1"/>
      <c r="V788" s="1"/>
      <c r="W788" s="1"/>
      <c r="X788" s="1"/>
      <c r="Y788" s="1"/>
      <c r="Z788" s="1"/>
      <c r="AA788" s="1"/>
      <c r="AB788" s="1"/>
      <c r="AC788" s="1"/>
    </row>
    <row r="789" spans="1:29" ht="14.25" customHeight="1" x14ac:dyDescent="0.2">
      <c r="A789" s="1"/>
      <c r="B789" s="1"/>
      <c r="C789" s="1"/>
      <c r="D789" s="1"/>
      <c r="E789" s="1"/>
      <c r="F789" s="1"/>
      <c r="G789" s="1"/>
      <c r="H789" s="1"/>
      <c r="I789" s="1"/>
      <c r="J789" s="1"/>
      <c r="K789" s="1"/>
      <c r="L789" s="1"/>
      <c r="M789" s="5"/>
      <c r="N789" s="5"/>
      <c r="O789" s="5"/>
      <c r="P789" s="5"/>
      <c r="Q789" s="1"/>
      <c r="R789" s="1"/>
      <c r="S789" s="1"/>
      <c r="T789" s="1"/>
      <c r="U789" s="1"/>
      <c r="V789" s="1"/>
      <c r="W789" s="1"/>
      <c r="X789" s="1"/>
      <c r="Y789" s="1"/>
      <c r="Z789" s="1"/>
      <c r="AA789" s="1"/>
      <c r="AB789" s="1"/>
      <c r="AC789" s="1"/>
    </row>
    <row r="790" spans="1:29" ht="14.25" customHeight="1" x14ac:dyDescent="0.2">
      <c r="A790" s="1"/>
      <c r="B790" s="1"/>
      <c r="C790" s="1"/>
      <c r="D790" s="1"/>
      <c r="E790" s="1"/>
      <c r="F790" s="1"/>
      <c r="G790" s="1"/>
      <c r="H790" s="1"/>
      <c r="I790" s="1"/>
      <c r="J790" s="1"/>
      <c r="K790" s="1"/>
      <c r="L790" s="1"/>
      <c r="M790" s="5"/>
      <c r="N790" s="5"/>
      <c r="O790" s="5"/>
      <c r="P790" s="5"/>
      <c r="Q790" s="1"/>
      <c r="R790" s="1"/>
      <c r="S790" s="1"/>
      <c r="T790" s="1"/>
      <c r="U790" s="1"/>
      <c r="V790" s="1"/>
      <c r="W790" s="1"/>
      <c r="X790" s="1"/>
      <c r="Y790" s="1"/>
      <c r="Z790" s="1"/>
      <c r="AA790" s="1"/>
      <c r="AB790" s="1"/>
      <c r="AC790" s="1"/>
    </row>
    <row r="791" spans="1:29" ht="14.25" customHeight="1" x14ac:dyDescent="0.2">
      <c r="A791" s="1"/>
      <c r="B791" s="1"/>
      <c r="C791" s="1"/>
      <c r="D791" s="1"/>
      <c r="E791" s="1"/>
      <c r="F791" s="1"/>
      <c r="G791" s="1"/>
      <c r="H791" s="1"/>
      <c r="I791" s="1"/>
      <c r="J791" s="1"/>
      <c r="K791" s="1"/>
      <c r="L791" s="1"/>
      <c r="M791" s="5"/>
      <c r="N791" s="5"/>
      <c r="O791" s="5"/>
      <c r="P791" s="5"/>
      <c r="Q791" s="1"/>
      <c r="R791" s="1"/>
      <c r="S791" s="1"/>
      <c r="T791" s="1"/>
      <c r="U791" s="1"/>
      <c r="V791" s="1"/>
      <c r="W791" s="1"/>
      <c r="X791" s="1"/>
      <c r="Y791" s="1"/>
      <c r="Z791" s="1"/>
      <c r="AA791" s="1"/>
      <c r="AB791" s="1"/>
      <c r="AC791" s="1"/>
    </row>
    <row r="792" spans="1:29" ht="14.25" customHeight="1" x14ac:dyDescent="0.2">
      <c r="A792" s="1"/>
      <c r="B792" s="1"/>
      <c r="C792" s="1"/>
      <c r="D792" s="1"/>
      <c r="E792" s="1"/>
      <c r="F792" s="1"/>
      <c r="G792" s="1"/>
      <c r="H792" s="1"/>
      <c r="I792" s="1"/>
      <c r="J792" s="1"/>
      <c r="K792" s="1"/>
      <c r="L792" s="1"/>
      <c r="M792" s="5"/>
      <c r="N792" s="5"/>
      <c r="O792" s="5"/>
      <c r="P792" s="5"/>
      <c r="Q792" s="1"/>
      <c r="R792" s="1"/>
      <c r="S792" s="1"/>
      <c r="T792" s="1"/>
      <c r="U792" s="1"/>
      <c r="V792" s="1"/>
      <c r="W792" s="1"/>
      <c r="X792" s="1"/>
      <c r="Y792" s="1"/>
      <c r="Z792" s="1"/>
      <c r="AA792" s="1"/>
      <c r="AB792" s="1"/>
      <c r="AC792" s="1"/>
    </row>
    <row r="793" spans="1:29" ht="14.25" customHeight="1" x14ac:dyDescent="0.2">
      <c r="A793" s="1"/>
      <c r="B793" s="1"/>
      <c r="C793" s="1"/>
      <c r="D793" s="1"/>
      <c r="E793" s="1"/>
      <c r="F793" s="1"/>
      <c r="G793" s="1"/>
      <c r="H793" s="1"/>
      <c r="I793" s="1"/>
      <c r="J793" s="1"/>
      <c r="K793" s="1"/>
      <c r="L793" s="1"/>
      <c r="M793" s="5"/>
      <c r="N793" s="5"/>
      <c r="O793" s="5"/>
      <c r="P793" s="5"/>
      <c r="Q793" s="1"/>
      <c r="R793" s="1"/>
      <c r="S793" s="1"/>
      <c r="T793" s="1"/>
      <c r="U793" s="1"/>
      <c r="V793" s="1"/>
      <c r="W793" s="1"/>
      <c r="X793" s="1"/>
      <c r="Y793" s="1"/>
      <c r="Z793" s="1"/>
      <c r="AA793" s="1"/>
      <c r="AB793" s="1"/>
      <c r="AC793" s="1"/>
    </row>
    <row r="794" spans="1:29" ht="14.25" customHeight="1" x14ac:dyDescent="0.2">
      <c r="A794" s="1"/>
      <c r="B794" s="1"/>
      <c r="C794" s="1"/>
      <c r="D794" s="1"/>
      <c r="E794" s="1"/>
      <c r="F794" s="1"/>
      <c r="G794" s="1"/>
      <c r="H794" s="1"/>
      <c r="I794" s="1"/>
      <c r="J794" s="1"/>
      <c r="K794" s="1"/>
      <c r="L794" s="1"/>
      <c r="M794" s="5"/>
      <c r="N794" s="5"/>
      <c r="O794" s="5"/>
      <c r="P794" s="5"/>
      <c r="Q794" s="1"/>
      <c r="R794" s="1"/>
      <c r="S794" s="1"/>
      <c r="T794" s="1"/>
      <c r="U794" s="1"/>
      <c r="V794" s="1"/>
      <c r="W794" s="1"/>
      <c r="X794" s="1"/>
      <c r="Y794" s="1"/>
      <c r="Z794" s="1"/>
      <c r="AA794" s="1"/>
      <c r="AB794" s="1"/>
      <c r="AC794" s="1"/>
    </row>
    <row r="795" spans="1:29" ht="14.25" customHeight="1" x14ac:dyDescent="0.2">
      <c r="A795" s="1"/>
      <c r="B795" s="1"/>
      <c r="C795" s="1"/>
      <c r="D795" s="1"/>
      <c r="E795" s="1"/>
      <c r="F795" s="1"/>
      <c r="G795" s="1"/>
      <c r="H795" s="1"/>
      <c r="I795" s="1"/>
      <c r="J795" s="1"/>
      <c r="K795" s="1"/>
      <c r="L795" s="1"/>
      <c r="M795" s="5"/>
      <c r="N795" s="5"/>
      <c r="O795" s="5"/>
      <c r="P795" s="5"/>
      <c r="Q795" s="1"/>
      <c r="R795" s="1"/>
      <c r="S795" s="1"/>
      <c r="T795" s="1"/>
      <c r="U795" s="1"/>
      <c r="V795" s="1"/>
      <c r="W795" s="1"/>
      <c r="X795" s="1"/>
      <c r="Y795" s="1"/>
      <c r="Z795" s="1"/>
      <c r="AA795" s="1"/>
      <c r="AB795" s="1"/>
      <c r="AC795" s="1"/>
    </row>
    <row r="796" spans="1:29" ht="14.25" customHeight="1" x14ac:dyDescent="0.2">
      <c r="A796" s="1"/>
      <c r="B796" s="1"/>
      <c r="C796" s="1"/>
      <c r="D796" s="1"/>
      <c r="E796" s="1"/>
      <c r="F796" s="1"/>
      <c r="G796" s="1"/>
      <c r="H796" s="1"/>
      <c r="I796" s="1"/>
      <c r="J796" s="1"/>
      <c r="K796" s="1"/>
      <c r="L796" s="1"/>
      <c r="M796" s="5"/>
      <c r="N796" s="5"/>
      <c r="O796" s="5"/>
      <c r="P796" s="5"/>
      <c r="Q796" s="1"/>
      <c r="R796" s="1"/>
      <c r="S796" s="1"/>
      <c r="T796" s="1"/>
      <c r="U796" s="1"/>
      <c r="V796" s="1"/>
      <c r="W796" s="1"/>
      <c r="X796" s="1"/>
      <c r="Y796" s="1"/>
      <c r="Z796" s="1"/>
      <c r="AA796" s="1"/>
      <c r="AB796" s="1"/>
      <c r="AC796" s="1"/>
    </row>
    <row r="797" spans="1:29" ht="14.25" customHeight="1" x14ac:dyDescent="0.2">
      <c r="A797" s="1"/>
      <c r="B797" s="1"/>
      <c r="C797" s="1"/>
      <c r="D797" s="1"/>
      <c r="E797" s="1"/>
      <c r="F797" s="1"/>
      <c r="G797" s="1"/>
      <c r="H797" s="1"/>
      <c r="I797" s="1"/>
      <c r="J797" s="1"/>
      <c r="K797" s="1"/>
      <c r="L797" s="1"/>
      <c r="M797" s="5"/>
      <c r="N797" s="5"/>
      <c r="O797" s="5"/>
      <c r="P797" s="5"/>
      <c r="Q797" s="1"/>
      <c r="R797" s="1"/>
      <c r="S797" s="1"/>
      <c r="T797" s="1"/>
      <c r="U797" s="1"/>
      <c r="V797" s="1"/>
      <c r="W797" s="1"/>
      <c r="X797" s="1"/>
      <c r="Y797" s="1"/>
      <c r="Z797" s="1"/>
      <c r="AA797" s="1"/>
      <c r="AB797" s="1"/>
      <c r="AC797" s="1"/>
    </row>
    <row r="798" spans="1:29" ht="14.25" customHeight="1" x14ac:dyDescent="0.2">
      <c r="A798" s="1"/>
      <c r="B798" s="1"/>
      <c r="C798" s="1"/>
      <c r="D798" s="1"/>
      <c r="E798" s="1"/>
      <c r="F798" s="1"/>
      <c r="G798" s="1"/>
      <c r="H798" s="1"/>
      <c r="I798" s="1"/>
      <c r="J798" s="1"/>
      <c r="K798" s="1"/>
      <c r="L798" s="1"/>
      <c r="M798" s="5"/>
      <c r="N798" s="5"/>
      <c r="O798" s="5"/>
      <c r="P798" s="5"/>
      <c r="Q798" s="1"/>
      <c r="R798" s="1"/>
      <c r="S798" s="1"/>
      <c r="T798" s="1"/>
      <c r="U798" s="1"/>
      <c r="V798" s="1"/>
      <c r="W798" s="1"/>
      <c r="X798" s="1"/>
      <c r="Y798" s="1"/>
      <c r="Z798" s="1"/>
      <c r="AA798" s="1"/>
      <c r="AB798" s="1"/>
      <c r="AC798" s="1"/>
    </row>
    <row r="799" spans="1:29" ht="14.25" customHeight="1" x14ac:dyDescent="0.2">
      <c r="A799" s="1"/>
      <c r="B799" s="1"/>
      <c r="C799" s="1"/>
      <c r="D799" s="1"/>
      <c r="E799" s="1"/>
      <c r="F799" s="1"/>
      <c r="G799" s="1"/>
      <c r="H799" s="1"/>
      <c r="I799" s="1"/>
      <c r="J799" s="1"/>
      <c r="K799" s="1"/>
      <c r="L799" s="1"/>
      <c r="M799" s="5"/>
      <c r="N799" s="5"/>
      <c r="O799" s="5"/>
      <c r="P799" s="5"/>
      <c r="Q799" s="1"/>
      <c r="R799" s="1"/>
      <c r="S799" s="1"/>
      <c r="T799" s="1"/>
      <c r="U799" s="1"/>
      <c r="V799" s="1"/>
      <c r="W799" s="1"/>
      <c r="X799" s="1"/>
      <c r="Y799" s="1"/>
      <c r="Z799" s="1"/>
      <c r="AA799" s="1"/>
      <c r="AB799" s="1"/>
      <c r="AC799" s="1"/>
    </row>
    <row r="800" spans="1:29" ht="14.25" customHeight="1" x14ac:dyDescent="0.2">
      <c r="A800" s="1"/>
      <c r="B800" s="1"/>
      <c r="C800" s="1"/>
      <c r="D800" s="1"/>
      <c r="E800" s="1"/>
      <c r="F800" s="1"/>
      <c r="G800" s="1"/>
      <c r="H800" s="1"/>
      <c r="I800" s="1"/>
      <c r="J800" s="1"/>
      <c r="K800" s="1"/>
      <c r="L800" s="1"/>
      <c r="M800" s="5"/>
      <c r="N800" s="5"/>
      <c r="O800" s="5"/>
      <c r="P800" s="5"/>
      <c r="Q800" s="1"/>
      <c r="R800" s="1"/>
      <c r="S800" s="1"/>
      <c r="T800" s="1"/>
      <c r="U800" s="1"/>
      <c r="V800" s="1"/>
      <c r="W800" s="1"/>
      <c r="X800" s="1"/>
      <c r="Y800" s="1"/>
      <c r="Z800" s="1"/>
      <c r="AA800" s="1"/>
      <c r="AB800" s="1"/>
      <c r="AC800" s="1"/>
    </row>
    <row r="801" spans="1:29" ht="14.25" customHeight="1" x14ac:dyDescent="0.2">
      <c r="A801" s="1"/>
      <c r="B801" s="1"/>
      <c r="C801" s="1"/>
      <c r="D801" s="1"/>
      <c r="E801" s="1"/>
      <c r="F801" s="1"/>
      <c r="G801" s="1"/>
      <c r="H801" s="1"/>
      <c r="I801" s="1"/>
      <c r="J801" s="1"/>
      <c r="K801" s="1"/>
      <c r="L801" s="1"/>
      <c r="M801" s="5"/>
      <c r="N801" s="5"/>
      <c r="O801" s="5"/>
      <c r="P801" s="5"/>
      <c r="Q801" s="1"/>
      <c r="R801" s="1"/>
      <c r="S801" s="1"/>
      <c r="T801" s="1"/>
      <c r="U801" s="1"/>
      <c r="V801" s="1"/>
      <c r="W801" s="1"/>
      <c r="X801" s="1"/>
      <c r="Y801" s="1"/>
      <c r="Z801" s="1"/>
      <c r="AA801" s="1"/>
      <c r="AB801" s="1"/>
      <c r="AC801" s="1"/>
    </row>
    <row r="802" spans="1:29" ht="14.25" customHeight="1" x14ac:dyDescent="0.2">
      <c r="A802" s="1"/>
      <c r="B802" s="1"/>
      <c r="C802" s="1"/>
      <c r="D802" s="1"/>
      <c r="E802" s="1"/>
      <c r="F802" s="1"/>
      <c r="G802" s="1"/>
      <c r="H802" s="1"/>
      <c r="I802" s="1"/>
      <c r="J802" s="1"/>
      <c r="K802" s="1"/>
      <c r="L802" s="1"/>
      <c r="M802" s="5"/>
      <c r="N802" s="5"/>
      <c r="O802" s="5"/>
      <c r="P802" s="5"/>
      <c r="Q802" s="1"/>
      <c r="R802" s="1"/>
      <c r="S802" s="1"/>
      <c r="T802" s="1"/>
      <c r="U802" s="1"/>
      <c r="V802" s="1"/>
      <c r="W802" s="1"/>
      <c r="X802" s="1"/>
      <c r="Y802" s="1"/>
      <c r="Z802" s="1"/>
      <c r="AA802" s="1"/>
      <c r="AB802" s="1"/>
      <c r="AC802" s="1"/>
    </row>
    <row r="803" spans="1:29" ht="14.25" customHeight="1" x14ac:dyDescent="0.2">
      <c r="A803" s="1"/>
      <c r="B803" s="1"/>
      <c r="C803" s="1"/>
      <c r="D803" s="1"/>
      <c r="E803" s="1"/>
      <c r="F803" s="1"/>
      <c r="G803" s="1"/>
      <c r="H803" s="1"/>
      <c r="I803" s="1"/>
      <c r="J803" s="1"/>
      <c r="K803" s="1"/>
      <c r="L803" s="1"/>
      <c r="M803" s="5"/>
      <c r="N803" s="5"/>
      <c r="O803" s="5"/>
      <c r="P803" s="5"/>
      <c r="Q803" s="1"/>
      <c r="R803" s="1"/>
      <c r="S803" s="1"/>
      <c r="T803" s="1"/>
      <c r="U803" s="1"/>
      <c r="V803" s="1"/>
      <c r="W803" s="1"/>
      <c r="X803" s="1"/>
      <c r="Y803" s="1"/>
      <c r="Z803" s="1"/>
      <c r="AA803" s="1"/>
      <c r="AB803" s="1"/>
      <c r="AC803" s="1"/>
    </row>
    <row r="804" spans="1:29" ht="14.25" customHeight="1" x14ac:dyDescent="0.2">
      <c r="A804" s="1"/>
      <c r="B804" s="1"/>
      <c r="C804" s="1"/>
      <c r="D804" s="1"/>
      <c r="E804" s="1"/>
      <c r="F804" s="1"/>
      <c r="G804" s="1"/>
      <c r="H804" s="1"/>
      <c r="I804" s="1"/>
      <c r="J804" s="1"/>
      <c r="K804" s="1"/>
      <c r="L804" s="1"/>
      <c r="M804" s="5"/>
      <c r="N804" s="5"/>
      <c r="O804" s="5"/>
      <c r="P804" s="5"/>
      <c r="Q804" s="1"/>
      <c r="R804" s="1"/>
      <c r="S804" s="1"/>
      <c r="T804" s="1"/>
      <c r="U804" s="1"/>
      <c r="V804" s="1"/>
      <c r="W804" s="1"/>
      <c r="X804" s="1"/>
      <c r="Y804" s="1"/>
      <c r="Z804" s="1"/>
      <c r="AA804" s="1"/>
      <c r="AB804" s="1"/>
      <c r="AC804" s="1"/>
    </row>
    <row r="805" spans="1:29" ht="14.25" customHeight="1" x14ac:dyDescent="0.2">
      <c r="A805" s="1"/>
      <c r="B805" s="1"/>
      <c r="C805" s="1"/>
      <c r="D805" s="1"/>
      <c r="E805" s="1"/>
      <c r="F805" s="1"/>
      <c r="G805" s="1"/>
      <c r="H805" s="1"/>
      <c r="I805" s="1"/>
      <c r="J805" s="1"/>
      <c r="K805" s="1"/>
      <c r="L805" s="1"/>
      <c r="M805" s="5"/>
      <c r="N805" s="5"/>
      <c r="O805" s="5"/>
      <c r="P805" s="5"/>
      <c r="Q805" s="1"/>
      <c r="R805" s="1"/>
      <c r="S805" s="1"/>
      <c r="T805" s="1"/>
      <c r="U805" s="1"/>
      <c r="V805" s="1"/>
      <c r="W805" s="1"/>
      <c r="X805" s="1"/>
      <c r="Y805" s="1"/>
      <c r="Z805" s="1"/>
      <c r="AA805" s="1"/>
      <c r="AB805" s="1"/>
      <c r="AC805" s="1"/>
    </row>
    <row r="806" spans="1:29" ht="14.25" customHeight="1" x14ac:dyDescent="0.2">
      <c r="A806" s="1"/>
      <c r="B806" s="1"/>
      <c r="C806" s="1"/>
      <c r="D806" s="1"/>
      <c r="E806" s="1"/>
      <c r="F806" s="1"/>
      <c r="G806" s="1"/>
      <c r="H806" s="1"/>
      <c r="I806" s="1"/>
      <c r="J806" s="1"/>
      <c r="K806" s="1"/>
      <c r="L806" s="1"/>
      <c r="M806" s="5"/>
      <c r="N806" s="5"/>
      <c r="O806" s="5"/>
      <c r="P806" s="5"/>
      <c r="Q806" s="1"/>
      <c r="R806" s="1"/>
      <c r="S806" s="1"/>
      <c r="T806" s="1"/>
      <c r="U806" s="1"/>
      <c r="V806" s="1"/>
      <c r="W806" s="1"/>
      <c r="X806" s="1"/>
      <c r="Y806" s="1"/>
      <c r="Z806" s="1"/>
      <c r="AA806" s="1"/>
      <c r="AB806" s="1"/>
      <c r="AC806" s="1"/>
    </row>
    <row r="807" spans="1:29" ht="14.25" customHeight="1" x14ac:dyDescent="0.2">
      <c r="A807" s="1"/>
      <c r="B807" s="1"/>
      <c r="C807" s="1"/>
      <c r="D807" s="1"/>
      <c r="E807" s="1"/>
      <c r="F807" s="1"/>
      <c r="G807" s="1"/>
      <c r="H807" s="1"/>
      <c r="I807" s="1"/>
      <c r="J807" s="1"/>
      <c r="K807" s="1"/>
      <c r="L807" s="1"/>
      <c r="M807" s="5"/>
      <c r="N807" s="5"/>
      <c r="O807" s="5"/>
      <c r="P807" s="5"/>
      <c r="Q807" s="1"/>
      <c r="R807" s="1"/>
      <c r="S807" s="1"/>
      <c r="T807" s="1"/>
      <c r="U807" s="1"/>
      <c r="V807" s="1"/>
      <c r="W807" s="1"/>
      <c r="X807" s="1"/>
      <c r="Y807" s="1"/>
      <c r="Z807" s="1"/>
      <c r="AA807" s="1"/>
      <c r="AB807" s="1"/>
      <c r="AC807" s="1"/>
    </row>
    <row r="808" spans="1:29" ht="14.25" customHeight="1" x14ac:dyDescent="0.2">
      <c r="A808" s="1"/>
      <c r="B808" s="1"/>
      <c r="C808" s="1"/>
      <c r="D808" s="1"/>
      <c r="E808" s="1"/>
      <c r="F808" s="1"/>
      <c r="G808" s="1"/>
      <c r="H808" s="1"/>
      <c r="I808" s="1"/>
      <c r="J808" s="1"/>
      <c r="K808" s="1"/>
      <c r="L808" s="1"/>
      <c r="M808" s="5"/>
      <c r="N808" s="5"/>
      <c r="O808" s="5"/>
      <c r="P808" s="5"/>
      <c r="Q808" s="1"/>
      <c r="R808" s="1"/>
      <c r="S808" s="1"/>
      <c r="T808" s="1"/>
      <c r="U808" s="1"/>
      <c r="V808" s="1"/>
      <c r="W808" s="1"/>
      <c r="X808" s="1"/>
      <c r="Y808" s="1"/>
      <c r="Z808" s="1"/>
      <c r="AA808" s="1"/>
      <c r="AB808" s="1"/>
      <c r="AC808" s="1"/>
    </row>
    <row r="809" spans="1:29" ht="14.25" customHeight="1" x14ac:dyDescent="0.2">
      <c r="A809" s="1"/>
      <c r="B809" s="1"/>
      <c r="C809" s="1"/>
      <c r="D809" s="1"/>
      <c r="E809" s="1"/>
      <c r="F809" s="1"/>
      <c r="G809" s="1"/>
      <c r="H809" s="1"/>
      <c r="I809" s="1"/>
      <c r="J809" s="1"/>
      <c r="K809" s="1"/>
      <c r="L809" s="1"/>
      <c r="M809" s="5"/>
      <c r="N809" s="5"/>
      <c r="O809" s="5"/>
      <c r="P809" s="5"/>
      <c r="Q809" s="1"/>
      <c r="R809" s="1"/>
      <c r="S809" s="1"/>
      <c r="T809" s="1"/>
      <c r="U809" s="1"/>
      <c r="V809" s="1"/>
      <c r="W809" s="1"/>
      <c r="X809" s="1"/>
      <c r="Y809" s="1"/>
      <c r="Z809" s="1"/>
      <c r="AA809" s="1"/>
      <c r="AB809" s="1"/>
      <c r="AC809" s="1"/>
    </row>
    <row r="810" spans="1:29" ht="14.25" customHeight="1" x14ac:dyDescent="0.2">
      <c r="A810" s="1"/>
      <c r="B810" s="1"/>
      <c r="C810" s="1"/>
      <c r="D810" s="1"/>
      <c r="E810" s="1"/>
      <c r="F810" s="1"/>
      <c r="G810" s="1"/>
      <c r="H810" s="1"/>
      <c r="I810" s="1"/>
      <c r="J810" s="1"/>
      <c r="K810" s="1"/>
      <c r="L810" s="1"/>
      <c r="M810" s="5"/>
      <c r="N810" s="5"/>
      <c r="O810" s="5"/>
      <c r="P810" s="5"/>
      <c r="Q810" s="1"/>
      <c r="R810" s="1"/>
      <c r="S810" s="1"/>
      <c r="T810" s="1"/>
      <c r="U810" s="1"/>
      <c r="V810" s="1"/>
      <c r="W810" s="1"/>
      <c r="X810" s="1"/>
      <c r="Y810" s="1"/>
      <c r="Z810" s="1"/>
      <c r="AA810" s="1"/>
      <c r="AB810" s="1"/>
      <c r="AC810" s="1"/>
    </row>
    <row r="811" spans="1:29" ht="14.25" customHeight="1" x14ac:dyDescent="0.2">
      <c r="A811" s="1"/>
      <c r="B811" s="1"/>
      <c r="C811" s="1"/>
      <c r="D811" s="1"/>
      <c r="E811" s="1"/>
      <c r="F811" s="1"/>
      <c r="G811" s="1"/>
      <c r="H811" s="1"/>
      <c r="I811" s="1"/>
      <c r="J811" s="1"/>
      <c r="K811" s="1"/>
      <c r="L811" s="1"/>
      <c r="M811" s="5"/>
      <c r="N811" s="5"/>
      <c r="O811" s="5"/>
      <c r="P811" s="5"/>
      <c r="Q811" s="1"/>
      <c r="R811" s="1"/>
      <c r="S811" s="1"/>
      <c r="T811" s="1"/>
      <c r="U811" s="1"/>
      <c r="V811" s="1"/>
      <c r="W811" s="1"/>
      <c r="X811" s="1"/>
      <c r="Y811" s="1"/>
      <c r="Z811" s="1"/>
      <c r="AA811" s="1"/>
      <c r="AB811" s="1"/>
      <c r="AC811" s="1"/>
    </row>
    <row r="812" spans="1:29" ht="14.25" customHeight="1" x14ac:dyDescent="0.2">
      <c r="A812" s="1"/>
      <c r="B812" s="1"/>
      <c r="C812" s="1"/>
      <c r="D812" s="1"/>
      <c r="E812" s="1"/>
      <c r="F812" s="1"/>
      <c r="G812" s="1"/>
      <c r="H812" s="1"/>
      <c r="I812" s="1"/>
      <c r="J812" s="1"/>
      <c r="K812" s="1"/>
      <c r="L812" s="1"/>
      <c r="M812" s="5"/>
      <c r="N812" s="5"/>
      <c r="O812" s="5"/>
      <c r="P812" s="5"/>
      <c r="Q812" s="1"/>
      <c r="R812" s="1"/>
      <c r="S812" s="1"/>
      <c r="T812" s="1"/>
      <c r="U812" s="1"/>
      <c r="V812" s="1"/>
      <c r="W812" s="1"/>
      <c r="X812" s="1"/>
      <c r="Y812" s="1"/>
      <c r="Z812" s="1"/>
      <c r="AA812" s="1"/>
      <c r="AB812" s="1"/>
      <c r="AC812" s="1"/>
    </row>
    <row r="813" spans="1:29" ht="14.25" customHeight="1" x14ac:dyDescent="0.2">
      <c r="A813" s="1"/>
      <c r="B813" s="1"/>
      <c r="C813" s="1"/>
      <c r="D813" s="1"/>
      <c r="E813" s="1"/>
      <c r="F813" s="1"/>
      <c r="G813" s="1"/>
      <c r="H813" s="1"/>
      <c r="I813" s="1"/>
      <c r="J813" s="1"/>
      <c r="K813" s="1"/>
      <c r="L813" s="1"/>
      <c r="M813" s="5"/>
      <c r="N813" s="5"/>
      <c r="O813" s="5"/>
      <c r="P813" s="5"/>
      <c r="Q813" s="1"/>
      <c r="R813" s="1"/>
      <c r="S813" s="1"/>
      <c r="T813" s="1"/>
      <c r="U813" s="1"/>
      <c r="V813" s="1"/>
      <c r="W813" s="1"/>
      <c r="X813" s="1"/>
      <c r="Y813" s="1"/>
      <c r="Z813" s="1"/>
      <c r="AA813" s="1"/>
      <c r="AB813" s="1"/>
      <c r="AC813" s="1"/>
    </row>
    <row r="814" spans="1:29" ht="14.25" customHeight="1" x14ac:dyDescent="0.2">
      <c r="A814" s="1"/>
      <c r="B814" s="1"/>
      <c r="C814" s="1"/>
      <c r="D814" s="1"/>
      <c r="E814" s="1"/>
      <c r="F814" s="1"/>
      <c r="G814" s="1"/>
      <c r="H814" s="1"/>
      <c r="I814" s="1"/>
      <c r="J814" s="1"/>
      <c r="K814" s="1"/>
      <c r="L814" s="1"/>
      <c r="M814" s="5"/>
      <c r="N814" s="5"/>
      <c r="O814" s="5"/>
      <c r="P814" s="5"/>
      <c r="Q814" s="1"/>
      <c r="R814" s="1"/>
      <c r="S814" s="1"/>
      <c r="T814" s="1"/>
      <c r="U814" s="1"/>
      <c r="V814" s="1"/>
      <c r="W814" s="1"/>
      <c r="X814" s="1"/>
      <c r="Y814" s="1"/>
      <c r="Z814" s="1"/>
      <c r="AA814" s="1"/>
      <c r="AB814" s="1"/>
      <c r="AC814" s="1"/>
    </row>
    <row r="815" spans="1:29" ht="14.25" customHeight="1" x14ac:dyDescent="0.2">
      <c r="A815" s="1"/>
      <c r="B815" s="1"/>
      <c r="C815" s="1"/>
      <c r="D815" s="1"/>
      <c r="E815" s="1"/>
      <c r="F815" s="1"/>
      <c r="G815" s="1"/>
      <c r="H815" s="1"/>
      <c r="I815" s="1"/>
      <c r="J815" s="1"/>
      <c r="K815" s="1"/>
      <c r="L815" s="1"/>
      <c r="M815" s="5"/>
      <c r="N815" s="5"/>
      <c r="O815" s="5"/>
      <c r="P815" s="5"/>
      <c r="Q815" s="1"/>
      <c r="R815" s="1"/>
      <c r="S815" s="1"/>
      <c r="T815" s="1"/>
      <c r="U815" s="1"/>
      <c r="V815" s="1"/>
      <c r="W815" s="1"/>
      <c r="X815" s="1"/>
      <c r="Y815" s="1"/>
      <c r="Z815" s="1"/>
      <c r="AA815" s="1"/>
      <c r="AB815" s="1"/>
      <c r="AC815" s="1"/>
    </row>
    <row r="816" spans="1:29" ht="14.25" customHeight="1" x14ac:dyDescent="0.2">
      <c r="A816" s="1"/>
      <c r="B816" s="1"/>
      <c r="C816" s="1"/>
      <c r="D816" s="1"/>
      <c r="E816" s="1"/>
      <c r="F816" s="1"/>
      <c r="G816" s="1"/>
      <c r="H816" s="1"/>
      <c r="I816" s="1"/>
      <c r="J816" s="1"/>
      <c r="K816" s="1"/>
      <c r="L816" s="1"/>
      <c r="M816" s="5"/>
      <c r="N816" s="5"/>
      <c r="O816" s="5"/>
      <c r="P816" s="5"/>
      <c r="Q816" s="1"/>
      <c r="R816" s="1"/>
      <c r="S816" s="1"/>
      <c r="T816" s="1"/>
      <c r="U816" s="1"/>
      <c r="V816" s="1"/>
      <c r="W816" s="1"/>
      <c r="X816" s="1"/>
      <c r="Y816" s="1"/>
      <c r="Z816" s="1"/>
      <c r="AA816" s="1"/>
      <c r="AB816" s="1"/>
      <c r="AC816" s="1"/>
    </row>
    <row r="817" spans="1:29" ht="14.25" customHeight="1" x14ac:dyDescent="0.2">
      <c r="A817" s="1"/>
      <c r="B817" s="1"/>
      <c r="C817" s="1"/>
      <c r="D817" s="1"/>
      <c r="E817" s="1"/>
      <c r="F817" s="1"/>
      <c r="G817" s="1"/>
      <c r="H817" s="1"/>
      <c r="I817" s="1"/>
      <c r="J817" s="1"/>
      <c r="K817" s="1"/>
      <c r="L817" s="1"/>
      <c r="M817" s="5"/>
      <c r="N817" s="5"/>
      <c r="O817" s="5"/>
      <c r="P817" s="5"/>
      <c r="Q817" s="1"/>
      <c r="R817" s="1"/>
      <c r="S817" s="1"/>
      <c r="T817" s="1"/>
      <c r="U817" s="1"/>
      <c r="V817" s="1"/>
      <c r="W817" s="1"/>
      <c r="X817" s="1"/>
      <c r="Y817" s="1"/>
      <c r="Z817" s="1"/>
      <c r="AA817" s="1"/>
      <c r="AB817" s="1"/>
      <c r="AC817" s="1"/>
    </row>
    <row r="818" spans="1:29" ht="14.25" customHeight="1" x14ac:dyDescent="0.2">
      <c r="A818" s="1"/>
      <c r="B818" s="1"/>
      <c r="C818" s="1"/>
      <c r="D818" s="1"/>
      <c r="E818" s="1"/>
      <c r="F818" s="1"/>
      <c r="G818" s="1"/>
      <c r="H818" s="1"/>
      <c r="I818" s="1"/>
      <c r="J818" s="1"/>
      <c r="K818" s="1"/>
      <c r="L818" s="1"/>
      <c r="M818" s="5"/>
      <c r="N818" s="5"/>
      <c r="O818" s="5"/>
      <c r="P818" s="5"/>
      <c r="Q818" s="1"/>
      <c r="R818" s="1"/>
      <c r="S818" s="1"/>
      <c r="T818" s="1"/>
      <c r="U818" s="1"/>
      <c r="V818" s="1"/>
      <c r="W818" s="1"/>
      <c r="X818" s="1"/>
      <c r="Y818" s="1"/>
      <c r="Z818" s="1"/>
      <c r="AA818" s="1"/>
      <c r="AB818" s="1"/>
      <c r="AC818" s="1"/>
    </row>
    <row r="819" spans="1:29" ht="14.25" customHeight="1" x14ac:dyDescent="0.2">
      <c r="A819" s="1"/>
      <c r="B819" s="1"/>
      <c r="C819" s="1"/>
      <c r="D819" s="1"/>
      <c r="E819" s="1"/>
      <c r="F819" s="1"/>
      <c r="G819" s="1"/>
      <c r="H819" s="1"/>
      <c r="I819" s="1"/>
      <c r="J819" s="1"/>
      <c r="K819" s="1"/>
      <c r="L819" s="1"/>
      <c r="M819" s="5"/>
      <c r="N819" s="5"/>
      <c r="O819" s="5"/>
      <c r="P819" s="5"/>
      <c r="Q819" s="1"/>
      <c r="R819" s="1"/>
      <c r="S819" s="1"/>
      <c r="T819" s="1"/>
      <c r="U819" s="1"/>
      <c r="V819" s="1"/>
      <c r="W819" s="1"/>
      <c r="X819" s="1"/>
      <c r="Y819" s="1"/>
      <c r="Z819" s="1"/>
      <c r="AA819" s="1"/>
      <c r="AB819" s="1"/>
      <c r="AC819" s="1"/>
    </row>
    <row r="820" spans="1:29" ht="14.25" customHeight="1" x14ac:dyDescent="0.2">
      <c r="A820" s="1"/>
      <c r="B820" s="1"/>
      <c r="C820" s="1"/>
      <c r="D820" s="1"/>
      <c r="E820" s="1"/>
      <c r="F820" s="1"/>
      <c r="G820" s="1"/>
      <c r="H820" s="1"/>
      <c r="I820" s="1"/>
      <c r="J820" s="1"/>
      <c r="K820" s="1"/>
      <c r="L820" s="1"/>
      <c r="M820" s="5"/>
      <c r="N820" s="5"/>
      <c r="O820" s="5"/>
      <c r="P820" s="5"/>
      <c r="Q820" s="1"/>
      <c r="R820" s="1"/>
      <c r="S820" s="1"/>
      <c r="T820" s="1"/>
      <c r="U820" s="1"/>
      <c r="V820" s="1"/>
      <c r="W820" s="1"/>
      <c r="X820" s="1"/>
      <c r="Y820" s="1"/>
      <c r="Z820" s="1"/>
      <c r="AA820" s="1"/>
      <c r="AB820" s="1"/>
      <c r="AC820" s="1"/>
    </row>
    <row r="821" spans="1:29" ht="14.25" customHeight="1" x14ac:dyDescent="0.2">
      <c r="A821" s="1"/>
      <c r="B821" s="1"/>
      <c r="C821" s="1"/>
      <c r="D821" s="1"/>
      <c r="E821" s="1"/>
      <c r="F821" s="1"/>
      <c r="G821" s="1"/>
      <c r="H821" s="1"/>
      <c r="I821" s="1"/>
      <c r="J821" s="1"/>
      <c r="K821" s="1"/>
      <c r="L821" s="1"/>
      <c r="M821" s="5"/>
      <c r="N821" s="5"/>
      <c r="O821" s="5"/>
      <c r="P821" s="5"/>
      <c r="Q821" s="1"/>
      <c r="R821" s="1"/>
      <c r="S821" s="1"/>
      <c r="T821" s="1"/>
      <c r="U821" s="1"/>
      <c r="V821" s="1"/>
      <c r="W821" s="1"/>
      <c r="X821" s="1"/>
      <c r="Y821" s="1"/>
      <c r="Z821" s="1"/>
      <c r="AA821" s="1"/>
      <c r="AB821" s="1"/>
      <c r="AC821" s="1"/>
    </row>
    <row r="822" spans="1:29" ht="14.25" customHeight="1" x14ac:dyDescent="0.2">
      <c r="A822" s="1"/>
      <c r="B822" s="1"/>
      <c r="C822" s="1"/>
      <c r="D822" s="1"/>
      <c r="E822" s="1"/>
      <c r="F822" s="1"/>
      <c r="G822" s="1"/>
      <c r="H822" s="1"/>
      <c r="I822" s="1"/>
      <c r="J822" s="1"/>
      <c r="K822" s="1"/>
      <c r="L822" s="1"/>
      <c r="M822" s="5"/>
      <c r="N822" s="5"/>
      <c r="O822" s="5"/>
      <c r="P822" s="5"/>
      <c r="Q822" s="1"/>
      <c r="R822" s="1"/>
      <c r="S822" s="1"/>
      <c r="T822" s="1"/>
      <c r="U822" s="1"/>
      <c r="V822" s="1"/>
      <c r="W822" s="1"/>
      <c r="X822" s="1"/>
      <c r="Y822" s="1"/>
      <c r="Z822" s="1"/>
      <c r="AA822" s="1"/>
      <c r="AB822" s="1"/>
      <c r="AC822" s="1"/>
    </row>
    <row r="823" spans="1:29" ht="14.25" customHeight="1" x14ac:dyDescent="0.2">
      <c r="A823" s="1"/>
      <c r="B823" s="1"/>
      <c r="C823" s="1"/>
      <c r="D823" s="1"/>
      <c r="E823" s="1"/>
      <c r="F823" s="1"/>
      <c r="G823" s="1"/>
      <c r="H823" s="1"/>
      <c r="I823" s="1"/>
      <c r="J823" s="1"/>
      <c r="K823" s="1"/>
      <c r="L823" s="1"/>
      <c r="M823" s="5"/>
      <c r="N823" s="5"/>
      <c r="O823" s="5"/>
      <c r="P823" s="5"/>
      <c r="Q823" s="1"/>
      <c r="R823" s="1"/>
      <c r="S823" s="1"/>
      <c r="T823" s="1"/>
      <c r="U823" s="1"/>
      <c r="V823" s="1"/>
      <c r="W823" s="1"/>
      <c r="X823" s="1"/>
      <c r="Y823" s="1"/>
      <c r="Z823" s="1"/>
      <c r="AA823" s="1"/>
      <c r="AB823" s="1"/>
      <c r="AC823" s="1"/>
    </row>
    <row r="824" spans="1:29" ht="14.25" customHeight="1" x14ac:dyDescent="0.2">
      <c r="A824" s="1"/>
      <c r="B824" s="1"/>
      <c r="C824" s="1"/>
      <c r="D824" s="1"/>
      <c r="E824" s="1"/>
      <c r="F824" s="1"/>
      <c r="G824" s="1"/>
      <c r="H824" s="1"/>
      <c r="I824" s="1"/>
      <c r="J824" s="1"/>
      <c r="K824" s="1"/>
      <c r="L824" s="1"/>
      <c r="M824" s="5"/>
      <c r="N824" s="5"/>
      <c r="O824" s="5"/>
      <c r="P824" s="5"/>
      <c r="Q824" s="1"/>
      <c r="R824" s="1"/>
      <c r="S824" s="1"/>
      <c r="T824" s="1"/>
      <c r="U824" s="1"/>
      <c r="V824" s="1"/>
      <c r="W824" s="1"/>
      <c r="X824" s="1"/>
      <c r="Y824" s="1"/>
      <c r="Z824" s="1"/>
      <c r="AA824" s="1"/>
      <c r="AB824" s="1"/>
      <c r="AC824" s="1"/>
    </row>
    <row r="825" spans="1:29" ht="14.25" customHeight="1" x14ac:dyDescent="0.2">
      <c r="A825" s="1"/>
      <c r="B825" s="1"/>
      <c r="C825" s="1"/>
      <c r="D825" s="1"/>
      <c r="E825" s="1"/>
      <c r="F825" s="1"/>
      <c r="G825" s="1"/>
      <c r="H825" s="1"/>
      <c r="I825" s="1"/>
      <c r="J825" s="1"/>
      <c r="K825" s="1"/>
      <c r="L825" s="1"/>
      <c r="M825" s="5"/>
      <c r="N825" s="5"/>
      <c r="O825" s="5"/>
      <c r="P825" s="5"/>
      <c r="Q825" s="1"/>
      <c r="R825" s="1"/>
      <c r="S825" s="1"/>
      <c r="T825" s="1"/>
      <c r="U825" s="1"/>
      <c r="V825" s="1"/>
      <c r="W825" s="1"/>
      <c r="X825" s="1"/>
      <c r="Y825" s="1"/>
      <c r="Z825" s="1"/>
      <c r="AA825" s="1"/>
      <c r="AB825" s="1"/>
      <c r="AC825" s="1"/>
    </row>
    <row r="826" spans="1:29" ht="14.25" customHeight="1" x14ac:dyDescent="0.2">
      <c r="A826" s="1"/>
      <c r="B826" s="1"/>
      <c r="C826" s="1"/>
      <c r="D826" s="1"/>
      <c r="E826" s="1"/>
      <c r="F826" s="1"/>
      <c r="G826" s="1"/>
      <c r="H826" s="1"/>
      <c r="I826" s="1"/>
      <c r="J826" s="1"/>
      <c r="K826" s="1"/>
      <c r="L826" s="1"/>
      <c r="M826" s="5"/>
      <c r="N826" s="5"/>
      <c r="O826" s="5"/>
      <c r="P826" s="5"/>
      <c r="Q826" s="1"/>
      <c r="R826" s="1"/>
      <c r="S826" s="1"/>
      <c r="T826" s="1"/>
      <c r="U826" s="1"/>
      <c r="V826" s="1"/>
      <c r="W826" s="1"/>
      <c r="X826" s="1"/>
      <c r="Y826" s="1"/>
      <c r="Z826" s="1"/>
      <c r="AA826" s="1"/>
      <c r="AB826" s="1"/>
      <c r="AC826" s="1"/>
    </row>
    <row r="827" spans="1:29" ht="14.25" customHeight="1" x14ac:dyDescent="0.2">
      <c r="A827" s="1"/>
      <c r="B827" s="1"/>
      <c r="C827" s="1"/>
      <c r="D827" s="1"/>
      <c r="E827" s="1"/>
      <c r="F827" s="1"/>
      <c r="G827" s="1"/>
      <c r="H827" s="1"/>
      <c r="I827" s="1"/>
      <c r="J827" s="1"/>
      <c r="K827" s="1"/>
      <c r="L827" s="1"/>
      <c r="M827" s="5"/>
      <c r="N827" s="5"/>
      <c r="O827" s="5"/>
      <c r="P827" s="5"/>
      <c r="Q827" s="1"/>
      <c r="R827" s="1"/>
      <c r="S827" s="1"/>
      <c r="T827" s="1"/>
      <c r="U827" s="1"/>
      <c r="V827" s="1"/>
      <c r="W827" s="1"/>
      <c r="X827" s="1"/>
      <c r="Y827" s="1"/>
      <c r="Z827" s="1"/>
      <c r="AA827" s="1"/>
      <c r="AB827" s="1"/>
      <c r="AC827" s="1"/>
    </row>
    <row r="828" spans="1:29" ht="14.25" customHeight="1" x14ac:dyDescent="0.2">
      <c r="A828" s="1"/>
      <c r="B828" s="1"/>
      <c r="C828" s="1"/>
      <c r="D828" s="1"/>
      <c r="E828" s="1"/>
      <c r="F828" s="1"/>
      <c r="G828" s="1"/>
      <c r="H828" s="1"/>
      <c r="I828" s="1"/>
      <c r="J828" s="1"/>
      <c r="K828" s="1"/>
      <c r="L828" s="1"/>
      <c r="M828" s="5"/>
      <c r="N828" s="5"/>
      <c r="O828" s="5"/>
      <c r="P828" s="5"/>
      <c r="Q828" s="1"/>
      <c r="R828" s="1"/>
      <c r="S828" s="1"/>
      <c r="T828" s="1"/>
      <c r="U828" s="1"/>
      <c r="V828" s="1"/>
      <c r="W828" s="1"/>
      <c r="X828" s="1"/>
      <c r="Y828" s="1"/>
      <c r="Z828" s="1"/>
      <c r="AA828" s="1"/>
      <c r="AB828" s="1"/>
      <c r="AC828" s="1"/>
    </row>
    <row r="829" spans="1:29" ht="14.25" customHeight="1" x14ac:dyDescent="0.2">
      <c r="A829" s="1"/>
      <c r="B829" s="1"/>
      <c r="C829" s="1"/>
      <c r="D829" s="1"/>
      <c r="E829" s="1"/>
      <c r="F829" s="1"/>
      <c r="G829" s="1"/>
      <c r="H829" s="1"/>
      <c r="I829" s="1"/>
      <c r="J829" s="1"/>
      <c r="K829" s="1"/>
      <c r="L829" s="1"/>
      <c r="M829" s="5"/>
      <c r="N829" s="5"/>
      <c r="O829" s="5"/>
      <c r="P829" s="5"/>
      <c r="Q829" s="1"/>
      <c r="R829" s="1"/>
      <c r="S829" s="1"/>
      <c r="T829" s="1"/>
      <c r="U829" s="1"/>
      <c r="V829" s="1"/>
      <c r="W829" s="1"/>
      <c r="X829" s="1"/>
      <c r="Y829" s="1"/>
      <c r="Z829" s="1"/>
      <c r="AA829" s="1"/>
      <c r="AB829" s="1"/>
      <c r="AC829" s="1"/>
    </row>
    <row r="830" spans="1:29" ht="14.25" customHeight="1" x14ac:dyDescent="0.2">
      <c r="A830" s="1"/>
      <c r="B830" s="1"/>
      <c r="C830" s="1"/>
      <c r="D830" s="1"/>
      <c r="E830" s="1"/>
      <c r="F830" s="1"/>
      <c r="G830" s="1"/>
      <c r="H830" s="1"/>
      <c r="I830" s="1"/>
      <c r="J830" s="1"/>
      <c r="K830" s="1"/>
      <c r="L830" s="1"/>
      <c r="M830" s="5"/>
      <c r="N830" s="5"/>
      <c r="O830" s="5"/>
      <c r="P830" s="5"/>
      <c r="Q830" s="1"/>
      <c r="R830" s="1"/>
      <c r="S830" s="1"/>
      <c r="T830" s="1"/>
      <c r="U830" s="1"/>
      <c r="V830" s="1"/>
      <c r="W830" s="1"/>
      <c r="X830" s="1"/>
      <c r="Y830" s="1"/>
      <c r="Z830" s="1"/>
      <c r="AA830" s="1"/>
      <c r="AB830" s="1"/>
      <c r="AC830" s="1"/>
    </row>
    <row r="831" spans="1:29" ht="14.25" customHeight="1" x14ac:dyDescent="0.2">
      <c r="A831" s="1"/>
      <c r="B831" s="1"/>
      <c r="C831" s="1"/>
      <c r="D831" s="1"/>
      <c r="E831" s="1"/>
      <c r="F831" s="1"/>
      <c r="G831" s="1"/>
      <c r="H831" s="1"/>
      <c r="I831" s="1"/>
      <c r="J831" s="1"/>
      <c r="K831" s="1"/>
      <c r="L831" s="1"/>
      <c r="M831" s="5"/>
      <c r="N831" s="5"/>
      <c r="O831" s="5"/>
      <c r="P831" s="5"/>
      <c r="Q831" s="1"/>
      <c r="R831" s="1"/>
      <c r="S831" s="1"/>
      <c r="T831" s="1"/>
      <c r="U831" s="1"/>
      <c r="V831" s="1"/>
      <c r="W831" s="1"/>
      <c r="X831" s="1"/>
      <c r="Y831" s="1"/>
      <c r="Z831" s="1"/>
      <c r="AA831" s="1"/>
      <c r="AB831" s="1"/>
      <c r="AC831" s="1"/>
    </row>
    <row r="832" spans="1:29" ht="14.25" customHeight="1" x14ac:dyDescent="0.2">
      <c r="A832" s="1"/>
      <c r="B832" s="1"/>
      <c r="C832" s="1"/>
      <c r="D832" s="1"/>
      <c r="E832" s="1"/>
      <c r="F832" s="1"/>
      <c r="G832" s="1"/>
      <c r="H832" s="1"/>
      <c r="I832" s="1"/>
      <c r="J832" s="1"/>
      <c r="K832" s="1"/>
      <c r="L832" s="1"/>
      <c r="M832" s="5"/>
      <c r="N832" s="5"/>
      <c r="O832" s="5"/>
      <c r="P832" s="5"/>
      <c r="Q832" s="1"/>
      <c r="R832" s="1"/>
      <c r="S832" s="1"/>
      <c r="T832" s="1"/>
      <c r="U832" s="1"/>
      <c r="V832" s="1"/>
      <c r="W832" s="1"/>
      <c r="X832" s="1"/>
      <c r="Y832" s="1"/>
      <c r="Z832" s="1"/>
      <c r="AA832" s="1"/>
      <c r="AB832" s="1"/>
      <c r="AC832" s="1"/>
    </row>
    <row r="833" spans="1:29" ht="14.25" customHeight="1" x14ac:dyDescent="0.2">
      <c r="A833" s="1"/>
      <c r="B833" s="1"/>
      <c r="C833" s="1"/>
      <c r="D833" s="1"/>
      <c r="E833" s="1"/>
      <c r="F833" s="1"/>
      <c r="G833" s="1"/>
      <c r="H833" s="1"/>
      <c r="I833" s="1"/>
      <c r="J833" s="1"/>
      <c r="K833" s="1"/>
      <c r="L833" s="1"/>
      <c r="M833" s="5"/>
      <c r="N833" s="5"/>
      <c r="O833" s="5"/>
      <c r="P833" s="5"/>
      <c r="Q833" s="1"/>
      <c r="R833" s="1"/>
      <c r="S833" s="1"/>
      <c r="T833" s="1"/>
      <c r="U833" s="1"/>
      <c r="V833" s="1"/>
      <c r="W833" s="1"/>
      <c r="X833" s="1"/>
      <c r="Y833" s="1"/>
      <c r="Z833" s="1"/>
      <c r="AA833" s="1"/>
      <c r="AB833" s="1"/>
      <c r="AC833" s="1"/>
    </row>
    <row r="834" spans="1:29" ht="14.25" customHeight="1" x14ac:dyDescent="0.2">
      <c r="A834" s="1"/>
      <c r="B834" s="1"/>
      <c r="C834" s="1"/>
      <c r="D834" s="1"/>
      <c r="E834" s="1"/>
      <c r="F834" s="1"/>
      <c r="G834" s="1"/>
      <c r="H834" s="1"/>
      <c r="I834" s="1"/>
      <c r="J834" s="1"/>
      <c r="K834" s="1"/>
      <c r="L834" s="1"/>
      <c r="M834" s="5"/>
      <c r="N834" s="5"/>
      <c r="O834" s="5"/>
      <c r="P834" s="5"/>
      <c r="Q834" s="1"/>
      <c r="R834" s="1"/>
      <c r="S834" s="1"/>
      <c r="T834" s="1"/>
      <c r="U834" s="1"/>
      <c r="V834" s="1"/>
      <c r="W834" s="1"/>
      <c r="X834" s="1"/>
      <c r="Y834" s="1"/>
      <c r="Z834" s="1"/>
      <c r="AA834" s="1"/>
      <c r="AB834" s="1"/>
      <c r="AC834" s="1"/>
    </row>
    <row r="835" spans="1:29" ht="14.25" customHeight="1" x14ac:dyDescent="0.2">
      <c r="A835" s="1"/>
      <c r="B835" s="1"/>
      <c r="C835" s="1"/>
      <c r="D835" s="1"/>
      <c r="E835" s="1"/>
      <c r="F835" s="1"/>
      <c r="G835" s="1"/>
      <c r="H835" s="1"/>
      <c r="I835" s="1"/>
      <c r="J835" s="1"/>
      <c r="K835" s="1"/>
      <c r="L835" s="1"/>
      <c r="M835" s="5"/>
      <c r="N835" s="5"/>
      <c r="O835" s="5"/>
      <c r="P835" s="5"/>
      <c r="Q835" s="1"/>
      <c r="R835" s="1"/>
      <c r="S835" s="1"/>
      <c r="T835" s="1"/>
      <c r="U835" s="1"/>
      <c r="V835" s="1"/>
      <c r="W835" s="1"/>
      <c r="X835" s="1"/>
      <c r="Y835" s="1"/>
      <c r="Z835" s="1"/>
      <c r="AA835" s="1"/>
      <c r="AB835" s="1"/>
      <c r="AC835" s="1"/>
    </row>
    <row r="836" spans="1:29" ht="14.25" customHeight="1" x14ac:dyDescent="0.2">
      <c r="A836" s="1"/>
      <c r="B836" s="1"/>
      <c r="C836" s="1"/>
      <c r="D836" s="1"/>
      <c r="E836" s="1"/>
      <c r="F836" s="1"/>
      <c r="G836" s="1"/>
      <c r="H836" s="1"/>
      <c r="I836" s="1"/>
      <c r="J836" s="1"/>
      <c r="K836" s="1"/>
      <c r="L836" s="1"/>
      <c r="M836" s="5"/>
      <c r="N836" s="5"/>
      <c r="O836" s="5"/>
      <c r="P836" s="5"/>
      <c r="Q836" s="1"/>
      <c r="R836" s="1"/>
      <c r="S836" s="1"/>
      <c r="T836" s="1"/>
      <c r="U836" s="1"/>
      <c r="V836" s="1"/>
      <c r="W836" s="1"/>
      <c r="X836" s="1"/>
      <c r="Y836" s="1"/>
      <c r="Z836" s="1"/>
      <c r="AA836" s="1"/>
      <c r="AB836" s="1"/>
      <c r="AC836" s="1"/>
    </row>
    <row r="837" spans="1:29" ht="14.25" customHeight="1" x14ac:dyDescent="0.2">
      <c r="A837" s="1"/>
      <c r="B837" s="1"/>
      <c r="C837" s="1"/>
      <c r="D837" s="1"/>
      <c r="E837" s="1"/>
      <c r="F837" s="1"/>
      <c r="G837" s="1"/>
      <c r="H837" s="1"/>
      <c r="I837" s="1"/>
      <c r="J837" s="1"/>
      <c r="K837" s="1"/>
      <c r="L837" s="1"/>
      <c r="M837" s="5"/>
      <c r="N837" s="5"/>
      <c r="O837" s="5"/>
      <c r="P837" s="5"/>
      <c r="Q837" s="1"/>
      <c r="R837" s="1"/>
      <c r="S837" s="1"/>
      <c r="T837" s="1"/>
      <c r="U837" s="1"/>
      <c r="V837" s="1"/>
      <c r="W837" s="1"/>
      <c r="X837" s="1"/>
      <c r="Y837" s="1"/>
      <c r="Z837" s="1"/>
      <c r="AA837" s="1"/>
      <c r="AB837" s="1"/>
      <c r="AC837" s="1"/>
    </row>
    <row r="838" spans="1:29" ht="14.25" customHeight="1" x14ac:dyDescent="0.2">
      <c r="A838" s="1"/>
      <c r="B838" s="1"/>
      <c r="C838" s="1"/>
      <c r="D838" s="1"/>
      <c r="E838" s="1"/>
      <c r="F838" s="1"/>
      <c r="G838" s="1"/>
      <c r="H838" s="1"/>
      <c r="I838" s="1"/>
      <c r="J838" s="1"/>
      <c r="K838" s="1"/>
      <c r="L838" s="1"/>
      <c r="M838" s="5"/>
      <c r="N838" s="5"/>
      <c r="O838" s="5"/>
      <c r="P838" s="5"/>
      <c r="Q838" s="1"/>
      <c r="R838" s="1"/>
      <c r="S838" s="1"/>
      <c r="T838" s="1"/>
      <c r="U838" s="1"/>
      <c r="V838" s="1"/>
      <c r="W838" s="1"/>
      <c r="X838" s="1"/>
      <c r="Y838" s="1"/>
      <c r="Z838" s="1"/>
      <c r="AA838" s="1"/>
      <c r="AB838" s="1"/>
      <c r="AC838" s="1"/>
    </row>
    <row r="839" spans="1:29" ht="14.25" customHeight="1" x14ac:dyDescent="0.2">
      <c r="A839" s="1"/>
      <c r="B839" s="1"/>
      <c r="C839" s="1"/>
      <c r="D839" s="1"/>
      <c r="E839" s="1"/>
      <c r="F839" s="1"/>
      <c r="G839" s="1"/>
      <c r="H839" s="1"/>
      <c r="I839" s="1"/>
      <c r="J839" s="1"/>
      <c r="K839" s="1"/>
      <c r="L839" s="1"/>
      <c r="M839" s="5"/>
      <c r="N839" s="5"/>
      <c r="O839" s="5"/>
      <c r="P839" s="5"/>
      <c r="Q839" s="1"/>
      <c r="R839" s="1"/>
      <c r="S839" s="1"/>
      <c r="T839" s="1"/>
      <c r="U839" s="1"/>
      <c r="V839" s="1"/>
      <c r="W839" s="1"/>
      <c r="X839" s="1"/>
      <c r="Y839" s="1"/>
      <c r="Z839" s="1"/>
      <c r="AA839" s="1"/>
      <c r="AB839" s="1"/>
      <c r="AC839" s="1"/>
    </row>
    <row r="840" spans="1:29" ht="14.25" customHeight="1" x14ac:dyDescent="0.2">
      <c r="A840" s="1"/>
      <c r="B840" s="1"/>
      <c r="C840" s="1"/>
      <c r="D840" s="1"/>
      <c r="E840" s="1"/>
      <c r="F840" s="1"/>
      <c r="G840" s="1"/>
      <c r="H840" s="1"/>
      <c r="I840" s="1"/>
      <c r="J840" s="1"/>
      <c r="K840" s="1"/>
      <c r="L840" s="1"/>
      <c r="M840" s="5"/>
      <c r="N840" s="5"/>
      <c r="O840" s="5"/>
      <c r="P840" s="5"/>
      <c r="Q840" s="1"/>
      <c r="R840" s="1"/>
      <c r="S840" s="1"/>
      <c r="T840" s="1"/>
      <c r="U840" s="1"/>
      <c r="V840" s="1"/>
      <c r="W840" s="1"/>
      <c r="X840" s="1"/>
      <c r="Y840" s="1"/>
      <c r="Z840" s="1"/>
      <c r="AA840" s="1"/>
      <c r="AB840" s="1"/>
      <c r="AC840" s="1"/>
    </row>
    <row r="841" spans="1:29" ht="14.25" customHeight="1" x14ac:dyDescent="0.2">
      <c r="A841" s="1"/>
      <c r="B841" s="1"/>
      <c r="C841" s="1"/>
      <c r="D841" s="1"/>
      <c r="E841" s="1"/>
      <c r="F841" s="1"/>
      <c r="G841" s="1"/>
      <c r="H841" s="1"/>
      <c r="I841" s="1"/>
      <c r="J841" s="1"/>
      <c r="K841" s="1"/>
      <c r="L841" s="1"/>
      <c r="M841" s="5"/>
      <c r="N841" s="5"/>
      <c r="O841" s="5"/>
      <c r="P841" s="5"/>
      <c r="Q841" s="1"/>
      <c r="R841" s="1"/>
      <c r="S841" s="1"/>
      <c r="T841" s="1"/>
      <c r="U841" s="1"/>
      <c r="V841" s="1"/>
      <c r="W841" s="1"/>
      <c r="X841" s="1"/>
      <c r="Y841" s="1"/>
      <c r="Z841" s="1"/>
      <c r="AA841" s="1"/>
      <c r="AB841" s="1"/>
      <c r="AC841" s="1"/>
    </row>
    <row r="842" spans="1:29" ht="14.25" customHeight="1" x14ac:dyDescent="0.2">
      <c r="A842" s="1"/>
      <c r="B842" s="1"/>
      <c r="C842" s="1"/>
      <c r="D842" s="1"/>
      <c r="E842" s="1"/>
      <c r="F842" s="1"/>
      <c r="G842" s="1"/>
      <c r="H842" s="1"/>
      <c r="I842" s="1"/>
      <c r="J842" s="1"/>
      <c r="K842" s="1"/>
      <c r="L842" s="1"/>
      <c r="M842" s="5"/>
      <c r="N842" s="5"/>
      <c r="O842" s="5"/>
      <c r="P842" s="5"/>
      <c r="Q842" s="1"/>
      <c r="R842" s="1"/>
      <c r="S842" s="1"/>
      <c r="T842" s="1"/>
      <c r="U842" s="1"/>
      <c r="V842" s="1"/>
      <c r="W842" s="1"/>
      <c r="X842" s="1"/>
      <c r="Y842" s="1"/>
      <c r="Z842" s="1"/>
      <c r="AA842" s="1"/>
      <c r="AB842" s="1"/>
      <c r="AC842" s="1"/>
    </row>
    <row r="843" spans="1:29" ht="14.25" customHeight="1" x14ac:dyDescent="0.2">
      <c r="A843" s="1"/>
      <c r="B843" s="1"/>
      <c r="C843" s="1"/>
      <c r="D843" s="1"/>
      <c r="E843" s="1"/>
      <c r="F843" s="1"/>
      <c r="G843" s="1"/>
      <c r="H843" s="1"/>
      <c r="I843" s="1"/>
      <c r="J843" s="1"/>
      <c r="K843" s="1"/>
      <c r="L843" s="1"/>
      <c r="M843" s="5"/>
      <c r="N843" s="5"/>
      <c r="O843" s="5"/>
      <c r="P843" s="5"/>
      <c r="Q843" s="1"/>
      <c r="R843" s="1"/>
      <c r="S843" s="1"/>
      <c r="T843" s="1"/>
      <c r="U843" s="1"/>
      <c r="V843" s="1"/>
      <c r="W843" s="1"/>
      <c r="X843" s="1"/>
      <c r="Y843" s="1"/>
      <c r="Z843" s="1"/>
      <c r="AA843" s="1"/>
      <c r="AB843" s="1"/>
      <c r="AC843" s="1"/>
    </row>
    <row r="844" spans="1:29" ht="14.25" customHeight="1" x14ac:dyDescent="0.2">
      <c r="A844" s="1"/>
      <c r="B844" s="1"/>
      <c r="C844" s="1"/>
      <c r="D844" s="1"/>
      <c r="E844" s="1"/>
      <c r="F844" s="1"/>
      <c r="G844" s="1"/>
      <c r="H844" s="1"/>
      <c r="I844" s="1"/>
      <c r="J844" s="1"/>
      <c r="K844" s="1"/>
      <c r="L844" s="1"/>
      <c r="M844" s="5"/>
      <c r="N844" s="5"/>
      <c r="O844" s="5"/>
      <c r="P844" s="5"/>
      <c r="Q844" s="1"/>
      <c r="R844" s="1"/>
      <c r="S844" s="1"/>
      <c r="T844" s="1"/>
      <c r="U844" s="1"/>
      <c r="V844" s="1"/>
      <c r="W844" s="1"/>
      <c r="X844" s="1"/>
      <c r="Y844" s="1"/>
      <c r="Z844" s="1"/>
      <c r="AA844" s="1"/>
      <c r="AB844" s="1"/>
      <c r="AC844" s="1"/>
    </row>
    <row r="845" spans="1:29" ht="14.25" customHeight="1" x14ac:dyDescent="0.2">
      <c r="A845" s="1"/>
      <c r="B845" s="1"/>
      <c r="C845" s="1"/>
      <c r="D845" s="1"/>
      <c r="E845" s="1"/>
      <c r="F845" s="1"/>
      <c r="G845" s="1"/>
      <c r="H845" s="1"/>
      <c r="I845" s="1"/>
      <c r="J845" s="1"/>
      <c r="K845" s="1"/>
      <c r="L845" s="1"/>
      <c r="M845" s="5"/>
      <c r="N845" s="5"/>
      <c r="O845" s="5"/>
      <c r="P845" s="5"/>
      <c r="Q845" s="1"/>
      <c r="R845" s="1"/>
      <c r="S845" s="1"/>
      <c r="T845" s="1"/>
      <c r="U845" s="1"/>
      <c r="V845" s="1"/>
      <c r="W845" s="1"/>
      <c r="X845" s="1"/>
      <c r="Y845" s="1"/>
      <c r="Z845" s="1"/>
      <c r="AA845" s="1"/>
      <c r="AB845" s="1"/>
      <c r="AC845" s="1"/>
    </row>
    <row r="846" spans="1:29" ht="14.25" customHeight="1" x14ac:dyDescent="0.2">
      <c r="A846" s="1"/>
      <c r="B846" s="1"/>
      <c r="C846" s="1"/>
      <c r="D846" s="1"/>
      <c r="E846" s="1"/>
      <c r="F846" s="1"/>
      <c r="G846" s="1"/>
      <c r="H846" s="1"/>
      <c r="I846" s="1"/>
      <c r="J846" s="1"/>
      <c r="K846" s="1"/>
      <c r="L846" s="1"/>
      <c r="M846" s="5"/>
      <c r="N846" s="5"/>
      <c r="O846" s="5"/>
      <c r="P846" s="5"/>
      <c r="Q846" s="1"/>
      <c r="R846" s="1"/>
      <c r="S846" s="1"/>
      <c r="T846" s="1"/>
      <c r="U846" s="1"/>
      <c r="V846" s="1"/>
      <c r="W846" s="1"/>
      <c r="X846" s="1"/>
      <c r="Y846" s="1"/>
      <c r="Z846" s="1"/>
      <c r="AA846" s="1"/>
      <c r="AB846" s="1"/>
      <c r="AC846" s="1"/>
    </row>
    <row r="847" spans="1:29" ht="14.25" customHeight="1" x14ac:dyDescent="0.2">
      <c r="A847" s="1"/>
      <c r="B847" s="1"/>
      <c r="C847" s="1"/>
      <c r="D847" s="1"/>
      <c r="E847" s="1"/>
      <c r="F847" s="1"/>
      <c r="G847" s="1"/>
      <c r="H847" s="1"/>
      <c r="I847" s="1"/>
      <c r="J847" s="1"/>
      <c r="K847" s="1"/>
      <c r="L847" s="1"/>
      <c r="M847" s="5"/>
      <c r="N847" s="5"/>
      <c r="O847" s="5"/>
      <c r="P847" s="5"/>
      <c r="Q847" s="1"/>
      <c r="R847" s="1"/>
      <c r="S847" s="1"/>
      <c r="T847" s="1"/>
      <c r="U847" s="1"/>
      <c r="V847" s="1"/>
      <c r="W847" s="1"/>
      <c r="X847" s="1"/>
      <c r="Y847" s="1"/>
      <c r="Z847" s="1"/>
      <c r="AA847" s="1"/>
      <c r="AB847" s="1"/>
      <c r="AC847" s="1"/>
    </row>
    <row r="848" spans="1:29" ht="14.25" customHeight="1" x14ac:dyDescent="0.2">
      <c r="A848" s="1"/>
      <c r="B848" s="1"/>
      <c r="C848" s="1"/>
      <c r="D848" s="1"/>
      <c r="E848" s="1"/>
      <c r="F848" s="1"/>
      <c r="G848" s="1"/>
      <c r="H848" s="1"/>
      <c r="I848" s="1"/>
      <c r="J848" s="1"/>
      <c r="K848" s="1"/>
      <c r="L848" s="1"/>
      <c r="M848" s="5"/>
      <c r="N848" s="5"/>
      <c r="O848" s="5"/>
      <c r="P848" s="5"/>
      <c r="Q848" s="1"/>
      <c r="R848" s="1"/>
      <c r="S848" s="1"/>
      <c r="T848" s="1"/>
      <c r="U848" s="1"/>
      <c r="V848" s="1"/>
      <c r="W848" s="1"/>
      <c r="X848" s="1"/>
      <c r="Y848" s="1"/>
      <c r="Z848" s="1"/>
      <c r="AA848" s="1"/>
      <c r="AB848" s="1"/>
      <c r="AC848" s="1"/>
    </row>
    <row r="849" spans="1:29" ht="14.25" customHeight="1" x14ac:dyDescent="0.2">
      <c r="A849" s="1"/>
      <c r="B849" s="1"/>
      <c r="C849" s="1"/>
      <c r="D849" s="1"/>
      <c r="E849" s="1"/>
      <c r="F849" s="1"/>
      <c r="G849" s="1"/>
      <c r="H849" s="1"/>
      <c r="I849" s="1"/>
      <c r="J849" s="1"/>
      <c r="K849" s="1"/>
      <c r="L849" s="1"/>
      <c r="M849" s="5"/>
      <c r="N849" s="5"/>
      <c r="O849" s="5"/>
      <c r="P849" s="5"/>
      <c r="Q849" s="1"/>
      <c r="R849" s="1"/>
      <c r="S849" s="1"/>
      <c r="T849" s="1"/>
      <c r="U849" s="1"/>
      <c r="V849" s="1"/>
      <c r="W849" s="1"/>
      <c r="X849" s="1"/>
      <c r="Y849" s="1"/>
      <c r="Z849" s="1"/>
      <c r="AA849" s="1"/>
      <c r="AB849" s="1"/>
      <c r="AC849" s="1"/>
    </row>
    <row r="850" spans="1:29" ht="14.25" customHeight="1" x14ac:dyDescent="0.2">
      <c r="A850" s="1"/>
      <c r="B850" s="1"/>
      <c r="C850" s="1"/>
      <c r="D850" s="1"/>
      <c r="E850" s="1"/>
      <c r="F850" s="1"/>
      <c r="G850" s="1"/>
      <c r="H850" s="1"/>
      <c r="I850" s="1"/>
      <c r="J850" s="1"/>
      <c r="K850" s="1"/>
      <c r="L850" s="1"/>
      <c r="M850" s="5"/>
      <c r="N850" s="5"/>
      <c r="O850" s="5"/>
      <c r="P850" s="5"/>
      <c r="Q850" s="1"/>
      <c r="R850" s="1"/>
      <c r="S850" s="1"/>
      <c r="T850" s="1"/>
      <c r="U850" s="1"/>
      <c r="V850" s="1"/>
      <c r="W850" s="1"/>
      <c r="X850" s="1"/>
      <c r="Y850" s="1"/>
      <c r="Z850" s="1"/>
      <c r="AA850" s="1"/>
      <c r="AB850" s="1"/>
      <c r="AC850" s="1"/>
    </row>
    <row r="851" spans="1:29" ht="14.25" customHeight="1" x14ac:dyDescent="0.2">
      <c r="A851" s="1"/>
      <c r="B851" s="1"/>
      <c r="C851" s="1"/>
      <c r="D851" s="1"/>
      <c r="E851" s="1"/>
      <c r="F851" s="1"/>
      <c r="G851" s="1"/>
      <c r="H851" s="1"/>
      <c r="I851" s="1"/>
      <c r="J851" s="1"/>
      <c r="K851" s="1"/>
      <c r="L851" s="1"/>
      <c r="M851" s="5"/>
      <c r="N851" s="5"/>
      <c r="O851" s="5"/>
      <c r="P851" s="5"/>
      <c r="Q851" s="1"/>
      <c r="R851" s="1"/>
      <c r="S851" s="1"/>
      <c r="T851" s="1"/>
      <c r="U851" s="1"/>
      <c r="V851" s="1"/>
      <c r="W851" s="1"/>
      <c r="X851" s="1"/>
      <c r="Y851" s="1"/>
      <c r="Z851" s="1"/>
      <c r="AA851" s="1"/>
      <c r="AB851" s="1"/>
      <c r="AC851" s="1"/>
    </row>
    <row r="852" spans="1:29" ht="14.25" customHeight="1" x14ac:dyDescent="0.2">
      <c r="A852" s="1"/>
      <c r="B852" s="1"/>
      <c r="C852" s="1"/>
      <c r="D852" s="1"/>
      <c r="E852" s="1"/>
      <c r="F852" s="1"/>
      <c r="G852" s="1"/>
      <c r="H852" s="1"/>
      <c r="I852" s="1"/>
      <c r="J852" s="1"/>
      <c r="K852" s="1"/>
      <c r="L852" s="1"/>
      <c r="M852" s="5"/>
      <c r="N852" s="5"/>
      <c r="O852" s="5"/>
      <c r="P852" s="5"/>
      <c r="Q852" s="1"/>
      <c r="R852" s="1"/>
      <c r="S852" s="1"/>
      <c r="T852" s="1"/>
      <c r="U852" s="1"/>
      <c r="V852" s="1"/>
      <c r="W852" s="1"/>
      <c r="X852" s="1"/>
      <c r="Y852" s="1"/>
      <c r="Z852" s="1"/>
      <c r="AA852" s="1"/>
      <c r="AB852" s="1"/>
      <c r="AC852" s="1"/>
    </row>
    <row r="853" spans="1:29" ht="14.25" customHeight="1" x14ac:dyDescent="0.2">
      <c r="A853" s="1"/>
      <c r="B853" s="1"/>
      <c r="C853" s="1"/>
      <c r="D853" s="1"/>
      <c r="E853" s="1"/>
      <c r="F853" s="1"/>
      <c r="G853" s="1"/>
      <c r="H853" s="1"/>
      <c r="I853" s="1"/>
      <c r="J853" s="1"/>
      <c r="K853" s="1"/>
      <c r="L853" s="1"/>
      <c r="M853" s="5"/>
      <c r="N853" s="5"/>
      <c r="O853" s="5"/>
      <c r="P853" s="5"/>
      <c r="Q853" s="1"/>
      <c r="R853" s="1"/>
      <c r="S853" s="1"/>
      <c r="T853" s="1"/>
      <c r="U853" s="1"/>
      <c r="V853" s="1"/>
      <c r="W853" s="1"/>
      <c r="X853" s="1"/>
      <c r="Y853" s="1"/>
      <c r="Z853" s="1"/>
      <c r="AA853" s="1"/>
      <c r="AB853" s="1"/>
      <c r="AC853" s="1"/>
    </row>
    <row r="854" spans="1:29" ht="14.25" customHeight="1" x14ac:dyDescent="0.2">
      <c r="A854" s="1"/>
      <c r="B854" s="1"/>
      <c r="C854" s="1"/>
      <c r="D854" s="1"/>
      <c r="E854" s="1"/>
      <c r="F854" s="1"/>
      <c r="G854" s="1"/>
      <c r="H854" s="1"/>
      <c r="I854" s="1"/>
      <c r="J854" s="1"/>
      <c r="K854" s="1"/>
      <c r="L854" s="1"/>
      <c r="M854" s="5"/>
      <c r="N854" s="5"/>
      <c r="O854" s="5"/>
      <c r="P854" s="5"/>
      <c r="Q854" s="1"/>
      <c r="R854" s="1"/>
      <c r="S854" s="1"/>
      <c r="T854" s="1"/>
      <c r="U854" s="1"/>
      <c r="V854" s="1"/>
      <c r="W854" s="1"/>
      <c r="X854" s="1"/>
      <c r="Y854" s="1"/>
      <c r="Z854" s="1"/>
      <c r="AA854" s="1"/>
      <c r="AB854" s="1"/>
      <c r="AC854" s="1"/>
    </row>
    <row r="855" spans="1:29" ht="14.25" customHeight="1" x14ac:dyDescent="0.2">
      <c r="A855" s="1"/>
      <c r="B855" s="1"/>
      <c r="C855" s="1"/>
      <c r="D855" s="1"/>
      <c r="E855" s="1"/>
      <c r="F855" s="1"/>
      <c r="G855" s="1"/>
      <c r="H855" s="1"/>
      <c r="I855" s="1"/>
      <c r="J855" s="1"/>
      <c r="K855" s="1"/>
      <c r="L855" s="1"/>
      <c r="M855" s="5"/>
      <c r="N855" s="5"/>
      <c r="O855" s="5"/>
      <c r="P855" s="5"/>
      <c r="Q855" s="1"/>
      <c r="R855" s="1"/>
      <c r="S855" s="1"/>
      <c r="T855" s="1"/>
      <c r="U855" s="1"/>
      <c r="V855" s="1"/>
      <c r="W855" s="1"/>
      <c r="X855" s="1"/>
      <c r="Y855" s="1"/>
      <c r="Z855" s="1"/>
      <c r="AA855" s="1"/>
      <c r="AB855" s="1"/>
      <c r="AC855" s="1"/>
    </row>
    <row r="856" spans="1:29" ht="14.25" customHeight="1" x14ac:dyDescent="0.2">
      <c r="A856" s="1"/>
      <c r="B856" s="1"/>
      <c r="C856" s="1"/>
      <c r="D856" s="1"/>
      <c r="E856" s="1"/>
      <c r="F856" s="1"/>
      <c r="G856" s="1"/>
      <c r="H856" s="1"/>
      <c r="I856" s="1"/>
      <c r="J856" s="1"/>
      <c r="K856" s="1"/>
      <c r="L856" s="1"/>
      <c r="M856" s="5"/>
      <c r="N856" s="5"/>
      <c r="O856" s="5"/>
      <c r="P856" s="5"/>
      <c r="Q856" s="1"/>
      <c r="R856" s="1"/>
      <c r="S856" s="1"/>
      <c r="T856" s="1"/>
      <c r="U856" s="1"/>
      <c r="V856" s="1"/>
      <c r="W856" s="1"/>
      <c r="X856" s="1"/>
      <c r="Y856" s="1"/>
      <c r="Z856" s="1"/>
      <c r="AA856" s="1"/>
      <c r="AB856" s="1"/>
      <c r="AC856" s="1"/>
    </row>
    <row r="857" spans="1:29" ht="14.25" customHeight="1" x14ac:dyDescent="0.2">
      <c r="A857" s="1"/>
      <c r="B857" s="1"/>
      <c r="C857" s="1"/>
      <c r="D857" s="1"/>
      <c r="E857" s="1"/>
      <c r="F857" s="1"/>
      <c r="G857" s="1"/>
      <c r="H857" s="1"/>
      <c r="I857" s="1"/>
      <c r="J857" s="1"/>
      <c r="K857" s="1"/>
      <c r="L857" s="1"/>
      <c r="M857" s="5"/>
      <c r="N857" s="5"/>
      <c r="O857" s="5"/>
      <c r="P857" s="5"/>
      <c r="Q857" s="1"/>
      <c r="R857" s="1"/>
      <c r="S857" s="1"/>
      <c r="T857" s="1"/>
      <c r="U857" s="1"/>
      <c r="V857" s="1"/>
      <c r="W857" s="1"/>
      <c r="X857" s="1"/>
      <c r="Y857" s="1"/>
      <c r="Z857" s="1"/>
      <c r="AA857" s="1"/>
      <c r="AB857" s="1"/>
      <c r="AC857" s="1"/>
    </row>
    <row r="858" spans="1:29" ht="14.25" customHeight="1" x14ac:dyDescent="0.2">
      <c r="A858" s="1"/>
      <c r="B858" s="1"/>
      <c r="C858" s="1"/>
      <c r="D858" s="1"/>
      <c r="E858" s="1"/>
      <c r="F858" s="1"/>
      <c r="G858" s="1"/>
      <c r="H858" s="1"/>
      <c r="I858" s="1"/>
      <c r="J858" s="1"/>
      <c r="K858" s="1"/>
      <c r="L858" s="1"/>
      <c r="M858" s="5"/>
      <c r="N858" s="5"/>
      <c r="O858" s="5"/>
      <c r="P858" s="5"/>
      <c r="Q858" s="1"/>
      <c r="R858" s="1"/>
      <c r="S858" s="1"/>
      <c r="T858" s="1"/>
      <c r="U858" s="1"/>
      <c r="V858" s="1"/>
      <c r="W858" s="1"/>
      <c r="X858" s="1"/>
      <c r="Y858" s="1"/>
      <c r="Z858" s="1"/>
      <c r="AA858" s="1"/>
      <c r="AB858" s="1"/>
      <c r="AC858" s="1"/>
    </row>
    <row r="859" spans="1:29" ht="14.25" customHeight="1" x14ac:dyDescent="0.2">
      <c r="A859" s="1"/>
      <c r="B859" s="1"/>
      <c r="C859" s="1"/>
      <c r="D859" s="1"/>
      <c r="E859" s="1"/>
      <c r="F859" s="1"/>
      <c r="G859" s="1"/>
      <c r="H859" s="1"/>
      <c r="I859" s="1"/>
      <c r="J859" s="1"/>
      <c r="K859" s="1"/>
      <c r="L859" s="1"/>
      <c r="M859" s="5"/>
      <c r="N859" s="5"/>
      <c r="O859" s="5"/>
      <c r="P859" s="5"/>
      <c r="Q859" s="1"/>
      <c r="R859" s="1"/>
      <c r="S859" s="1"/>
      <c r="T859" s="1"/>
      <c r="U859" s="1"/>
      <c r="V859" s="1"/>
      <c r="W859" s="1"/>
      <c r="X859" s="1"/>
      <c r="Y859" s="1"/>
      <c r="Z859" s="1"/>
      <c r="AA859" s="1"/>
      <c r="AB859" s="1"/>
      <c r="AC859" s="1"/>
    </row>
    <row r="860" spans="1:29" ht="14.25" customHeight="1" x14ac:dyDescent="0.2">
      <c r="A860" s="1"/>
      <c r="B860" s="1"/>
      <c r="C860" s="1"/>
      <c r="D860" s="1"/>
      <c r="E860" s="1"/>
      <c r="F860" s="1"/>
      <c r="G860" s="1"/>
      <c r="H860" s="1"/>
      <c r="I860" s="1"/>
      <c r="J860" s="1"/>
      <c r="K860" s="1"/>
      <c r="L860" s="1"/>
      <c r="M860" s="5"/>
      <c r="N860" s="5"/>
      <c r="O860" s="5"/>
      <c r="P860" s="5"/>
      <c r="Q860" s="1"/>
      <c r="R860" s="1"/>
      <c r="S860" s="1"/>
      <c r="T860" s="1"/>
      <c r="U860" s="1"/>
      <c r="V860" s="1"/>
      <c r="W860" s="1"/>
      <c r="X860" s="1"/>
      <c r="Y860" s="1"/>
      <c r="Z860" s="1"/>
      <c r="AA860" s="1"/>
      <c r="AB860" s="1"/>
      <c r="AC860" s="1"/>
    </row>
    <row r="861" spans="1:29" ht="14.25" customHeight="1" x14ac:dyDescent="0.2">
      <c r="A861" s="1"/>
      <c r="B861" s="1"/>
      <c r="C861" s="1"/>
      <c r="D861" s="1"/>
      <c r="E861" s="1"/>
      <c r="F861" s="1"/>
      <c r="G861" s="1"/>
      <c r="H861" s="1"/>
      <c r="I861" s="1"/>
      <c r="J861" s="1"/>
      <c r="K861" s="1"/>
      <c r="L861" s="1"/>
      <c r="M861" s="5"/>
      <c r="N861" s="5"/>
      <c r="O861" s="5"/>
      <c r="P861" s="5"/>
      <c r="Q861" s="1"/>
      <c r="R861" s="1"/>
      <c r="S861" s="1"/>
      <c r="T861" s="1"/>
      <c r="U861" s="1"/>
      <c r="V861" s="1"/>
      <c r="W861" s="1"/>
      <c r="X861" s="1"/>
      <c r="Y861" s="1"/>
      <c r="Z861" s="1"/>
      <c r="AA861" s="1"/>
      <c r="AB861" s="1"/>
      <c r="AC861" s="1"/>
    </row>
    <row r="862" spans="1:29" ht="14.25" customHeight="1" x14ac:dyDescent="0.2">
      <c r="A862" s="1"/>
      <c r="B862" s="1"/>
      <c r="C862" s="1"/>
      <c r="D862" s="1"/>
      <c r="E862" s="1"/>
      <c r="F862" s="1"/>
      <c r="G862" s="1"/>
      <c r="H862" s="1"/>
      <c r="I862" s="1"/>
      <c r="J862" s="1"/>
      <c r="K862" s="1"/>
      <c r="L862" s="1"/>
      <c r="M862" s="5"/>
      <c r="N862" s="5"/>
      <c r="O862" s="5"/>
      <c r="P862" s="5"/>
      <c r="Q862" s="1"/>
      <c r="R862" s="1"/>
      <c r="S862" s="1"/>
      <c r="T862" s="1"/>
      <c r="U862" s="1"/>
      <c r="V862" s="1"/>
      <c r="W862" s="1"/>
      <c r="X862" s="1"/>
      <c r="Y862" s="1"/>
      <c r="Z862" s="1"/>
      <c r="AA862" s="1"/>
      <c r="AB862" s="1"/>
      <c r="AC862" s="1"/>
    </row>
    <row r="863" spans="1:29" ht="14.25" customHeight="1" x14ac:dyDescent="0.2">
      <c r="A863" s="1"/>
      <c r="B863" s="1"/>
      <c r="C863" s="1"/>
      <c r="D863" s="1"/>
      <c r="E863" s="1"/>
      <c r="F863" s="1"/>
      <c r="G863" s="1"/>
      <c r="H863" s="1"/>
      <c r="I863" s="1"/>
      <c r="J863" s="1"/>
      <c r="K863" s="1"/>
      <c r="L863" s="1"/>
      <c r="M863" s="5"/>
      <c r="N863" s="5"/>
      <c r="O863" s="5"/>
      <c r="P863" s="5"/>
      <c r="Q863" s="1"/>
      <c r="R863" s="1"/>
      <c r="S863" s="1"/>
      <c r="T863" s="1"/>
      <c r="U863" s="1"/>
      <c r="V863" s="1"/>
      <c r="W863" s="1"/>
      <c r="X863" s="1"/>
      <c r="Y863" s="1"/>
      <c r="Z863" s="1"/>
      <c r="AA863" s="1"/>
      <c r="AB863" s="1"/>
      <c r="AC863" s="1"/>
    </row>
    <row r="864" spans="1:29" ht="14.25" customHeight="1" x14ac:dyDescent="0.2">
      <c r="A864" s="1"/>
      <c r="B864" s="1"/>
      <c r="C864" s="1"/>
      <c r="D864" s="1"/>
      <c r="E864" s="1"/>
      <c r="F864" s="1"/>
      <c r="G864" s="1"/>
      <c r="H864" s="1"/>
      <c r="I864" s="1"/>
      <c r="J864" s="1"/>
      <c r="K864" s="1"/>
      <c r="L864" s="1"/>
      <c r="M864" s="5"/>
      <c r="N864" s="5"/>
      <c r="O864" s="5"/>
      <c r="P864" s="5"/>
      <c r="Q864" s="1"/>
      <c r="R864" s="1"/>
      <c r="S864" s="1"/>
      <c r="T864" s="1"/>
      <c r="U864" s="1"/>
      <c r="V864" s="1"/>
      <c r="W864" s="1"/>
      <c r="X864" s="1"/>
      <c r="Y864" s="1"/>
      <c r="Z864" s="1"/>
      <c r="AA864" s="1"/>
      <c r="AB864" s="1"/>
      <c r="AC864" s="1"/>
    </row>
    <row r="865" spans="1:29" ht="14.25" customHeight="1" x14ac:dyDescent="0.2">
      <c r="A865" s="1"/>
      <c r="B865" s="1"/>
      <c r="C865" s="1"/>
      <c r="D865" s="1"/>
      <c r="E865" s="1"/>
      <c r="F865" s="1"/>
      <c r="G865" s="1"/>
      <c r="H865" s="1"/>
      <c r="I865" s="1"/>
      <c r="J865" s="1"/>
      <c r="K865" s="1"/>
      <c r="L865" s="1"/>
      <c r="M865" s="5"/>
      <c r="N865" s="5"/>
      <c r="O865" s="5"/>
      <c r="P865" s="5"/>
      <c r="Q865" s="1"/>
      <c r="R865" s="1"/>
      <c r="S865" s="1"/>
      <c r="T865" s="1"/>
      <c r="U865" s="1"/>
      <c r="V865" s="1"/>
      <c r="W865" s="1"/>
      <c r="X865" s="1"/>
      <c r="Y865" s="1"/>
      <c r="Z865" s="1"/>
      <c r="AA865" s="1"/>
      <c r="AB865" s="1"/>
      <c r="AC865" s="1"/>
    </row>
    <row r="866" spans="1:29" ht="14.25" customHeight="1" x14ac:dyDescent="0.2">
      <c r="A866" s="1"/>
      <c r="B866" s="1"/>
      <c r="C866" s="1"/>
      <c r="D866" s="1"/>
      <c r="E866" s="1"/>
      <c r="F866" s="1"/>
      <c r="G866" s="1"/>
      <c r="H866" s="1"/>
      <c r="I866" s="1"/>
      <c r="J866" s="1"/>
      <c r="K866" s="1"/>
      <c r="L866" s="1"/>
      <c r="M866" s="5"/>
      <c r="N866" s="5"/>
      <c r="O866" s="5"/>
      <c r="P866" s="5"/>
      <c r="Q866" s="1"/>
      <c r="R866" s="1"/>
      <c r="S866" s="1"/>
      <c r="T866" s="1"/>
      <c r="U866" s="1"/>
      <c r="V866" s="1"/>
      <c r="W866" s="1"/>
      <c r="X866" s="1"/>
      <c r="Y866" s="1"/>
      <c r="Z866" s="1"/>
      <c r="AA866" s="1"/>
      <c r="AB866" s="1"/>
      <c r="AC866" s="1"/>
    </row>
    <row r="867" spans="1:29" ht="14.25" customHeight="1" x14ac:dyDescent="0.2">
      <c r="A867" s="1"/>
      <c r="B867" s="1"/>
      <c r="C867" s="1"/>
      <c r="D867" s="1"/>
      <c r="E867" s="1"/>
      <c r="F867" s="1"/>
      <c r="G867" s="1"/>
      <c r="H867" s="1"/>
      <c r="I867" s="1"/>
      <c r="J867" s="1"/>
      <c r="K867" s="1"/>
      <c r="L867" s="1"/>
      <c r="M867" s="5"/>
      <c r="N867" s="5"/>
      <c r="O867" s="5"/>
      <c r="P867" s="5"/>
      <c r="Q867" s="1"/>
      <c r="R867" s="1"/>
      <c r="S867" s="1"/>
      <c r="T867" s="1"/>
      <c r="U867" s="1"/>
      <c r="V867" s="1"/>
      <c r="W867" s="1"/>
      <c r="X867" s="1"/>
      <c r="Y867" s="1"/>
      <c r="Z867" s="1"/>
      <c r="AA867" s="1"/>
      <c r="AB867" s="1"/>
      <c r="AC867" s="1"/>
    </row>
    <row r="868" spans="1:29" ht="14.25" customHeight="1" x14ac:dyDescent="0.2">
      <c r="A868" s="1"/>
      <c r="B868" s="1"/>
      <c r="C868" s="1"/>
      <c r="D868" s="1"/>
      <c r="E868" s="1"/>
      <c r="F868" s="1"/>
      <c r="G868" s="1"/>
      <c r="H868" s="1"/>
      <c r="I868" s="1"/>
      <c r="J868" s="1"/>
      <c r="K868" s="1"/>
      <c r="L868" s="1"/>
      <c r="M868" s="5"/>
      <c r="N868" s="5"/>
      <c r="O868" s="5"/>
      <c r="P868" s="5"/>
      <c r="Q868" s="1"/>
      <c r="R868" s="1"/>
      <c r="S868" s="1"/>
      <c r="T868" s="1"/>
      <c r="U868" s="1"/>
      <c r="V868" s="1"/>
      <c r="W868" s="1"/>
      <c r="X868" s="1"/>
      <c r="Y868" s="1"/>
      <c r="Z868" s="1"/>
      <c r="AA868" s="1"/>
      <c r="AB868" s="1"/>
      <c r="AC868" s="1"/>
    </row>
    <row r="869" spans="1:29" ht="14.25" customHeight="1" x14ac:dyDescent="0.2">
      <c r="A869" s="1"/>
      <c r="B869" s="1"/>
      <c r="C869" s="1"/>
      <c r="D869" s="1"/>
      <c r="E869" s="1"/>
      <c r="F869" s="1"/>
      <c r="G869" s="1"/>
      <c r="H869" s="1"/>
      <c r="I869" s="1"/>
      <c r="J869" s="1"/>
      <c r="K869" s="1"/>
      <c r="L869" s="1"/>
      <c r="M869" s="5"/>
      <c r="N869" s="5"/>
      <c r="O869" s="5"/>
      <c r="P869" s="5"/>
      <c r="Q869" s="1"/>
      <c r="R869" s="1"/>
      <c r="S869" s="1"/>
      <c r="T869" s="1"/>
      <c r="U869" s="1"/>
      <c r="V869" s="1"/>
      <c r="W869" s="1"/>
      <c r="X869" s="1"/>
      <c r="Y869" s="1"/>
      <c r="Z869" s="1"/>
      <c r="AA869" s="1"/>
      <c r="AB869" s="1"/>
      <c r="AC869" s="1"/>
    </row>
    <row r="870" spans="1:29" ht="14.25" customHeight="1" x14ac:dyDescent="0.2">
      <c r="A870" s="1"/>
      <c r="B870" s="1"/>
      <c r="C870" s="1"/>
      <c r="D870" s="1"/>
      <c r="E870" s="1"/>
      <c r="F870" s="1"/>
      <c r="G870" s="1"/>
      <c r="H870" s="1"/>
      <c r="I870" s="1"/>
      <c r="J870" s="1"/>
      <c r="K870" s="1"/>
      <c r="L870" s="1"/>
      <c r="M870" s="5"/>
      <c r="N870" s="5"/>
      <c r="O870" s="5"/>
      <c r="P870" s="5"/>
      <c r="Q870" s="1"/>
      <c r="R870" s="1"/>
      <c r="S870" s="1"/>
      <c r="T870" s="1"/>
      <c r="U870" s="1"/>
      <c r="V870" s="1"/>
      <c r="W870" s="1"/>
      <c r="X870" s="1"/>
      <c r="Y870" s="1"/>
      <c r="Z870" s="1"/>
      <c r="AA870" s="1"/>
      <c r="AB870" s="1"/>
      <c r="AC870" s="1"/>
    </row>
    <row r="871" spans="1:29" ht="14.25" customHeight="1" x14ac:dyDescent="0.2">
      <c r="A871" s="1"/>
      <c r="B871" s="1"/>
      <c r="C871" s="1"/>
      <c r="D871" s="1"/>
      <c r="E871" s="1"/>
      <c r="F871" s="1"/>
      <c r="G871" s="1"/>
      <c r="H871" s="1"/>
      <c r="I871" s="1"/>
      <c r="J871" s="1"/>
      <c r="K871" s="1"/>
      <c r="L871" s="1"/>
      <c r="M871" s="5"/>
      <c r="N871" s="5"/>
      <c r="O871" s="5"/>
      <c r="P871" s="5"/>
      <c r="Q871" s="1"/>
      <c r="R871" s="1"/>
      <c r="S871" s="1"/>
      <c r="T871" s="1"/>
      <c r="U871" s="1"/>
      <c r="V871" s="1"/>
      <c r="W871" s="1"/>
      <c r="X871" s="1"/>
      <c r="Y871" s="1"/>
      <c r="Z871" s="1"/>
      <c r="AA871" s="1"/>
      <c r="AB871" s="1"/>
      <c r="AC871" s="1"/>
    </row>
    <row r="872" spans="1:29" ht="14.25" customHeight="1" x14ac:dyDescent="0.2">
      <c r="A872" s="1"/>
      <c r="B872" s="1"/>
      <c r="C872" s="1"/>
      <c r="D872" s="1"/>
      <c r="E872" s="1"/>
      <c r="F872" s="1"/>
      <c r="G872" s="1"/>
      <c r="H872" s="1"/>
      <c r="I872" s="1"/>
      <c r="J872" s="1"/>
      <c r="K872" s="1"/>
      <c r="L872" s="1"/>
      <c r="M872" s="5"/>
      <c r="N872" s="5"/>
      <c r="O872" s="5"/>
      <c r="P872" s="5"/>
      <c r="Q872" s="1"/>
      <c r="R872" s="1"/>
      <c r="S872" s="1"/>
      <c r="T872" s="1"/>
      <c r="U872" s="1"/>
      <c r="V872" s="1"/>
      <c r="W872" s="1"/>
      <c r="X872" s="1"/>
      <c r="Y872" s="1"/>
      <c r="Z872" s="1"/>
      <c r="AA872" s="1"/>
      <c r="AB872" s="1"/>
      <c r="AC872" s="1"/>
    </row>
    <row r="873" spans="1:29" ht="14.25" customHeight="1" x14ac:dyDescent="0.2">
      <c r="A873" s="1"/>
      <c r="B873" s="1"/>
      <c r="C873" s="1"/>
      <c r="D873" s="1"/>
      <c r="E873" s="1"/>
      <c r="F873" s="1"/>
      <c r="G873" s="1"/>
      <c r="H873" s="1"/>
      <c r="I873" s="1"/>
      <c r="J873" s="1"/>
      <c r="K873" s="1"/>
      <c r="L873" s="1"/>
      <c r="M873" s="5"/>
      <c r="N873" s="5"/>
      <c r="O873" s="5"/>
      <c r="P873" s="5"/>
      <c r="Q873" s="1"/>
      <c r="R873" s="1"/>
      <c r="S873" s="1"/>
      <c r="T873" s="1"/>
      <c r="U873" s="1"/>
      <c r="V873" s="1"/>
      <c r="W873" s="1"/>
      <c r="X873" s="1"/>
      <c r="Y873" s="1"/>
      <c r="Z873" s="1"/>
      <c r="AA873" s="1"/>
      <c r="AB873" s="1"/>
      <c r="AC873" s="1"/>
    </row>
    <row r="874" spans="1:29" ht="14.25" customHeight="1" x14ac:dyDescent="0.2">
      <c r="A874" s="1"/>
      <c r="B874" s="1"/>
      <c r="C874" s="1"/>
      <c r="D874" s="1"/>
      <c r="E874" s="1"/>
      <c r="F874" s="1"/>
      <c r="G874" s="1"/>
      <c r="H874" s="1"/>
      <c r="I874" s="1"/>
      <c r="J874" s="1"/>
      <c r="K874" s="1"/>
      <c r="L874" s="1"/>
      <c r="M874" s="5"/>
      <c r="N874" s="5"/>
      <c r="O874" s="5"/>
      <c r="P874" s="5"/>
      <c r="Q874" s="1"/>
      <c r="R874" s="1"/>
      <c r="S874" s="1"/>
      <c r="T874" s="1"/>
      <c r="U874" s="1"/>
      <c r="V874" s="1"/>
      <c r="W874" s="1"/>
      <c r="X874" s="1"/>
      <c r="Y874" s="1"/>
      <c r="Z874" s="1"/>
      <c r="AA874" s="1"/>
      <c r="AB874" s="1"/>
      <c r="AC874" s="1"/>
    </row>
    <row r="875" spans="1:29" ht="14.25" customHeight="1" x14ac:dyDescent="0.2">
      <c r="A875" s="1"/>
      <c r="B875" s="1"/>
      <c r="C875" s="1"/>
      <c r="D875" s="1"/>
      <c r="E875" s="1"/>
      <c r="F875" s="1"/>
      <c r="G875" s="1"/>
      <c r="H875" s="1"/>
      <c r="I875" s="1"/>
      <c r="J875" s="1"/>
      <c r="K875" s="1"/>
      <c r="L875" s="1"/>
      <c r="M875" s="5"/>
      <c r="N875" s="5"/>
      <c r="O875" s="5"/>
      <c r="P875" s="5"/>
      <c r="Q875" s="1"/>
      <c r="R875" s="1"/>
      <c r="S875" s="1"/>
      <c r="T875" s="1"/>
      <c r="U875" s="1"/>
      <c r="V875" s="1"/>
      <c r="W875" s="1"/>
      <c r="X875" s="1"/>
      <c r="Y875" s="1"/>
      <c r="Z875" s="1"/>
      <c r="AA875" s="1"/>
      <c r="AB875" s="1"/>
      <c r="AC875" s="1"/>
    </row>
    <row r="876" spans="1:29" ht="14.25" customHeight="1" x14ac:dyDescent="0.2">
      <c r="A876" s="1"/>
      <c r="B876" s="1"/>
      <c r="C876" s="1"/>
      <c r="D876" s="1"/>
      <c r="E876" s="1"/>
      <c r="F876" s="1"/>
      <c r="G876" s="1"/>
      <c r="H876" s="1"/>
      <c r="I876" s="1"/>
      <c r="J876" s="1"/>
      <c r="K876" s="1"/>
      <c r="L876" s="1"/>
      <c r="M876" s="5"/>
      <c r="N876" s="5"/>
      <c r="O876" s="5"/>
      <c r="P876" s="5"/>
      <c r="Q876" s="1"/>
      <c r="R876" s="1"/>
      <c r="S876" s="1"/>
      <c r="T876" s="1"/>
      <c r="U876" s="1"/>
      <c r="V876" s="1"/>
      <c r="W876" s="1"/>
      <c r="X876" s="1"/>
      <c r="Y876" s="1"/>
      <c r="Z876" s="1"/>
      <c r="AA876" s="1"/>
      <c r="AB876" s="1"/>
      <c r="AC876" s="1"/>
    </row>
    <row r="877" spans="1:29" ht="14.25" customHeight="1" x14ac:dyDescent="0.2">
      <c r="A877" s="1"/>
      <c r="B877" s="1"/>
      <c r="C877" s="1"/>
      <c r="D877" s="1"/>
      <c r="E877" s="1"/>
      <c r="F877" s="1"/>
      <c r="G877" s="1"/>
      <c r="H877" s="1"/>
      <c r="I877" s="1"/>
      <c r="J877" s="1"/>
      <c r="K877" s="1"/>
      <c r="L877" s="1"/>
      <c r="M877" s="5"/>
      <c r="N877" s="5"/>
      <c r="O877" s="5"/>
      <c r="P877" s="5"/>
      <c r="Q877" s="1"/>
      <c r="R877" s="1"/>
      <c r="S877" s="1"/>
      <c r="T877" s="1"/>
      <c r="U877" s="1"/>
      <c r="V877" s="1"/>
      <c r="W877" s="1"/>
      <c r="X877" s="1"/>
      <c r="Y877" s="1"/>
      <c r="Z877" s="1"/>
      <c r="AA877" s="1"/>
      <c r="AB877" s="1"/>
      <c r="AC877" s="1"/>
    </row>
    <row r="878" spans="1:29" ht="14.25" customHeight="1" x14ac:dyDescent="0.2">
      <c r="A878" s="1"/>
      <c r="B878" s="1"/>
      <c r="C878" s="1"/>
      <c r="D878" s="1"/>
      <c r="E878" s="1"/>
      <c r="F878" s="1"/>
      <c r="G878" s="1"/>
      <c r="H878" s="1"/>
      <c r="I878" s="1"/>
      <c r="J878" s="1"/>
      <c r="K878" s="1"/>
      <c r="L878" s="1"/>
      <c r="M878" s="5"/>
      <c r="N878" s="5"/>
      <c r="O878" s="5"/>
      <c r="P878" s="5"/>
      <c r="Q878" s="1"/>
      <c r="R878" s="1"/>
      <c r="S878" s="1"/>
      <c r="T878" s="1"/>
      <c r="U878" s="1"/>
      <c r="V878" s="1"/>
      <c r="W878" s="1"/>
      <c r="X878" s="1"/>
      <c r="Y878" s="1"/>
      <c r="Z878" s="1"/>
      <c r="AA878" s="1"/>
      <c r="AB878" s="1"/>
      <c r="AC878" s="1"/>
    </row>
    <row r="879" spans="1:29" ht="14.25" customHeight="1" x14ac:dyDescent="0.2">
      <c r="A879" s="1"/>
      <c r="B879" s="1"/>
      <c r="C879" s="1"/>
      <c r="D879" s="1"/>
      <c r="E879" s="1"/>
      <c r="F879" s="1"/>
      <c r="G879" s="1"/>
      <c r="H879" s="1"/>
      <c r="I879" s="1"/>
      <c r="J879" s="1"/>
      <c r="K879" s="1"/>
      <c r="L879" s="1"/>
      <c r="M879" s="5"/>
      <c r="N879" s="5"/>
      <c r="O879" s="5"/>
      <c r="P879" s="5"/>
      <c r="Q879" s="1"/>
      <c r="R879" s="1"/>
      <c r="S879" s="1"/>
      <c r="T879" s="1"/>
      <c r="U879" s="1"/>
      <c r="V879" s="1"/>
      <c r="W879" s="1"/>
      <c r="X879" s="1"/>
      <c r="Y879" s="1"/>
      <c r="Z879" s="1"/>
      <c r="AA879" s="1"/>
      <c r="AB879" s="1"/>
      <c r="AC879" s="1"/>
    </row>
    <row r="880" spans="1:29" ht="14.25" customHeight="1" x14ac:dyDescent="0.2">
      <c r="A880" s="1"/>
      <c r="B880" s="1"/>
      <c r="C880" s="1"/>
      <c r="D880" s="1"/>
      <c r="E880" s="1"/>
      <c r="F880" s="1"/>
      <c r="G880" s="1"/>
      <c r="H880" s="1"/>
      <c r="I880" s="1"/>
      <c r="J880" s="1"/>
      <c r="K880" s="1"/>
      <c r="L880" s="1"/>
      <c r="M880" s="5"/>
      <c r="N880" s="5"/>
      <c r="O880" s="5"/>
      <c r="P880" s="5"/>
      <c r="Q880" s="1"/>
      <c r="R880" s="1"/>
      <c r="S880" s="1"/>
      <c r="T880" s="1"/>
      <c r="U880" s="1"/>
      <c r="V880" s="1"/>
      <c r="W880" s="1"/>
      <c r="X880" s="1"/>
      <c r="Y880" s="1"/>
      <c r="Z880" s="1"/>
      <c r="AA880" s="1"/>
      <c r="AB880" s="1"/>
      <c r="AC880" s="1"/>
    </row>
    <row r="881" spans="1:29" ht="14.25" customHeight="1" x14ac:dyDescent="0.2">
      <c r="A881" s="1"/>
      <c r="B881" s="1"/>
      <c r="C881" s="1"/>
      <c r="D881" s="1"/>
      <c r="E881" s="1"/>
      <c r="F881" s="1"/>
      <c r="G881" s="1"/>
      <c r="H881" s="1"/>
      <c r="I881" s="1"/>
      <c r="J881" s="1"/>
      <c r="K881" s="1"/>
      <c r="L881" s="1"/>
      <c r="M881" s="5"/>
      <c r="N881" s="5"/>
      <c r="O881" s="5"/>
      <c r="P881" s="5"/>
      <c r="Q881" s="1"/>
      <c r="R881" s="1"/>
      <c r="S881" s="1"/>
      <c r="T881" s="1"/>
      <c r="U881" s="1"/>
      <c r="V881" s="1"/>
      <c r="W881" s="1"/>
      <c r="X881" s="1"/>
      <c r="Y881" s="1"/>
      <c r="Z881" s="1"/>
      <c r="AA881" s="1"/>
      <c r="AB881" s="1"/>
      <c r="AC881" s="1"/>
    </row>
    <row r="882" spans="1:29" ht="14.25" customHeight="1" x14ac:dyDescent="0.2">
      <c r="A882" s="1"/>
      <c r="B882" s="1"/>
      <c r="C882" s="1"/>
      <c r="D882" s="1"/>
      <c r="E882" s="1"/>
      <c r="F882" s="1"/>
      <c r="G882" s="1"/>
      <c r="H882" s="1"/>
      <c r="I882" s="1"/>
      <c r="J882" s="1"/>
      <c r="K882" s="1"/>
      <c r="L882" s="1"/>
      <c r="M882" s="5"/>
      <c r="N882" s="5"/>
      <c r="O882" s="5"/>
      <c r="P882" s="5"/>
      <c r="Q882" s="1"/>
      <c r="R882" s="1"/>
      <c r="S882" s="1"/>
      <c r="T882" s="1"/>
      <c r="U882" s="1"/>
      <c r="V882" s="1"/>
      <c r="W882" s="1"/>
      <c r="X882" s="1"/>
      <c r="Y882" s="1"/>
      <c r="Z882" s="1"/>
      <c r="AA882" s="1"/>
      <c r="AB882" s="1"/>
      <c r="AC882" s="1"/>
    </row>
    <row r="883" spans="1:29" ht="14.25" customHeight="1" x14ac:dyDescent="0.2">
      <c r="A883" s="1"/>
      <c r="B883" s="1"/>
      <c r="C883" s="1"/>
      <c r="D883" s="1"/>
      <c r="E883" s="1"/>
      <c r="F883" s="1"/>
      <c r="G883" s="1"/>
      <c r="H883" s="1"/>
      <c r="I883" s="1"/>
      <c r="J883" s="1"/>
      <c r="K883" s="1"/>
      <c r="L883" s="1"/>
      <c r="M883" s="5"/>
      <c r="N883" s="5"/>
      <c r="O883" s="5"/>
      <c r="P883" s="5"/>
      <c r="Q883" s="1"/>
      <c r="R883" s="1"/>
      <c r="S883" s="1"/>
      <c r="T883" s="1"/>
      <c r="U883" s="1"/>
      <c r="V883" s="1"/>
      <c r="W883" s="1"/>
      <c r="X883" s="1"/>
      <c r="Y883" s="1"/>
      <c r="Z883" s="1"/>
      <c r="AA883" s="1"/>
      <c r="AB883" s="1"/>
      <c r="AC883" s="1"/>
    </row>
    <row r="884" spans="1:29" ht="14.25" customHeight="1" x14ac:dyDescent="0.2">
      <c r="A884" s="1"/>
      <c r="B884" s="1"/>
      <c r="C884" s="1"/>
      <c r="D884" s="1"/>
      <c r="E884" s="1"/>
      <c r="F884" s="1"/>
      <c r="G884" s="1"/>
      <c r="H884" s="1"/>
      <c r="I884" s="1"/>
      <c r="J884" s="1"/>
      <c r="K884" s="1"/>
      <c r="L884" s="1"/>
      <c r="M884" s="5"/>
      <c r="N884" s="5"/>
      <c r="O884" s="5"/>
      <c r="P884" s="5"/>
      <c r="Q884" s="1"/>
      <c r="R884" s="1"/>
      <c r="S884" s="1"/>
      <c r="T884" s="1"/>
      <c r="U884" s="1"/>
      <c r="V884" s="1"/>
      <c r="W884" s="1"/>
      <c r="X884" s="1"/>
      <c r="Y884" s="1"/>
      <c r="Z884" s="1"/>
      <c r="AA884" s="1"/>
      <c r="AB884" s="1"/>
      <c r="AC884" s="1"/>
    </row>
    <row r="885" spans="1:29" ht="14.25" customHeight="1" x14ac:dyDescent="0.2">
      <c r="A885" s="1"/>
      <c r="B885" s="1"/>
      <c r="C885" s="1"/>
      <c r="D885" s="1"/>
      <c r="E885" s="1"/>
      <c r="F885" s="1"/>
      <c r="G885" s="1"/>
      <c r="H885" s="1"/>
      <c r="I885" s="1"/>
      <c r="J885" s="1"/>
      <c r="K885" s="1"/>
      <c r="L885" s="1"/>
      <c r="M885" s="5"/>
      <c r="N885" s="5"/>
      <c r="O885" s="5"/>
      <c r="P885" s="5"/>
      <c r="Q885" s="1"/>
      <c r="R885" s="1"/>
      <c r="S885" s="1"/>
      <c r="T885" s="1"/>
      <c r="U885" s="1"/>
      <c r="V885" s="1"/>
      <c r="W885" s="1"/>
      <c r="X885" s="1"/>
      <c r="Y885" s="1"/>
      <c r="Z885" s="1"/>
      <c r="AA885" s="1"/>
      <c r="AB885" s="1"/>
      <c r="AC885" s="1"/>
    </row>
    <row r="886" spans="1:29" ht="14.25" customHeight="1" x14ac:dyDescent="0.2">
      <c r="A886" s="1"/>
      <c r="B886" s="1"/>
      <c r="C886" s="1"/>
      <c r="D886" s="1"/>
      <c r="E886" s="1"/>
      <c r="F886" s="1"/>
      <c r="G886" s="1"/>
      <c r="H886" s="1"/>
      <c r="I886" s="1"/>
      <c r="J886" s="1"/>
      <c r="K886" s="1"/>
      <c r="L886" s="1"/>
      <c r="M886" s="5"/>
      <c r="N886" s="5"/>
      <c r="O886" s="5"/>
      <c r="P886" s="5"/>
      <c r="Q886" s="1"/>
      <c r="R886" s="1"/>
      <c r="S886" s="1"/>
      <c r="T886" s="1"/>
      <c r="U886" s="1"/>
      <c r="V886" s="1"/>
      <c r="W886" s="1"/>
      <c r="X886" s="1"/>
      <c r="Y886" s="1"/>
      <c r="Z886" s="1"/>
      <c r="AA886" s="1"/>
      <c r="AB886" s="1"/>
      <c r="AC886" s="1"/>
    </row>
    <row r="887" spans="1:29" ht="14.25" customHeight="1" x14ac:dyDescent="0.2">
      <c r="A887" s="1"/>
      <c r="B887" s="1"/>
      <c r="C887" s="1"/>
      <c r="D887" s="1"/>
      <c r="E887" s="1"/>
      <c r="F887" s="1"/>
      <c r="G887" s="1"/>
      <c r="H887" s="1"/>
      <c r="I887" s="1"/>
      <c r="J887" s="1"/>
      <c r="K887" s="1"/>
      <c r="L887" s="1"/>
      <c r="M887" s="5"/>
      <c r="N887" s="5"/>
      <c r="O887" s="5"/>
      <c r="P887" s="5"/>
      <c r="Q887" s="1"/>
      <c r="R887" s="1"/>
      <c r="S887" s="1"/>
      <c r="T887" s="1"/>
      <c r="U887" s="1"/>
      <c r="V887" s="1"/>
      <c r="W887" s="1"/>
      <c r="X887" s="1"/>
      <c r="Y887" s="1"/>
      <c r="Z887" s="1"/>
      <c r="AA887" s="1"/>
      <c r="AB887" s="1"/>
      <c r="AC887" s="1"/>
    </row>
    <row r="888" spans="1:29" ht="14.25" customHeight="1" x14ac:dyDescent="0.2">
      <c r="A888" s="1"/>
      <c r="B888" s="1"/>
      <c r="C888" s="1"/>
      <c r="D888" s="1"/>
      <c r="E888" s="1"/>
      <c r="F888" s="1"/>
      <c r="G888" s="1"/>
      <c r="H888" s="1"/>
      <c r="I888" s="1"/>
      <c r="J888" s="1"/>
      <c r="K888" s="1"/>
      <c r="L888" s="1"/>
      <c r="M888" s="5"/>
      <c r="N888" s="5"/>
      <c r="O888" s="5"/>
      <c r="P888" s="5"/>
      <c r="Q888" s="1"/>
      <c r="R888" s="1"/>
      <c r="S888" s="1"/>
      <c r="T888" s="1"/>
      <c r="U888" s="1"/>
      <c r="V888" s="1"/>
      <c r="W888" s="1"/>
      <c r="X888" s="1"/>
      <c r="Y888" s="1"/>
      <c r="Z888" s="1"/>
      <c r="AA888" s="1"/>
      <c r="AB888" s="1"/>
      <c r="AC888" s="1"/>
    </row>
    <row r="889" spans="1:29" ht="14.25" customHeight="1" x14ac:dyDescent="0.2">
      <c r="A889" s="1"/>
      <c r="B889" s="1"/>
      <c r="C889" s="1"/>
      <c r="D889" s="1"/>
      <c r="E889" s="1"/>
      <c r="F889" s="1"/>
      <c r="G889" s="1"/>
      <c r="H889" s="1"/>
      <c r="I889" s="1"/>
      <c r="J889" s="1"/>
      <c r="K889" s="1"/>
      <c r="L889" s="1"/>
      <c r="M889" s="5"/>
      <c r="N889" s="5"/>
      <c r="O889" s="5"/>
      <c r="P889" s="5"/>
      <c r="Q889" s="1"/>
      <c r="R889" s="1"/>
      <c r="S889" s="1"/>
      <c r="T889" s="1"/>
      <c r="U889" s="1"/>
      <c r="V889" s="1"/>
      <c r="W889" s="1"/>
      <c r="X889" s="1"/>
      <c r="Y889" s="1"/>
      <c r="Z889" s="1"/>
      <c r="AA889" s="1"/>
      <c r="AB889" s="1"/>
      <c r="AC889" s="1"/>
    </row>
    <row r="890" spans="1:29" ht="14.25" customHeight="1" x14ac:dyDescent="0.2">
      <c r="A890" s="1"/>
      <c r="B890" s="1"/>
      <c r="C890" s="1"/>
      <c r="D890" s="1"/>
      <c r="E890" s="1"/>
      <c r="F890" s="1"/>
      <c r="G890" s="1"/>
      <c r="H890" s="1"/>
      <c r="I890" s="1"/>
      <c r="J890" s="1"/>
      <c r="K890" s="1"/>
      <c r="L890" s="1"/>
      <c r="M890" s="5"/>
      <c r="N890" s="5"/>
      <c r="O890" s="5"/>
      <c r="P890" s="5"/>
      <c r="Q890" s="1"/>
      <c r="R890" s="1"/>
      <c r="S890" s="1"/>
      <c r="T890" s="1"/>
      <c r="U890" s="1"/>
      <c r="V890" s="1"/>
      <c r="W890" s="1"/>
      <c r="X890" s="1"/>
      <c r="Y890" s="1"/>
      <c r="Z890" s="1"/>
      <c r="AA890" s="1"/>
      <c r="AB890" s="1"/>
      <c r="AC890" s="1"/>
    </row>
    <row r="891" spans="1:29" ht="14.25" customHeight="1" x14ac:dyDescent="0.2">
      <c r="A891" s="1"/>
      <c r="B891" s="1"/>
      <c r="C891" s="1"/>
      <c r="D891" s="1"/>
      <c r="E891" s="1"/>
      <c r="F891" s="1"/>
      <c r="G891" s="1"/>
      <c r="H891" s="1"/>
      <c r="I891" s="1"/>
      <c r="J891" s="1"/>
      <c r="K891" s="1"/>
      <c r="L891" s="1"/>
      <c r="M891" s="5"/>
      <c r="N891" s="5"/>
      <c r="O891" s="5"/>
      <c r="P891" s="5"/>
      <c r="Q891" s="1"/>
      <c r="R891" s="1"/>
      <c r="S891" s="1"/>
      <c r="T891" s="1"/>
      <c r="U891" s="1"/>
      <c r="V891" s="1"/>
      <c r="W891" s="1"/>
      <c r="X891" s="1"/>
      <c r="Y891" s="1"/>
      <c r="Z891" s="1"/>
      <c r="AA891" s="1"/>
      <c r="AB891" s="1"/>
      <c r="AC891" s="1"/>
    </row>
    <row r="892" spans="1:29" ht="14.25" customHeight="1" x14ac:dyDescent="0.2">
      <c r="A892" s="1"/>
      <c r="B892" s="1"/>
      <c r="C892" s="1"/>
      <c r="D892" s="1"/>
      <c r="E892" s="1"/>
      <c r="F892" s="1"/>
      <c r="G892" s="1"/>
      <c r="H892" s="1"/>
      <c r="I892" s="1"/>
      <c r="J892" s="1"/>
      <c r="K892" s="1"/>
      <c r="L892" s="1"/>
      <c r="M892" s="5"/>
      <c r="N892" s="5"/>
      <c r="O892" s="5"/>
      <c r="P892" s="5"/>
      <c r="Q892" s="1"/>
      <c r="R892" s="1"/>
      <c r="S892" s="1"/>
      <c r="T892" s="1"/>
      <c r="U892" s="1"/>
      <c r="V892" s="1"/>
      <c r="W892" s="1"/>
      <c r="X892" s="1"/>
      <c r="Y892" s="1"/>
      <c r="Z892" s="1"/>
      <c r="AA892" s="1"/>
      <c r="AB892" s="1"/>
      <c r="AC892" s="1"/>
    </row>
    <row r="893" spans="1:29" ht="14.25" customHeight="1" x14ac:dyDescent="0.2">
      <c r="A893" s="1"/>
      <c r="B893" s="1"/>
      <c r="C893" s="1"/>
      <c r="D893" s="1"/>
      <c r="E893" s="1"/>
      <c r="F893" s="1"/>
      <c r="G893" s="1"/>
      <c r="H893" s="1"/>
      <c r="I893" s="1"/>
      <c r="J893" s="1"/>
      <c r="K893" s="1"/>
      <c r="L893" s="1"/>
      <c r="M893" s="5"/>
      <c r="N893" s="5"/>
      <c r="O893" s="5"/>
      <c r="P893" s="5"/>
      <c r="Q893" s="1"/>
      <c r="R893" s="1"/>
      <c r="S893" s="1"/>
      <c r="T893" s="1"/>
      <c r="U893" s="1"/>
      <c r="V893" s="1"/>
      <c r="W893" s="1"/>
      <c r="X893" s="1"/>
      <c r="Y893" s="1"/>
      <c r="Z893" s="1"/>
      <c r="AA893" s="1"/>
      <c r="AB893" s="1"/>
      <c r="AC893" s="1"/>
    </row>
    <row r="894" spans="1:29" ht="14.25" customHeight="1" x14ac:dyDescent="0.2">
      <c r="A894" s="1"/>
      <c r="B894" s="1"/>
      <c r="C894" s="1"/>
      <c r="D894" s="1"/>
      <c r="E894" s="1"/>
      <c r="F894" s="1"/>
      <c r="G894" s="1"/>
      <c r="H894" s="1"/>
      <c r="I894" s="1"/>
      <c r="J894" s="1"/>
      <c r="K894" s="1"/>
      <c r="L894" s="1"/>
      <c r="M894" s="5"/>
      <c r="N894" s="5"/>
      <c r="O894" s="5"/>
      <c r="P894" s="5"/>
      <c r="Q894" s="1"/>
      <c r="R894" s="1"/>
      <c r="S894" s="1"/>
      <c r="T894" s="1"/>
      <c r="U894" s="1"/>
      <c r="V894" s="1"/>
      <c r="W894" s="1"/>
      <c r="X894" s="1"/>
      <c r="Y894" s="1"/>
      <c r="Z894" s="1"/>
      <c r="AA894" s="1"/>
      <c r="AB894" s="1"/>
      <c r="AC894" s="1"/>
    </row>
    <row r="895" spans="1:29" ht="14.25" customHeight="1" x14ac:dyDescent="0.2">
      <c r="A895" s="1"/>
      <c r="B895" s="1"/>
      <c r="C895" s="1"/>
      <c r="D895" s="1"/>
      <c r="E895" s="1"/>
      <c r="F895" s="1"/>
      <c r="G895" s="1"/>
      <c r="H895" s="1"/>
      <c r="I895" s="1"/>
      <c r="J895" s="1"/>
      <c r="K895" s="1"/>
      <c r="L895" s="1"/>
      <c r="M895" s="5"/>
      <c r="N895" s="5"/>
      <c r="O895" s="5"/>
      <c r="P895" s="5"/>
      <c r="Q895" s="1"/>
      <c r="R895" s="1"/>
      <c r="S895" s="1"/>
      <c r="T895" s="1"/>
      <c r="U895" s="1"/>
      <c r="V895" s="1"/>
      <c r="W895" s="1"/>
      <c r="X895" s="1"/>
      <c r="Y895" s="1"/>
      <c r="Z895" s="1"/>
      <c r="AA895" s="1"/>
      <c r="AB895" s="1"/>
      <c r="AC895" s="1"/>
    </row>
    <row r="896" spans="1:29" ht="14.25" customHeight="1" x14ac:dyDescent="0.2">
      <c r="A896" s="1"/>
      <c r="B896" s="1"/>
      <c r="C896" s="1"/>
      <c r="D896" s="1"/>
      <c r="E896" s="1"/>
      <c r="F896" s="1"/>
      <c r="G896" s="1"/>
      <c r="H896" s="1"/>
      <c r="I896" s="1"/>
      <c r="J896" s="1"/>
      <c r="K896" s="1"/>
      <c r="L896" s="1"/>
      <c r="M896" s="5"/>
      <c r="N896" s="5"/>
      <c r="O896" s="5"/>
      <c r="P896" s="5"/>
      <c r="Q896" s="1"/>
      <c r="R896" s="1"/>
      <c r="S896" s="1"/>
      <c r="T896" s="1"/>
      <c r="U896" s="1"/>
      <c r="V896" s="1"/>
      <c r="W896" s="1"/>
      <c r="X896" s="1"/>
      <c r="Y896" s="1"/>
      <c r="Z896" s="1"/>
      <c r="AA896" s="1"/>
      <c r="AB896" s="1"/>
      <c r="AC896" s="1"/>
    </row>
    <row r="897" spans="1:29" ht="14.25" customHeight="1" x14ac:dyDescent="0.2">
      <c r="A897" s="1"/>
      <c r="B897" s="1"/>
      <c r="C897" s="1"/>
      <c r="D897" s="1"/>
      <c r="E897" s="1"/>
      <c r="F897" s="1"/>
      <c r="G897" s="1"/>
      <c r="H897" s="1"/>
      <c r="I897" s="1"/>
      <c r="J897" s="1"/>
      <c r="K897" s="1"/>
      <c r="L897" s="1"/>
      <c r="M897" s="5"/>
      <c r="N897" s="5"/>
      <c r="O897" s="5"/>
      <c r="P897" s="5"/>
      <c r="Q897" s="1"/>
      <c r="R897" s="1"/>
      <c r="S897" s="1"/>
      <c r="T897" s="1"/>
      <c r="U897" s="1"/>
      <c r="V897" s="1"/>
      <c r="W897" s="1"/>
      <c r="X897" s="1"/>
      <c r="Y897" s="1"/>
      <c r="Z897" s="1"/>
      <c r="AA897" s="1"/>
      <c r="AB897" s="1"/>
      <c r="AC897" s="1"/>
    </row>
    <row r="898" spans="1:29" ht="14.25" customHeight="1" x14ac:dyDescent="0.2">
      <c r="A898" s="1"/>
      <c r="B898" s="1"/>
      <c r="C898" s="1"/>
      <c r="D898" s="1"/>
      <c r="E898" s="1"/>
      <c r="F898" s="1"/>
      <c r="G898" s="1"/>
      <c r="H898" s="1"/>
      <c r="I898" s="1"/>
      <c r="J898" s="1"/>
      <c r="K898" s="1"/>
      <c r="L898" s="1"/>
      <c r="M898" s="5"/>
      <c r="N898" s="5"/>
      <c r="O898" s="5"/>
      <c r="P898" s="5"/>
      <c r="Q898" s="1"/>
      <c r="R898" s="1"/>
      <c r="S898" s="1"/>
      <c r="T898" s="1"/>
      <c r="U898" s="1"/>
      <c r="V898" s="1"/>
      <c r="W898" s="1"/>
      <c r="X898" s="1"/>
      <c r="Y898" s="1"/>
      <c r="Z898" s="1"/>
      <c r="AA898" s="1"/>
      <c r="AB898" s="1"/>
      <c r="AC898" s="1"/>
    </row>
    <row r="899" spans="1:29" ht="14.25" customHeight="1" x14ac:dyDescent="0.2">
      <c r="A899" s="1"/>
      <c r="B899" s="1"/>
      <c r="C899" s="1"/>
      <c r="D899" s="1"/>
      <c r="E899" s="1"/>
      <c r="F899" s="1"/>
      <c r="G899" s="1"/>
      <c r="H899" s="1"/>
      <c r="I899" s="1"/>
      <c r="J899" s="1"/>
      <c r="K899" s="1"/>
      <c r="L899" s="1"/>
      <c r="M899" s="5"/>
      <c r="N899" s="5"/>
      <c r="O899" s="5"/>
      <c r="P899" s="5"/>
      <c r="Q899" s="1"/>
      <c r="R899" s="1"/>
      <c r="S899" s="1"/>
      <c r="T899" s="1"/>
      <c r="U899" s="1"/>
      <c r="V899" s="1"/>
      <c r="W899" s="1"/>
      <c r="X899" s="1"/>
      <c r="Y899" s="1"/>
      <c r="Z899" s="1"/>
      <c r="AA899" s="1"/>
      <c r="AB899" s="1"/>
      <c r="AC899" s="1"/>
    </row>
    <row r="900" spans="1:29" ht="14.25" customHeight="1" x14ac:dyDescent="0.2">
      <c r="A900" s="1"/>
      <c r="B900" s="1"/>
      <c r="C900" s="1"/>
      <c r="D900" s="1"/>
      <c r="E900" s="1"/>
      <c r="F900" s="1"/>
      <c r="G900" s="1"/>
      <c r="H900" s="1"/>
      <c r="I900" s="1"/>
      <c r="J900" s="1"/>
      <c r="K900" s="1"/>
      <c r="L900" s="1"/>
      <c r="M900" s="5"/>
      <c r="N900" s="5"/>
      <c r="O900" s="5"/>
      <c r="P900" s="5"/>
      <c r="Q900" s="1"/>
      <c r="R900" s="1"/>
      <c r="S900" s="1"/>
      <c r="T900" s="1"/>
      <c r="U900" s="1"/>
      <c r="V900" s="1"/>
      <c r="W900" s="1"/>
      <c r="X900" s="1"/>
      <c r="Y900" s="1"/>
      <c r="Z900" s="1"/>
      <c r="AA900" s="1"/>
      <c r="AB900" s="1"/>
      <c r="AC900" s="1"/>
    </row>
    <row r="901" spans="1:29" ht="14.25" customHeight="1" x14ac:dyDescent="0.2">
      <c r="A901" s="1"/>
      <c r="B901" s="1"/>
      <c r="C901" s="1"/>
      <c r="D901" s="1"/>
      <c r="E901" s="1"/>
      <c r="F901" s="1"/>
      <c r="G901" s="1"/>
      <c r="H901" s="1"/>
      <c r="I901" s="1"/>
      <c r="J901" s="1"/>
      <c r="K901" s="1"/>
      <c r="L901" s="1"/>
      <c r="M901" s="5"/>
      <c r="N901" s="5"/>
      <c r="O901" s="5"/>
      <c r="P901" s="5"/>
      <c r="Q901" s="1"/>
      <c r="R901" s="1"/>
      <c r="S901" s="1"/>
      <c r="T901" s="1"/>
      <c r="U901" s="1"/>
      <c r="V901" s="1"/>
      <c r="W901" s="1"/>
      <c r="X901" s="1"/>
      <c r="Y901" s="1"/>
      <c r="Z901" s="1"/>
      <c r="AA901" s="1"/>
      <c r="AB901" s="1"/>
      <c r="AC901" s="1"/>
    </row>
    <row r="902" spans="1:29" ht="14.25" customHeight="1" x14ac:dyDescent="0.2">
      <c r="A902" s="1"/>
      <c r="B902" s="1"/>
      <c r="C902" s="1"/>
      <c r="D902" s="1"/>
      <c r="E902" s="1"/>
      <c r="F902" s="1"/>
      <c r="G902" s="1"/>
      <c r="H902" s="1"/>
      <c r="I902" s="1"/>
      <c r="J902" s="1"/>
      <c r="K902" s="1"/>
      <c r="L902" s="1"/>
      <c r="M902" s="5"/>
      <c r="N902" s="5"/>
      <c r="O902" s="5"/>
      <c r="P902" s="5"/>
      <c r="Q902" s="1"/>
      <c r="R902" s="1"/>
      <c r="S902" s="1"/>
      <c r="T902" s="1"/>
      <c r="U902" s="1"/>
      <c r="V902" s="1"/>
      <c r="W902" s="1"/>
      <c r="X902" s="1"/>
      <c r="Y902" s="1"/>
      <c r="Z902" s="1"/>
      <c r="AA902" s="1"/>
      <c r="AB902" s="1"/>
      <c r="AC902" s="1"/>
    </row>
    <row r="903" spans="1:29" ht="14.25" customHeight="1" x14ac:dyDescent="0.2">
      <c r="A903" s="1"/>
      <c r="B903" s="1"/>
      <c r="C903" s="1"/>
      <c r="D903" s="1"/>
      <c r="E903" s="1"/>
      <c r="F903" s="1"/>
      <c r="G903" s="1"/>
      <c r="H903" s="1"/>
      <c r="I903" s="1"/>
      <c r="J903" s="1"/>
      <c r="K903" s="1"/>
      <c r="L903" s="1"/>
      <c r="M903" s="5"/>
      <c r="N903" s="5"/>
      <c r="O903" s="5"/>
      <c r="P903" s="5"/>
      <c r="Q903" s="1"/>
      <c r="R903" s="1"/>
      <c r="S903" s="1"/>
      <c r="T903" s="1"/>
      <c r="U903" s="1"/>
      <c r="V903" s="1"/>
      <c r="W903" s="1"/>
      <c r="X903" s="1"/>
      <c r="Y903" s="1"/>
      <c r="Z903" s="1"/>
      <c r="AA903" s="1"/>
      <c r="AB903" s="1"/>
      <c r="AC903" s="1"/>
    </row>
    <row r="904" spans="1:29" ht="14.25" customHeight="1" x14ac:dyDescent="0.2">
      <c r="A904" s="1"/>
      <c r="B904" s="1"/>
      <c r="C904" s="1"/>
      <c r="D904" s="1"/>
      <c r="E904" s="1"/>
      <c r="F904" s="1"/>
      <c r="G904" s="1"/>
      <c r="H904" s="1"/>
      <c r="I904" s="1"/>
      <c r="J904" s="1"/>
      <c r="K904" s="1"/>
      <c r="L904" s="1"/>
      <c r="M904" s="5"/>
      <c r="N904" s="5"/>
      <c r="O904" s="5"/>
      <c r="P904" s="5"/>
      <c r="Q904" s="1"/>
      <c r="R904" s="1"/>
      <c r="S904" s="1"/>
      <c r="T904" s="1"/>
      <c r="U904" s="1"/>
      <c r="V904" s="1"/>
      <c r="W904" s="1"/>
      <c r="X904" s="1"/>
      <c r="Y904" s="1"/>
      <c r="Z904" s="1"/>
      <c r="AA904" s="1"/>
      <c r="AB904" s="1"/>
      <c r="AC904" s="1"/>
    </row>
    <row r="905" spans="1:29" ht="14.25" customHeight="1" x14ac:dyDescent="0.2">
      <c r="A905" s="1"/>
      <c r="B905" s="1"/>
      <c r="C905" s="1"/>
      <c r="D905" s="1"/>
      <c r="E905" s="1"/>
      <c r="F905" s="1"/>
      <c r="G905" s="1"/>
      <c r="H905" s="1"/>
      <c r="I905" s="1"/>
      <c r="J905" s="1"/>
      <c r="K905" s="1"/>
      <c r="L905" s="1"/>
      <c r="M905" s="5"/>
      <c r="N905" s="5"/>
      <c r="O905" s="5"/>
      <c r="P905" s="5"/>
      <c r="Q905" s="1"/>
      <c r="R905" s="1"/>
      <c r="S905" s="1"/>
      <c r="T905" s="1"/>
      <c r="U905" s="1"/>
      <c r="V905" s="1"/>
      <c r="W905" s="1"/>
      <c r="X905" s="1"/>
      <c r="Y905" s="1"/>
      <c r="Z905" s="1"/>
      <c r="AA905" s="1"/>
      <c r="AB905" s="1"/>
      <c r="AC905" s="1"/>
    </row>
    <row r="906" spans="1:29" ht="14.25" customHeight="1" x14ac:dyDescent="0.2">
      <c r="A906" s="1"/>
      <c r="B906" s="1"/>
      <c r="C906" s="1"/>
      <c r="D906" s="1"/>
      <c r="E906" s="1"/>
      <c r="F906" s="1"/>
      <c r="G906" s="1"/>
      <c r="H906" s="1"/>
      <c r="I906" s="1"/>
      <c r="J906" s="1"/>
      <c r="K906" s="1"/>
      <c r="L906" s="1"/>
      <c r="M906" s="5"/>
      <c r="N906" s="5"/>
      <c r="O906" s="5"/>
      <c r="P906" s="5"/>
      <c r="Q906" s="1"/>
      <c r="R906" s="1"/>
      <c r="S906" s="1"/>
      <c r="T906" s="1"/>
      <c r="U906" s="1"/>
      <c r="V906" s="1"/>
      <c r="W906" s="1"/>
      <c r="X906" s="1"/>
      <c r="Y906" s="1"/>
      <c r="Z906" s="1"/>
      <c r="AA906" s="1"/>
      <c r="AB906" s="1"/>
      <c r="AC906" s="1"/>
    </row>
    <row r="907" spans="1:29" ht="14.25" customHeight="1" x14ac:dyDescent="0.2">
      <c r="A907" s="1"/>
      <c r="B907" s="1"/>
      <c r="C907" s="1"/>
      <c r="D907" s="1"/>
      <c r="E907" s="1"/>
      <c r="F907" s="1"/>
      <c r="G907" s="1"/>
      <c r="H907" s="1"/>
      <c r="I907" s="1"/>
      <c r="J907" s="1"/>
      <c r="K907" s="1"/>
      <c r="L907" s="1"/>
      <c r="M907" s="5"/>
      <c r="N907" s="5"/>
      <c r="O907" s="5"/>
      <c r="P907" s="5"/>
      <c r="Q907" s="1"/>
      <c r="R907" s="1"/>
      <c r="S907" s="1"/>
      <c r="T907" s="1"/>
      <c r="U907" s="1"/>
      <c r="V907" s="1"/>
      <c r="W907" s="1"/>
      <c r="X907" s="1"/>
      <c r="Y907" s="1"/>
      <c r="Z907" s="1"/>
      <c r="AA907" s="1"/>
      <c r="AB907" s="1"/>
      <c r="AC907" s="1"/>
    </row>
    <row r="908" spans="1:29" ht="14.25" customHeight="1" x14ac:dyDescent="0.2">
      <c r="A908" s="1"/>
      <c r="B908" s="1"/>
      <c r="C908" s="1"/>
      <c r="D908" s="1"/>
      <c r="E908" s="1"/>
      <c r="F908" s="1"/>
      <c r="G908" s="1"/>
      <c r="H908" s="1"/>
      <c r="I908" s="1"/>
      <c r="J908" s="1"/>
      <c r="K908" s="1"/>
      <c r="L908" s="1"/>
      <c r="M908" s="5"/>
      <c r="N908" s="5"/>
      <c r="O908" s="5"/>
      <c r="P908" s="5"/>
      <c r="Q908" s="1"/>
      <c r="R908" s="1"/>
      <c r="S908" s="1"/>
      <c r="T908" s="1"/>
      <c r="U908" s="1"/>
      <c r="V908" s="1"/>
      <c r="W908" s="1"/>
      <c r="X908" s="1"/>
      <c r="Y908" s="1"/>
      <c r="Z908" s="1"/>
      <c r="AA908" s="1"/>
      <c r="AB908" s="1"/>
      <c r="AC908" s="1"/>
    </row>
    <row r="909" spans="1:29" ht="14.25" customHeight="1" x14ac:dyDescent="0.2">
      <c r="A909" s="1"/>
      <c r="B909" s="1"/>
      <c r="C909" s="1"/>
      <c r="D909" s="1"/>
      <c r="E909" s="1"/>
      <c r="F909" s="1"/>
      <c r="G909" s="1"/>
      <c r="H909" s="1"/>
      <c r="I909" s="1"/>
      <c r="J909" s="1"/>
      <c r="K909" s="1"/>
      <c r="L909" s="1"/>
      <c r="M909" s="5"/>
      <c r="N909" s="5"/>
      <c r="O909" s="5"/>
      <c r="P909" s="5"/>
      <c r="Q909" s="1"/>
      <c r="R909" s="1"/>
      <c r="S909" s="1"/>
      <c r="T909" s="1"/>
      <c r="U909" s="1"/>
      <c r="V909" s="1"/>
      <c r="W909" s="1"/>
      <c r="X909" s="1"/>
      <c r="Y909" s="1"/>
      <c r="Z909" s="1"/>
      <c r="AA909" s="1"/>
      <c r="AB909" s="1"/>
      <c r="AC909" s="1"/>
    </row>
    <row r="910" spans="1:29" ht="14.25" customHeight="1" x14ac:dyDescent="0.2">
      <c r="A910" s="1"/>
      <c r="B910" s="1"/>
      <c r="C910" s="1"/>
      <c r="D910" s="1"/>
      <c r="E910" s="1"/>
      <c r="F910" s="1"/>
      <c r="G910" s="1"/>
      <c r="H910" s="1"/>
      <c r="I910" s="1"/>
      <c r="J910" s="1"/>
      <c r="K910" s="1"/>
      <c r="L910" s="1"/>
      <c r="M910" s="5"/>
      <c r="N910" s="5"/>
      <c r="O910" s="5"/>
      <c r="P910" s="5"/>
      <c r="Q910" s="1"/>
      <c r="R910" s="1"/>
      <c r="S910" s="1"/>
      <c r="T910" s="1"/>
      <c r="U910" s="1"/>
      <c r="V910" s="1"/>
      <c r="W910" s="1"/>
      <c r="X910" s="1"/>
      <c r="Y910" s="1"/>
      <c r="Z910" s="1"/>
      <c r="AA910" s="1"/>
      <c r="AB910" s="1"/>
      <c r="AC910" s="1"/>
    </row>
    <row r="911" spans="1:29" ht="14.25" customHeight="1" x14ac:dyDescent="0.2">
      <c r="A911" s="1"/>
      <c r="B911" s="1"/>
      <c r="C911" s="1"/>
      <c r="D911" s="1"/>
      <c r="E911" s="1"/>
      <c r="F911" s="1"/>
      <c r="G911" s="1"/>
      <c r="H911" s="1"/>
      <c r="I911" s="1"/>
      <c r="J911" s="1"/>
      <c r="K911" s="1"/>
      <c r="L911" s="1"/>
      <c r="M911" s="5"/>
      <c r="N911" s="5"/>
      <c r="O911" s="5"/>
      <c r="P911" s="5"/>
      <c r="Q911" s="1"/>
      <c r="R911" s="1"/>
      <c r="S911" s="1"/>
      <c r="T911" s="1"/>
      <c r="U911" s="1"/>
      <c r="V911" s="1"/>
      <c r="W911" s="1"/>
      <c r="X911" s="1"/>
      <c r="Y911" s="1"/>
      <c r="Z911" s="1"/>
      <c r="AA911" s="1"/>
      <c r="AB911" s="1"/>
      <c r="AC911" s="1"/>
    </row>
    <row r="912" spans="1:29" ht="14.25" customHeight="1" x14ac:dyDescent="0.2">
      <c r="A912" s="1"/>
      <c r="B912" s="1"/>
      <c r="C912" s="1"/>
      <c r="D912" s="1"/>
      <c r="E912" s="1"/>
      <c r="F912" s="1"/>
      <c r="G912" s="1"/>
      <c r="H912" s="1"/>
      <c r="I912" s="1"/>
      <c r="J912" s="1"/>
      <c r="K912" s="1"/>
      <c r="L912" s="1"/>
      <c r="M912" s="5"/>
      <c r="N912" s="5"/>
      <c r="O912" s="5"/>
      <c r="P912" s="5"/>
      <c r="Q912" s="1"/>
      <c r="R912" s="1"/>
      <c r="S912" s="1"/>
      <c r="T912" s="1"/>
      <c r="U912" s="1"/>
      <c r="V912" s="1"/>
      <c r="W912" s="1"/>
      <c r="X912" s="1"/>
      <c r="Y912" s="1"/>
      <c r="Z912" s="1"/>
      <c r="AA912" s="1"/>
      <c r="AB912" s="1"/>
      <c r="AC912" s="1"/>
    </row>
    <row r="913" spans="1:29" ht="14.25" customHeight="1" x14ac:dyDescent="0.2">
      <c r="A913" s="1"/>
      <c r="B913" s="1"/>
      <c r="C913" s="1"/>
      <c r="D913" s="1"/>
      <c r="E913" s="1"/>
      <c r="F913" s="1"/>
      <c r="G913" s="1"/>
      <c r="H913" s="1"/>
      <c r="I913" s="1"/>
      <c r="J913" s="1"/>
      <c r="K913" s="1"/>
      <c r="L913" s="1"/>
      <c r="M913" s="5"/>
      <c r="N913" s="5"/>
      <c r="O913" s="5"/>
      <c r="P913" s="5"/>
      <c r="Q913" s="1"/>
      <c r="R913" s="1"/>
      <c r="S913" s="1"/>
      <c r="T913" s="1"/>
      <c r="U913" s="1"/>
      <c r="V913" s="1"/>
      <c r="W913" s="1"/>
      <c r="X913" s="1"/>
      <c r="Y913" s="1"/>
      <c r="Z913" s="1"/>
      <c r="AA913" s="1"/>
      <c r="AB913" s="1"/>
      <c r="AC913" s="1"/>
    </row>
    <row r="914" spans="1:29" ht="14.25" customHeight="1" x14ac:dyDescent="0.2">
      <c r="A914" s="1"/>
      <c r="B914" s="1"/>
      <c r="C914" s="1"/>
      <c r="D914" s="1"/>
      <c r="E914" s="1"/>
      <c r="F914" s="1"/>
      <c r="G914" s="1"/>
      <c r="H914" s="1"/>
      <c r="I914" s="1"/>
      <c r="J914" s="1"/>
      <c r="K914" s="1"/>
      <c r="L914" s="1"/>
      <c r="M914" s="5"/>
      <c r="N914" s="5"/>
      <c r="O914" s="5"/>
      <c r="P914" s="5"/>
      <c r="Q914" s="1"/>
      <c r="R914" s="1"/>
      <c r="S914" s="1"/>
      <c r="T914" s="1"/>
      <c r="U914" s="1"/>
      <c r="V914" s="1"/>
      <c r="W914" s="1"/>
      <c r="X914" s="1"/>
      <c r="Y914" s="1"/>
      <c r="Z914" s="1"/>
      <c r="AA914" s="1"/>
      <c r="AB914" s="1"/>
      <c r="AC914" s="1"/>
    </row>
    <row r="915" spans="1:29" ht="14.25" customHeight="1" x14ac:dyDescent="0.2">
      <c r="A915" s="1"/>
      <c r="B915" s="1"/>
      <c r="C915" s="1"/>
      <c r="D915" s="1"/>
      <c r="E915" s="1"/>
      <c r="F915" s="1"/>
      <c r="G915" s="1"/>
      <c r="H915" s="1"/>
      <c r="I915" s="1"/>
      <c r="J915" s="1"/>
      <c r="K915" s="1"/>
      <c r="L915" s="1"/>
      <c r="M915" s="5"/>
      <c r="N915" s="5"/>
      <c r="O915" s="5"/>
      <c r="P915" s="5"/>
      <c r="Q915" s="1"/>
      <c r="R915" s="1"/>
      <c r="S915" s="1"/>
      <c r="T915" s="1"/>
      <c r="U915" s="1"/>
      <c r="V915" s="1"/>
      <c r="W915" s="1"/>
      <c r="X915" s="1"/>
      <c r="Y915" s="1"/>
      <c r="Z915" s="1"/>
      <c r="AA915" s="1"/>
      <c r="AB915" s="1"/>
      <c r="AC915" s="1"/>
    </row>
    <row r="916" spans="1:29" ht="14.25" customHeight="1" x14ac:dyDescent="0.2">
      <c r="A916" s="1"/>
      <c r="B916" s="1"/>
      <c r="C916" s="1"/>
      <c r="D916" s="1"/>
      <c r="E916" s="1"/>
      <c r="F916" s="1"/>
      <c r="G916" s="1"/>
      <c r="H916" s="1"/>
      <c r="I916" s="1"/>
      <c r="J916" s="1"/>
      <c r="K916" s="1"/>
      <c r="L916" s="1"/>
      <c r="M916" s="5"/>
      <c r="N916" s="5"/>
      <c r="O916" s="5"/>
      <c r="P916" s="5"/>
      <c r="Q916" s="1"/>
      <c r="R916" s="1"/>
      <c r="S916" s="1"/>
      <c r="T916" s="1"/>
      <c r="U916" s="1"/>
      <c r="V916" s="1"/>
      <c r="W916" s="1"/>
      <c r="X916" s="1"/>
      <c r="Y916" s="1"/>
      <c r="Z916" s="1"/>
      <c r="AA916" s="1"/>
      <c r="AB916" s="1"/>
      <c r="AC916" s="1"/>
    </row>
    <row r="917" spans="1:29" ht="14.25" customHeight="1" x14ac:dyDescent="0.2">
      <c r="A917" s="1"/>
      <c r="B917" s="1"/>
      <c r="C917" s="1"/>
      <c r="D917" s="1"/>
      <c r="E917" s="1"/>
      <c r="F917" s="1"/>
      <c r="G917" s="1"/>
      <c r="H917" s="1"/>
      <c r="I917" s="1"/>
      <c r="J917" s="1"/>
      <c r="K917" s="1"/>
      <c r="L917" s="1"/>
      <c r="M917" s="5"/>
      <c r="N917" s="5"/>
      <c r="O917" s="5"/>
      <c r="P917" s="5"/>
      <c r="Q917" s="1"/>
      <c r="R917" s="1"/>
      <c r="S917" s="1"/>
      <c r="T917" s="1"/>
      <c r="U917" s="1"/>
      <c r="V917" s="1"/>
      <c r="W917" s="1"/>
      <c r="X917" s="1"/>
      <c r="Y917" s="1"/>
      <c r="Z917" s="1"/>
      <c r="AA917" s="1"/>
      <c r="AB917" s="1"/>
      <c r="AC917" s="1"/>
    </row>
    <row r="918" spans="1:29" ht="14.25" customHeight="1" x14ac:dyDescent="0.2">
      <c r="A918" s="1"/>
      <c r="B918" s="1"/>
      <c r="C918" s="1"/>
      <c r="D918" s="1"/>
      <c r="E918" s="1"/>
      <c r="F918" s="1"/>
      <c r="G918" s="1"/>
      <c r="H918" s="1"/>
      <c r="I918" s="1"/>
      <c r="J918" s="1"/>
      <c r="K918" s="1"/>
      <c r="L918" s="1"/>
      <c r="M918" s="5"/>
      <c r="N918" s="5"/>
      <c r="O918" s="5"/>
      <c r="P918" s="5"/>
      <c r="Q918" s="1"/>
      <c r="R918" s="1"/>
      <c r="S918" s="1"/>
      <c r="T918" s="1"/>
      <c r="U918" s="1"/>
      <c r="V918" s="1"/>
      <c r="W918" s="1"/>
      <c r="X918" s="1"/>
      <c r="Y918" s="1"/>
      <c r="Z918" s="1"/>
      <c r="AA918" s="1"/>
      <c r="AB918" s="1"/>
      <c r="AC918" s="1"/>
    </row>
    <row r="919" spans="1:29" ht="14.25" customHeight="1" x14ac:dyDescent="0.2">
      <c r="A919" s="1"/>
      <c r="B919" s="1"/>
      <c r="C919" s="1"/>
      <c r="D919" s="1"/>
      <c r="E919" s="1"/>
      <c r="F919" s="1"/>
      <c r="G919" s="1"/>
      <c r="H919" s="1"/>
      <c r="I919" s="1"/>
      <c r="J919" s="1"/>
      <c r="K919" s="1"/>
      <c r="L919" s="1"/>
      <c r="M919" s="5"/>
      <c r="N919" s="5"/>
      <c r="O919" s="5"/>
      <c r="P919" s="5"/>
      <c r="Q919" s="1"/>
      <c r="R919" s="1"/>
      <c r="S919" s="1"/>
      <c r="T919" s="1"/>
      <c r="U919" s="1"/>
      <c r="V919" s="1"/>
      <c r="W919" s="1"/>
      <c r="X919" s="1"/>
      <c r="Y919" s="1"/>
      <c r="Z919" s="1"/>
      <c r="AA919" s="1"/>
      <c r="AB919" s="1"/>
      <c r="AC919" s="1"/>
    </row>
    <row r="920" spans="1:29" ht="14.25" customHeight="1" x14ac:dyDescent="0.2">
      <c r="A920" s="1"/>
      <c r="B920" s="1"/>
      <c r="C920" s="1"/>
      <c r="D920" s="1"/>
      <c r="E920" s="1"/>
      <c r="F920" s="1"/>
      <c r="G920" s="1"/>
      <c r="H920" s="1"/>
      <c r="I920" s="1"/>
      <c r="J920" s="1"/>
      <c r="K920" s="1"/>
      <c r="L920" s="1"/>
      <c r="M920" s="5"/>
      <c r="N920" s="5"/>
      <c r="O920" s="5"/>
      <c r="P920" s="5"/>
      <c r="Q920" s="1"/>
      <c r="R920" s="1"/>
      <c r="S920" s="1"/>
      <c r="T920" s="1"/>
      <c r="U920" s="1"/>
      <c r="V920" s="1"/>
      <c r="W920" s="1"/>
      <c r="X920" s="1"/>
      <c r="Y920" s="1"/>
      <c r="Z920" s="1"/>
      <c r="AA920" s="1"/>
      <c r="AB920" s="1"/>
      <c r="AC920" s="1"/>
    </row>
    <row r="921" spans="1:29" ht="14.25" customHeight="1" x14ac:dyDescent="0.2">
      <c r="A921" s="1"/>
      <c r="B921" s="1"/>
      <c r="C921" s="1"/>
      <c r="D921" s="1"/>
      <c r="E921" s="1"/>
      <c r="F921" s="1"/>
      <c r="G921" s="1"/>
      <c r="H921" s="1"/>
      <c r="I921" s="1"/>
      <c r="J921" s="1"/>
      <c r="K921" s="1"/>
      <c r="L921" s="1"/>
      <c r="M921" s="5"/>
      <c r="N921" s="5"/>
      <c r="O921" s="5"/>
      <c r="P921" s="5"/>
      <c r="Q921" s="1"/>
      <c r="R921" s="1"/>
      <c r="S921" s="1"/>
      <c r="T921" s="1"/>
      <c r="U921" s="1"/>
      <c r="V921" s="1"/>
      <c r="W921" s="1"/>
      <c r="X921" s="1"/>
      <c r="Y921" s="1"/>
      <c r="Z921" s="1"/>
      <c r="AA921" s="1"/>
      <c r="AB921" s="1"/>
      <c r="AC921" s="1"/>
    </row>
    <row r="922" spans="1:29" ht="14.25" customHeight="1" x14ac:dyDescent="0.2">
      <c r="A922" s="1"/>
      <c r="B922" s="1"/>
      <c r="C922" s="1"/>
      <c r="D922" s="1"/>
      <c r="E922" s="1"/>
      <c r="F922" s="1"/>
      <c r="G922" s="1"/>
      <c r="H922" s="1"/>
      <c r="I922" s="1"/>
      <c r="J922" s="1"/>
      <c r="K922" s="1"/>
      <c r="L922" s="1"/>
      <c r="M922" s="5"/>
      <c r="N922" s="5"/>
      <c r="O922" s="5"/>
      <c r="P922" s="5"/>
      <c r="Q922" s="1"/>
      <c r="R922" s="1"/>
      <c r="S922" s="1"/>
      <c r="T922" s="1"/>
      <c r="U922" s="1"/>
      <c r="V922" s="1"/>
      <c r="W922" s="1"/>
      <c r="X922" s="1"/>
      <c r="Y922" s="1"/>
      <c r="Z922" s="1"/>
      <c r="AA922" s="1"/>
      <c r="AB922" s="1"/>
      <c r="AC922" s="1"/>
    </row>
    <row r="923" spans="1:29" ht="14.25" customHeight="1" x14ac:dyDescent="0.2">
      <c r="A923" s="1"/>
      <c r="B923" s="1"/>
      <c r="C923" s="1"/>
      <c r="D923" s="1"/>
      <c r="E923" s="1"/>
      <c r="F923" s="1"/>
      <c r="G923" s="1"/>
      <c r="H923" s="1"/>
      <c r="I923" s="1"/>
      <c r="J923" s="1"/>
      <c r="K923" s="1"/>
      <c r="L923" s="1"/>
      <c r="M923" s="5"/>
      <c r="N923" s="5"/>
      <c r="O923" s="5"/>
      <c r="P923" s="5"/>
      <c r="Q923" s="1"/>
      <c r="R923" s="1"/>
      <c r="S923" s="1"/>
      <c r="T923" s="1"/>
      <c r="U923" s="1"/>
      <c r="V923" s="1"/>
      <c r="W923" s="1"/>
      <c r="X923" s="1"/>
      <c r="Y923" s="1"/>
      <c r="Z923" s="1"/>
      <c r="AA923" s="1"/>
      <c r="AB923" s="1"/>
      <c r="AC923" s="1"/>
    </row>
    <row r="924" spans="1:29" ht="14.25" customHeight="1" x14ac:dyDescent="0.2">
      <c r="A924" s="1"/>
      <c r="B924" s="1"/>
      <c r="C924" s="1"/>
      <c r="D924" s="1"/>
      <c r="E924" s="1"/>
      <c r="F924" s="1"/>
      <c r="G924" s="1"/>
      <c r="H924" s="1"/>
      <c r="I924" s="1"/>
      <c r="J924" s="1"/>
      <c r="K924" s="1"/>
      <c r="L924" s="1"/>
      <c r="M924" s="5"/>
      <c r="N924" s="5"/>
      <c r="O924" s="5"/>
      <c r="P924" s="5"/>
      <c r="Q924" s="1"/>
      <c r="R924" s="1"/>
      <c r="S924" s="1"/>
      <c r="T924" s="1"/>
      <c r="U924" s="1"/>
      <c r="V924" s="1"/>
      <c r="W924" s="1"/>
      <c r="X924" s="1"/>
      <c r="Y924" s="1"/>
      <c r="Z924" s="1"/>
      <c r="AA924" s="1"/>
      <c r="AB924" s="1"/>
      <c r="AC924" s="1"/>
    </row>
    <row r="925" spans="1:29" ht="14.25" customHeight="1" x14ac:dyDescent="0.2">
      <c r="A925" s="1"/>
      <c r="B925" s="1"/>
      <c r="C925" s="1"/>
      <c r="D925" s="1"/>
      <c r="E925" s="1"/>
      <c r="F925" s="1"/>
      <c r="G925" s="1"/>
      <c r="H925" s="1"/>
      <c r="I925" s="1"/>
      <c r="J925" s="1"/>
      <c r="K925" s="1"/>
      <c r="L925" s="1"/>
      <c r="M925" s="5"/>
      <c r="N925" s="5"/>
      <c r="O925" s="5"/>
      <c r="P925" s="5"/>
      <c r="Q925" s="1"/>
      <c r="R925" s="1"/>
      <c r="S925" s="1"/>
      <c r="T925" s="1"/>
      <c r="U925" s="1"/>
      <c r="V925" s="1"/>
      <c r="W925" s="1"/>
      <c r="X925" s="1"/>
      <c r="Y925" s="1"/>
      <c r="Z925" s="1"/>
      <c r="AA925" s="1"/>
      <c r="AB925" s="1"/>
      <c r="AC925" s="1"/>
    </row>
    <row r="926" spans="1:29" ht="14.25" customHeight="1" x14ac:dyDescent="0.2">
      <c r="A926" s="1"/>
      <c r="B926" s="1"/>
      <c r="C926" s="1"/>
      <c r="D926" s="1"/>
      <c r="E926" s="1"/>
      <c r="F926" s="1"/>
      <c r="G926" s="1"/>
      <c r="H926" s="1"/>
      <c r="I926" s="1"/>
      <c r="J926" s="1"/>
      <c r="K926" s="1"/>
      <c r="L926" s="1"/>
      <c r="M926" s="5"/>
      <c r="N926" s="5"/>
      <c r="O926" s="5"/>
      <c r="P926" s="5"/>
      <c r="Q926" s="1"/>
      <c r="R926" s="1"/>
      <c r="S926" s="1"/>
      <c r="T926" s="1"/>
      <c r="U926" s="1"/>
      <c r="V926" s="1"/>
      <c r="W926" s="1"/>
      <c r="X926" s="1"/>
      <c r="Y926" s="1"/>
      <c r="Z926" s="1"/>
      <c r="AA926" s="1"/>
      <c r="AB926" s="1"/>
      <c r="AC926" s="1"/>
    </row>
    <row r="927" spans="1:29" ht="14.25" customHeight="1" x14ac:dyDescent="0.2">
      <c r="A927" s="1"/>
      <c r="B927" s="1"/>
      <c r="C927" s="1"/>
      <c r="D927" s="1"/>
      <c r="E927" s="1"/>
      <c r="F927" s="1"/>
      <c r="G927" s="1"/>
      <c r="H927" s="1"/>
      <c r="I927" s="1"/>
      <c r="J927" s="1"/>
      <c r="K927" s="1"/>
      <c r="L927" s="1"/>
      <c r="M927" s="5"/>
      <c r="N927" s="5"/>
      <c r="O927" s="5"/>
      <c r="P927" s="5"/>
      <c r="Q927" s="1"/>
      <c r="R927" s="1"/>
      <c r="S927" s="1"/>
      <c r="T927" s="1"/>
      <c r="U927" s="1"/>
      <c r="V927" s="1"/>
      <c r="W927" s="1"/>
      <c r="X927" s="1"/>
      <c r="Y927" s="1"/>
      <c r="Z927" s="1"/>
      <c r="AA927" s="1"/>
      <c r="AB927" s="1"/>
      <c r="AC927" s="1"/>
    </row>
    <row r="928" spans="1:29" ht="14.25" customHeight="1" x14ac:dyDescent="0.2">
      <c r="A928" s="1"/>
      <c r="B928" s="1"/>
      <c r="C928" s="1"/>
      <c r="D928" s="1"/>
      <c r="E928" s="1"/>
      <c r="F928" s="1"/>
      <c r="G928" s="1"/>
      <c r="H928" s="1"/>
      <c r="I928" s="1"/>
      <c r="J928" s="1"/>
      <c r="K928" s="1"/>
      <c r="L928" s="1"/>
      <c r="M928" s="5"/>
      <c r="N928" s="5"/>
      <c r="O928" s="5"/>
      <c r="P928" s="5"/>
      <c r="Q928" s="1"/>
      <c r="R928" s="1"/>
      <c r="S928" s="1"/>
      <c r="T928" s="1"/>
      <c r="U928" s="1"/>
      <c r="V928" s="1"/>
      <c r="W928" s="1"/>
      <c r="X928" s="1"/>
      <c r="Y928" s="1"/>
      <c r="Z928" s="1"/>
      <c r="AA928" s="1"/>
      <c r="AB928" s="1"/>
      <c r="AC928" s="1"/>
    </row>
    <row r="929" spans="1:29" ht="14.25" customHeight="1" x14ac:dyDescent="0.2">
      <c r="A929" s="1"/>
      <c r="B929" s="1"/>
      <c r="C929" s="1"/>
      <c r="D929" s="1"/>
      <c r="E929" s="1"/>
      <c r="F929" s="1"/>
      <c r="G929" s="1"/>
      <c r="H929" s="1"/>
      <c r="I929" s="1"/>
      <c r="J929" s="1"/>
      <c r="K929" s="1"/>
      <c r="L929" s="1"/>
      <c r="M929" s="5"/>
      <c r="N929" s="5"/>
      <c r="O929" s="5"/>
      <c r="P929" s="5"/>
      <c r="Q929" s="1"/>
      <c r="R929" s="1"/>
      <c r="S929" s="1"/>
      <c r="T929" s="1"/>
      <c r="U929" s="1"/>
      <c r="V929" s="1"/>
      <c r="W929" s="1"/>
      <c r="X929" s="1"/>
      <c r="Y929" s="1"/>
      <c r="Z929" s="1"/>
      <c r="AA929" s="1"/>
      <c r="AB929" s="1"/>
      <c r="AC929" s="1"/>
    </row>
    <row r="930" spans="1:29" ht="14.25" customHeight="1" x14ac:dyDescent="0.2">
      <c r="A930" s="1"/>
      <c r="B930" s="1"/>
      <c r="C930" s="1"/>
      <c r="D930" s="1"/>
      <c r="E930" s="1"/>
      <c r="F930" s="1"/>
      <c r="G930" s="1"/>
      <c r="H930" s="1"/>
      <c r="I930" s="1"/>
      <c r="J930" s="1"/>
      <c r="K930" s="1"/>
      <c r="L930" s="1"/>
      <c r="M930" s="5"/>
      <c r="N930" s="5"/>
      <c r="O930" s="5"/>
      <c r="P930" s="5"/>
      <c r="Q930" s="1"/>
      <c r="R930" s="1"/>
      <c r="S930" s="1"/>
      <c r="T930" s="1"/>
      <c r="U930" s="1"/>
      <c r="V930" s="1"/>
      <c r="W930" s="1"/>
      <c r="X930" s="1"/>
      <c r="Y930" s="1"/>
      <c r="Z930" s="1"/>
      <c r="AA930" s="1"/>
      <c r="AB930" s="1"/>
      <c r="AC930" s="1"/>
    </row>
    <row r="931" spans="1:29" ht="14.25" customHeight="1" x14ac:dyDescent="0.2">
      <c r="A931" s="1"/>
      <c r="B931" s="1"/>
      <c r="C931" s="1"/>
      <c r="D931" s="1"/>
      <c r="E931" s="1"/>
      <c r="F931" s="1"/>
      <c r="G931" s="1"/>
      <c r="H931" s="1"/>
      <c r="I931" s="1"/>
      <c r="J931" s="1"/>
      <c r="K931" s="1"/>
      <c r="L931" s="1"/>
      <c r="M931" s="5"/>
      <c r="N931" s="5"/>
      <c r="O931" s="5"/>
      <c r="P931" s="5"/>
      <c r="Q931" s="1"/>
      <c r="R931" s="1"/>
      <c r="S931" s="1"/>
      <c r="T931" s="1"/>
      <c r="U931" s="1"/>
      <c r="V931" s="1"/>
      <c r="W931" s="1"/>
      <c r="X931" s="1"/>
      <c r="Y931" s="1"/>
      <c r="Z931" s="1"/>
      <c r="AA931" s="1"/>
      <c r="AB931" s="1"/>
      <c r="AC931" s="1"/>
    </row>
    <row r="932" spans="1:29" ht="14.25" customHeight="1" x14ac:dyDescent="0.2">
      <c r="A932" s="1"/>
      <c r="B932" s="1"/>
      <c r="C932" s="1"/>
      <c r="D932" s="1"/>
      <c r="E932" s="1"/>
      <c r="F932" s="1"/>
      <c r="G932" s="1"/>
      <c r="H932" s="1"/>
      <c r="I932" s="1"/>
      <c r="J932" s="1"/>
      <c r="K932" s="1"/>
      <c r="L932" s="1"/>
      <c r="M932" s="5"/>
      <c r="N932" s="5"/>
      <c r="O932" s="5"/>
      <c r="P932" s="5"/>
      <c r="Q932" s="1"/>
      <c r="R932" s="1"/>
      <c r="S932" s="1"/>
      <c r="T932" s="1"/>
      <c r="U932" s="1"/>
      <c r="V932" s="1"/>
      <c r="W932" s="1"/>
      <c r="X932" s="1"/>
      <c r="Y932" s="1"/>
      <c r="Z932" s="1"/>
      <c r="AA932" s="1"/>
      <c r="AB932" s="1"/>
      <c r="AC932" s="1"/>
    </row>
    <row r="933" spans="1:29" ht="14.25" customHeight="1" x14ac:dyDescent="0.2">
      <c r="A933" s="1"/>
      <c r="B933" s="1"/>
      <c r="C933" s="1"/>
      <c r="D933" s="1"/>
      <c r="E933" s="1"/>
      <c r="F933" s="1"/>
      <c r="G933" s="1"/>
      <c r="H933" s="1"/>
      <c r="I933" s="1"/>
      <c r="J933" s="1"/>
      <c r="K933" s="1"/>
      <c r="L933" s="1"/>
      <c r="M933" s="5"/>
      <c r="N933" s="5"/>
      <c r="O933" s="5"/>
      <c r="P933" s="5"/>
      <c r="Q933" s="1"/>
      <c r="R933" s="1"/>
      <c r="S933" s="1"/>
      <c r="T933" s="1"/>
      <c r="U933" s="1"/>
      <c r="V933" s="1"/>
      <c r="W933" s="1"/>
      <c r="X933" s="1"/>
      <c r="Y933" s="1"/>
      <c r="Z933" s="1"/>
      <c r="AA933" s="1"/>
      <c r="AB933" s="1"/>
      <c r="AC933" s="1"/>
    </row>
    <row r="934" spans="1:29" ht="14.25" customHeight="1" x14ac:dyDescent="0.2">
      <c r="A934" s="1"/>
      <c r="B934" s="1"/>
      <c r="C934" s="1"/>
      <c r="D934" s="1"/>
      <c r="E934" s="1"/>
      <c r="F934" s="1"/>
      <c r="G934" s="1"/>
      <c r="H934" s="1"/>
      <c r="I934" s="1"/>
      <c r="J934" s="1"/>
      <c r="K934" s="1"/>
      <c r="L934" s="1"/>
      <c r="M934" s="5"/>
      <c r="N934" s="5"/>
      <c r="O934" s="5"/>
      <c r="P934" s="5"/>
      <c r="Q934" s="1"/>
      <c r="R934" s="1"/>
      <c r="S934" s="1"/>
      <c r="T934" s="1"/>
      <c r="U934" s="1"/>
      <c r="V934" s="1"/>
      <c r="W934" s="1"/>
      <c r="X934" s="1"/>
      <c r="Y934" s="1"/>
      <c r="Z934" s="1"/>
      <c r="AA934" s="1"/>
      <c r="AB934" s="1"/>
      <c r="AC934" s="1"/>
    </row>
    <row r="935" spans="1:29" ht="14.25" customHeight="1" x14ac:dyDescent="0.2">
      <c r="A935" s="1"/>
      <c r="B935" s="1"/>
      <c r="C935" s="1"/>
      <c r="D935" s="1"/>
      <c r="E935" s="1"/>
      <c r="F935" s="1"/>
      <c r="G935" s="1"/>
      <c r="H935" s="1"/>
      <c r="I935" s="1"/>
      <c r="J935" s="1"/>
      <c r="K935" s="1"/>
      <c r="L935" s="1"/>
      <c r="M935" s="5"/>
      <c r="N935" s="5"/>
      <c r="O935" s="5"/>
      <c r="P935" s="5"/>
      <c r="Q935" s="1"/>
      <c r="R935" s="1"/>
      <c r="S935" s="1"/>
      <c r="T935" s="1"/>
      <c r="U935" s="1"/>
      <c r="V935" s="1"/>
      <c r="W935" s="1"/>
      <c r="X935" s="1"/>
      <c r="Y935" s="1"/>
      <c r="Z935" s="1"/>
      <c r="AA935" s="1"/>
      <c r="AB935" s="1"/>
      <c r="AC935" s="1"/>
    </row>
    <row r="936" spans="1:29" ht="14.25" customHeight="1" x14ac:dyDescent="0.2">
      <c r="A936" s="1"/>
      <c r="B936" s="1"/>
      <c r="C936" s="1"/>
      <c r="D936" s="1"/>
      <c r="E936" s="1"/>
      <c r="F936" s="1"/>
      <c r="G936" s="1"/>
      <c r="H936" s="1"/>
      <c r="I936" s="1"/>
      <c r="J936" s="1"/>
      <c r="K936" s="1"/>
      <c r="L936" s="1"/>
      <c r="M936" s="5"/>
      <c r="N936" s="5"/>
      <c r="O936" s="5"/>
      <c r="P936" s="5"/>
      <c r="Q936" s="1"/>
      <c r="R936" s="1"/>
      <c r="S936" s="1"/>
      <c r="T936" s="1"/>
      <c r="U936" s="1"/>
      <c r="V936" s="1"/>
      <c r="W936" s="1"/>
      <c r="X936" s="1"/>
      <c r="Y936" s="1"/>
      <c r="Z936" s="1"/>
      <c r="AA936" s="1"/>
      <c r="AB936" s="1"/>
      <c r="AC936" s="1"/>
    </row>
    <row r="937" spans="1:29" ht="14.25" customHeight="1" x14ac:dyDescent="0.2">
      <c r="A937" s="1"/>
      <c r="B937" s="1"/>
      <c r="C937" s="1"/>
      <c r="D937" s="1"/>
      <c r="E937" s="1"/>
      <c r="F937" s="1"/>
      <c r="G937" s="1"/>
      <c r="H937" s="1"/>
      <c r="I937" s="1"/>
      <c r="J937" s="1"/>
      <c r="K937" s="1"/>
      <c r="L937" s="1"/>
      <c r="M937" s="5"/>
      <c r="N937" s="5"/>
      <c r="O937" s="5"/>
      <c r="P937" s="5"/>
      <c r="Q937" s="1"/>
      <c r="R937" s="1"/>
      <c r="S937" s="1"/>
      <c r="T937" s="1"/>
      <c r="U937" s="1"/>
      <c r="V937" s="1"/>
      <c r="W937" s="1"/>
      <c r="X937" s="1"/>
      <c r="Y937" s="1"/>
      <c r="Z937" s="1"/>
      <c r="AA937" s="1"/>
      <c r="AB937" s="1"/>
      <c r="AC937" s="1"/>
    </row>
    <row r="938" spans="1:29" ht="14.25" customHeight="1" x14ac:dyDescent="0.2">
      <c r="A938" s="1"/>
      <c r="B938" s="1"/>
      <c r="C938" s="1"/>
      <c r="D938" s="1"/>
      <c r="E938" s="1"/>
      <c r="F938" s="1"/>
      <c r="G938" s="1"/>
      <c r="H938" s="1"/>
      <c r="I938" s="1"/>
      <c r="J938" s="1"/>
      <c r="K938" s="1"/>
      <c r="L938" s="1"/>
      <c r="M938" s="5"/>
      <c r="N938" s="5"/>
      <c r="O938" s="5"/>
      <c r="P938" s="5"/>
      <c r="Q938" s="1"/>
      <c r="R938" s="1"/>
      <c r="S938" s="1"/>
      <c r="T938" s="1"/>
      <c r="U938" s="1"/>
      <c r="V938" s="1"/>
      <c r="W938" s="1"/>
      <c r="X938" s="1"/>
      <c r="Y938" s="1"/>
      <c r="Z938" s="1"/>
      <c r="AA938" s="1"/>
      <c r="AB938" s="1"/>
      <c r="AC938" s="1"/>
    </row>
    <row r="939" spans="1:29" ht="14.25" customHeight="1" x14ac:dyDescent="0.2">
      <c r="A939" s="1"/>
      <c r="B939" s="1"/>
      <c r="C939" s="1"/>
      <c r="D939" s="1"/>
      <c r="E939" s="1"/>
      <c r="F939" s="1"/>
      <c r="G939" s="1"/>
      <c r="H939" s="1"/>
      <c r="I939" s="1"/>
      <c r="J939" s="1"/>
      <c r="K939" s="1"/>
      <c r="L939" s="1"/>
      <c r="M939" s="5"/>
      <c r="N939" s="5"/>
      <c r="O939" s="5"/>
      <c r="P939" s="5"/>
      <c r="Q939" s="1"/>
      <c r="R939" s="1"/>
      <c r="S939" s="1"/>
      <c r="T939" s="1"/>
      <c r="U939" s="1"/>
      <c r="V939" s="1"/>
      <c r="W939" s="1"/>
      <c r="X939" s="1"/>
      <c r="Y939" s="1"/>
      <c r="Z939" s="1"/>
      <c r="AA939" s="1"/>
      <c r="AB939" s="1"/>
      <c r="AC939" s="1"/>
    </row>
    <row r="940" spans="1:29" ht="14.25" customHeight="1" x14ac:dyDescent="0.2">
      <c r="A940" s="1"/>
      <c r="B940" s="1"/>
      <c r="C940" s="1"/>
      <c r="D940" s="1"/>
      <c r="E940" s="1"/>
      <c r="F940" s="1"/>
      <c r="G940" s="1"/>
      <c r="H940" s="1"/>
      <c r="I940" s="1"/>
      <c r="J940" s="1"/>
      <c r="K940" s="1"/>
      <c r="L940" s="1"/>
      <c r="M940" s="5"/>
      <c r="N940" s="5"/>
      <c r="O940" s="5"/>
      <c r="P940" s="5"/>
      <c r="Q940" s="1"/>
      <c r="R940" s="1"/>
      <c r="S940" s="1"/>
      <c r="T940" s="1"/>
      <c r="U940" s="1"/>
      <c r="V940" s="1"/>
      <c r="W940" s="1"/>
      <c r="X940" s="1"/>
      <c r="Y940" s="1"/>
      <c r="Z940" s="1"/>
      <c r="AA940" s="1"/>
      <c r="AB940" s="1"/>
      <c r="AC940" s="1"/>
    </row>
    <row r="941" spans="1:29" ht="14.25" customHeight="1" x14ac:dyDescent="0.2">
      <c r="A941" s="1"/>
      <c r="B941" s="1"/>
      <c r="C941" s="1"/>
      <c r="D941" s="1"/>
      <c r="E941" s="1"/>
      <c r="F941" s="1"/>
      <c r="G941" s="1"/>
      <c r="H941" s="1"/>
      <c r="I941" s="1"/>
      <c r="J941" s="1"/>
      <c r="K941" s="1"/>
      <c r="L941" s="1"/>
      <c r="M941" s="5"/>
      <c r="N941" s="5"/>
      <c r="O941" s="5"/>
      <c r="P941" s="5"/>
      <c r="Q941" s="1"/>
      <c r="R941" s="1"/>
      <c r="S941" s="1"/>
      <c r="T941" s="1"/>
      <c r="U941" s="1"/>
      <c r="V941" s="1"/>
      <c r="W941" s="1"/>
      <c r="X941" s="1"/>
      <c r="Y941" s="1"/>
      <c r="Z941" s="1"/>
      <c r="AA941" s="1"/>
      <c r="AB941" s="1"/>
      <c r="AC941" s="1"/>
    </row>
    <row r="942" spans="1:29" ht="14.25" customHeight="1" x14ac:dyDescent="0.2">
      <c r="A942" s="1"/>
      <c r="B942" s="1"/>
      <c r="C942" s="1"/>
      <c r="D942" s="1"/>
      <c r="E942" s="1"/>
      <c r="F942" s="1"/>
      <c r="G942" s="1"/>
      <c r="H942" s="1"/>
      <c r="I942" s="1"/>
      <c r="J942" s="1"/>
      <c r="K942" s="1"/>
      <c r="L942" s="1"/>
      <c r="M942" s="5"/>
      <c r="N942" s="5"/>
      <c r="O942" s="5"/>
      <c r="P942" s="5"/>
      <c r="Q942" s="1"/>
      <c r="R942" s="1"/>
      <c r="S942" s="1"/>
      <c r="T942" s="1"/>
      <c r="U942" s="1"/>
      <c r="V942" s="1"/>
      <c r="W942" s="1"/>
      <c r="X942" s="1"/>
      <c r="Y942" s="1"/>
      <c r="Z942" s="1"/>
      <c r="AA942" s="1"/>
      <c r="AB942" s="1"/>
      <c r="AC942" s="1"/>
    </row>
    <row r="943" spans="1:29" ht="14.25" customHeight="1" x14ac:dyDescent="0.2">
      <c r="A943" s="1"/>
      <c r="B943" s="1"/>
      <c r="C943" s="1"/>
      <c r="D943" s="1"/>
      <c r="E943" s="1"/>
      <c r="F943" s="1"/>
      <c r="G943" s="1"/>
      <c r="H943" s="1"/>
      <c r="I943" s="1"/>
      <c r="J943" s="1"/>
      <c r="K943" s="1"/>
      <c r="L943" s="1"/>
      <c r="M943" s="5"/>
      <c r="N943" s="5"/>
      <c r="O943" s="5"/>
      <c r="P943" s="5"/>
      <c r="Q943" s="1"/>
      <c r="R943" s="1"/>
      <c r="S943" s="1"/>
      <c r="T943" s="1"/>
      <c r="U943" s="1"/>
      <c r="V943" s="1"/>
      <c r="W943" s="1"/>
      <c r="X943" s="1"/>
      <c r="Y943" s="1"/>
      <c r="Z943" s="1"/>
      <c r="AA943" s="1"/>
      <c r="AB943" s="1"/>
      <c r="AC943" s="1"/>
    </row>
    <row r="944" spans="1:29" ht="14.25" customHeight="1" x14ac:dyDescent="0.2">
      <c r="A944" s="1"/>
      <c r="B944" s="1"/>
      <c r="C944" s="1"/>
      <c r="D944" s="1"/>
      <c r="E944" s="1"/>
      <c r="F944" s="1"/>
      <c r="G944" s="1"/>
      <c r="H944" s="1"/>
      <c r="I944" s="1"/>
      <c r="J944" s="1"/>
      <c r="K944" s="1"/>
      <c r="L944" s="1"/>
      <c r="M944" s="5"/>
      <c r="N944" s="5"/>
      <c r="O944" s="5"/>
      <c r="P944" s="5"/>
      <c r="Q944" s="1"/>
      <c r="R944" s="1"/>
      <c r="S944" s="1"/>
      <c r="T944" s="1"/>
      <c r="U944" s="1"/>
      <c r="V944" s="1"/>
      <c r="W944" s="1"/>
      <c r="X944" s="1"/>
      <c r="Y944" s="1"/>
      <c r="Z944" s="1"/>
      <c r="AA944" s="1"/>
      <c r="AB944" s="1"/>
      <c r="AC944" s="1"/>
    </row>
    <row r="945" spans="1:29" ht="14.25" customHeight="1" x14ac:dyDescent="0.2">
      <c r="A945" s="1"/>
      <c r="B945" s="1"/>
      <c r="C945" s="1"/>
      <c r="D945" s="1"/>
      <c r="E945" s="1"/>
      <c r="F945" s="1"/>
      <c r="G945" s="1"/>
      <c r="H945" s="1"/>
      <c r="I945" s="1"/>
      <c r="J945" s="1"/>
      <c r="K945" s="1"/>
      <c r="L945" s="1"/>
      <c r="M945" s="5"/>
      <c r="N945" s="5"/>
      <c r="O945" s="5"/>
      <c r="P945" s="5"/>
      <c r="Q945" s="1"/>
      <c r="R945" s="1"/>
      <c r="S945" s="1"/>
      <c r="T945" s="1"/>
      <c r="U945" s="1"/>
      <c r="V945" s="1"/>
      <c r="W945" s="1"/>
      <c r="X945" s="1"/>
      <c r="Y945" s="1"/>
      <c r="Z945" s="1"/>
      <c r="AA945" s="1"/>
      <c r="AB945" s="1"/>
      <c r="AC945" s="1"/>
    </row>
    <row r="946" spans="1:29" ht="14.25" customHeight="1" x14ac:dyDescent="0.2">
      <c r="A946" s="1"/>
      <c r="B946" s="1"/>
      <c r="C946" s="1"/>
      <c r="D946" s="1"/>
      <c r="E946" s="1"/>
      <c r="F946" s="1"/>
      <c r="G946" s="1"/>
      <c r="H946" s="1"/>
      <c r="I946" s="1"/>
      <c r="J946" s="1"/>
      <c r="K946" s="1"/>
      <c r="L946" s="1"/>
      <c r="M946" s="5"/>
      <c r="N946" s="5"/>
      <c r="O946" s="5"/>
      <c r="P946" s="5"/>
      <c r="Q946" s="1"/>
      <c r="R946" s="1"/>
      <c r="S946" s="1"/>
      <c r="T946" s="1"/>
      <c r="U946" s="1"/>
      <c r="V946" s="1"/>
      <c r="W946" s="1"/>
      <c r="X946" s="1"/>
      <c r="Y946" s="1"/>
      <c r="Z946" s="1"/>
      <c r="AA946" s="1"/>
      <c r="AB946" s="1"/>
      <c r="AC946" s="1"/>
    </row>
    <row r="947" spans="1:29" ht="14.25" customHeight="1" x14ac:dyDescent="0.2">
      <c r="A947" s="1"/>
      <c r="B947" s="1"/>
      <c r="C947" s="1"/>
      <c r="D947" s="1"/>
      <c r="E947" s="1"/>
      <c r="F947" s="1"/>
      <c r="G947" s="1"/>
      <c r="H947" s="1"/>
      <c r="I947" s="1"/>
      <c r="J947" s="1"/>
      <c r="K947" s="1"/>
      <c r="L947" s="1"/>
      <c r="M947" s="5"/>
      <c r="N947" s="5"/>
      <c r="O947" s="5"/>
      <c r="P947" s="5"/>
      <c r="Q947" s="1"/>
      <c r="R947" s="1"/>
      <c r="S947" s="1"/>
      <c r="T947" s="1"/>
      <c r="U947" s="1"/>
      <c r="V947" s="1"/>
      <c r="W947" s="1"/>
      <c r="X947" s="1"/>
      <c r="Y947" s="1"/>
      <c r="Z947" s="1"/>
      <c r="AA947" s="1"/>
      <c r="AB947" s="1"/>
      <c r="AC947" s="1"/>
    </row>
    <row r="948" spans="1:29" ht="14.25" customHeight="1" x14ac:dyDescent="0.2">
      <c r="A948" s="1"/>
      <c r="B948" s="1"/>
      <c r="C948" s="1"/>
      <c r="D948" s="1"/>
      <c r="E948" s="1"/>
      <c r="F948" s="1"/>
      <c r="G948" s="1"/>
      <c r="H948" s="1"/>
      <c r="I948" s="1"/>
      <c r="J948" s="1"/>
      <c r="K948" s="1"/>
      <c r="L948" s="1"/>
      <c r="M948" s="5"/>
      <c r="N948" s="5"/>
      <c r="O948" s="5"/>
      <c r="P948" s="5"/>
      <c r="Q948" s="1"/>
      <c r="R948" s="1"/>
      <c r="S948" s="1"/>
      <c r="T948" s="1"/>
      <c r="U948" s="1"/>
      <c r="V948" s="1"/>
      <c r="W948" s="1"/>
      <c r="X948" s="1"/>
      <c r="Y948" s="1"/>
      <c r="Z948" s="1"/>
      <c r="AA948" s="1"/>
      <c r="AB948" s="1"/>
      <c r="AC948" s="1"/>
    </row>
    <row r="949" spans="1:29" ht="14.25" customHeight="1" x14ac:dyDescent="0.2">
      <c r="A949" s="1"/>
      <c r="B949" s="1"/>
      <c r="C949" s="1"/>
      <c r="D949" s="1"/>
      <c r="E949" s="1"/>
      <c r="F949" s="1"/>
      <c r="G949" s="1"/>
      <c r="H949" s="1"/>
      <c r="I949" s="1"/>
      <c r="J949" s="1"/>
      <c r="K949" s="1"/>
      <c r="L949" s="1"/>
      <c r="M949" s="5"/>
      <c r="N949" s="5"/>
      <c r="O949" s="5"/>
      <c r="P949" s="5"/>
      <c r="Q949" s="1"/>
      <c r="R949" s="1"/>
      <c r="S949" s="1"/>
      <c r="T949" s="1"/>
      <c r="U949" s="1"/>
      <c r="V949" s="1"/>
      <c r="W949" s="1"/>
      <c r="X949" s="1"/>
      <c r="Y949" s="1"/>
      <c r="Z949" s="1"/>
      <c r="AA949" s="1"/>
      <c r="AB949" s="1"/>
      <c r="AC949" s="1"/>
    </row>
    <row r="950" spans="1:29" ht="14.25" customHeight="1" x14ac:dyDescent="0.2">
      <c r="A950" s="1"/>
      <c r="B950" s="1"/>
      <c r="C950" s="1"/>
      <c r="D950" s="1"/>
      <c r="E950" s="1"/>
      <c r="F950" s="1"/>
      <c r="G950" s="1"/>
      <c r="H950" s="1"/>
      <c r="I950" s="1"/>
      <c r="J950" s="1"/>
      <c r="K950" s="1"/>
      <c r="L950" s="1"/>
      <c r="M950" s="5"/>
      <c r="N950" s="5"/>
      <c r="O950" s="5"/>
      <c r="P950" s="5"/>
      <c r="Q950" s="1"/>
      <c r="R950" s="1"/>
      <c r="S950" s="1"/>
      <c r="T950" s="1"/>
      <c r="U950" s="1"/>
      <c r="V950" s="1"/>
      <c r="W950" s="1"/>
      <c r="X950" s="1"/>
      <c r="Y950" s="1"/>
      <c r="Z950" s="1"/>
      <c r="AA950" s="1"/>
      <c r="AB950" s="1"/>
      <c r="AC950" s="1"/>
    </row>
    <row r="951" spans="1:29" ht="14.25" customHeight="1" x14ac:dyDescent="0.2">
      <c r="A951" s="1"/>
      <c r="B951" s="1"/>
      <c r="C951" s="1"/>
      <c r="D951" s="1"/>
      <c r="E951" s="1"/>
      <c r="F951" s="1"/>
      <c r="G951" s="1"/>
      <c r="H951" s="1"/>
      <c r="I951" s="1"/>
      <c r="J951" s="1"/>
      <c r="K951" s="1"/>
      <c r="L951" s="1"/>
      <c r="M951" s="5"/>
      <c r="N951" s="5"/>
      <c r="O951" s="5"/>
      <c r="P951" s="5"/>
      <c r="Q951" s="1"/>
      <c r="R951" s="1"/>
      <c r="S951" s="1"/>
      <c r="T951" s="1"/>
      <c r="U951" s="1"/>
      <c r="V951" s="1"/>
      <c r="W951" s="1"/>
      <c r="X951" s="1"/>
      <c r="Y951" s="1"/>
      <c r="Z951" s="1"/>
      <c r="AA951" s="1"/>
      <c r="AB951" s="1"/>
      <c r="AC951" s="1"/>
    </row>
    <row r="952" spans="1:29" ht="14.25" customHeight="1" x14ac:dyDescent="0.2">
      <c r="A952" s="1"/>
      <c r="B952" s="1"/>
      <c r="C952" s="1"/>
      <c r="D952" s="1"/>
      <c r="E952" s="1"/>
      <c r="F952" s="1"/>
      <c r="G952" s="1"/>
      <c r="H952" s="1"/>
      <c r="I952" s="1"/>
      <c r="J952" s="1"/>
      <c r="K952" s="1"/>
      <c r="L952" s="1"/>
      <c r="M952" s="5"/>
      <c r="N952" s="5"/>
      <c r="O952" s="5"/>
      <c r="P952" s="5"/>
      <c r="Q952" s="1"/>
      <c r="R952" s="1"/>
      <c r="S952" s="1"/>
      <c r="T952" s="1"/>
      <c r="U952" s="1"/>
      <c r="V952" s="1"/>
      <c r="W952" s="1"/>
      <c r="X952" s="1"/>
      <c r="Y952" s="1"/>
      <c r="Z952" s="1"/>
      <c r="AA952" s="1"/>
      <c r="AB952" s="1"/>
      <c r="AC952" s="1"/>
    </row>
    <row r="953" spans="1:29" ht="14.25" customHeight="1" x14ac:dyDescent="0.2">
      <c r="A953" s="1"/>
      <c r="B953" s="1"/>
      <c r="C953" s="1"/>
      <c r="D953" s="1"/>
      <c r="E953" s="1"/>
      <c r="F953" s="1"/>
      <c r="G953" s="1"/>
      <c r="H953" s="1"/>
      <c r="I953" s="1"/>
      <c r="J953" s="1"/>
      <c r="K953" s="1"/>
      <c r="L953" s="1"/>
      <c r="M953" s="5"/>
      <c r="N953" s="5"/>
      <c r="O953" s="5"/>
      <c r="P953" s="5"/>
      <c r="Q953" s="1"/>
      <c r="R953" s="1"/>
      <c r="S953" s="1"/>
      <c r="T953" s="1"/>
      <c r="U953" s="1"/>
      <c r="V953" s="1"/>
      <c r="W953" s="1"/>
      <c r="X953" s="1"/>
      <c r="Y953" s="1"/>
      <c r="Z953" s="1"/>
      <c r="AA953" s="1"/>
      <c r="AB953" s="1"/>
      <c r="AC953" s="1"/>
    </row>
    <row r="954" spans="1:29" ht="14.25" customHeight="1" x14ac:dyDescent="0.2">
      <c r="A954" s="1"/>
      <c r="B954" s="1"/>
      <c r="C954" s="1"/>
      <c r="D954" s="1"/>
      <c r="E954" s="1"/>
      <c r="F954" s="1"/>
      <c r="G954" s="1"/>
      <c r="H954" s="1"/>
      <c r="I954" s="1"/>
      <c r="J954" s="1"/>
      <c r="K954" s="1"/>
      <c r="L954" s="1"/>
      <c r="M954" s="5"/>
      <c r="N954" s="5"/>
      <c r="O954" s="5"/>
      <c r="P954" s="5"/>
      <c r="Q954" s="1"/>
      <c r="R954" s="1"/>
      <c r="S954" s="1"/>
      <c r="T954" s="1"/>
      <c r="U954" s="1"/>
      <c r="V954" s="1"/>
      <c r="W954" s="1"/>
      <c r="X954" s="1"/>
      <c r="Y954" s="1"/>
      <c r="Z954" s="1"/>
      <c r="AA954" s="1"/>
      <c r="AB954" s="1"/>
      <c r="AC954" s="1"/>
    </row>
    <row r="955" spans="1:29" ht="14.25" customHeight="1" x14ac:dyDescent="0.2">
      <c r="A955" s="1"/>
      <c r="B955" s="1"/>
      <c r="C955" s="1"/>
      <c r="D955" s="1"/>
      <c r="E955" s="1"/>
      <c r="F955" s="1"/>
      <c r="G955" s="1"/>
      <c r="H955" s="1"/>
      <c r="I955" s="1"/>
      <c r="J955" s="1"/>
      <c r="K955" s="1"/>
      <c r="L955" s="1"/>
      <c r="M955" s="5"/>
      <c r="N955" s="5"/>
      <c r="O955" s="5"/>
      <c r="P955" s="5"/>
      <c r="Q955" s="1"/>
      <c r="R955" s="1"/>
      <c r="S955" s="1"/>
      <c r="T955" s="1"/>
      <c r="U955" s="1"/>
      <c r="V955" s="1"/>
      <c r="W955" s="1"/>
      <c r="X955" s="1"/>
      <c r="Y955" s="1"/>
      <c r="Z955" s="1"/>
      <c r="AA955" s="1"/>
      <c r="AB955" s="1"/>
      <c r="AC955" s="1"/>
    </row>
    <row r="956" spans="1:29" ht="14.25" customHeight="1" x14ac:dyDescent="0.2">
      <c r="A956" s="1"/>
      <c r="B956" s="1"/>
      <c r="C956" s="1"/>
      <c r="D956" s="1"/>
      <c r="E956" s="1"/>
      <c r="F956" s="1"/>
      <c r="G956" s="1"/>
      <c r="H956" s="1"/>
      <c r="I956" s="1"/>
      <c r="J956" s="1"/>
      <c r="K956" s="1"/>
      <c r="L956" s="1"/>
      <c r="M956" s="5"/>
      <c r="N956" s="5"/>
      <c r="O956" s="5"/>
      <c r="P956" s="5"/>
      <c r="Q956" s="1"/>
      <c r="R956" s="1"/>
      <c r="S956" s="1"/>
      <c r="T956" s="1"/>
      <c r="U956" s="1"/>
      <c r="V956" s="1"/>
      <c r="W956" s="1"/>
      <c r="X956" s="1"/>
      <c r="Y956" s="1"/>
      <c r="Z956" s="1"/>
      <c r="AA956" s="1"/>
      <c r="AB956" s="1"/>
      <c r="AC956" s="1"/>
    </row>
    <row r="957" spans="1:29" ht="14.25" customHeight="1" x14ac:dyDescent="0.2">
      <c r="A957" s="1"/>
      <c r="B957" s="1"/>
      <c r="C957" s="1"/>
      <c r="D957" s="1"/>
      <c r="E957" s="1"/>
      <c r="F957" s="1"/>
      <c r="G957" s="1"/>
      <c r="H957" s="1"/>
      <c r="I957" s="1"/>
      <c r="J957" s="1"/>
      <c r="K957" s="1"/>
      <c r="L957" s="1"/>
      <c r="M957" s="5"/>
      <c r="N957" s="5"/>
      <c r="O957" s="5"/>
      <c r="P957" s="5"/>
      <c r="Q957" s="1"/>
      <c r="R957" s="1"/>
      <c r="S957" s="1"/>
      <c r="T957" s="1"/>
      <c r="U957" s="1"/>
      <c r="V957" s="1"/>
      <c r="W957" s="1"/>
      <c r="X957" s="1"/>
      <c r="Y957" s="1"/>
      <c r="Z957" s="1"/>
      <c r="AA957" s="1"/>
      <c r="AB957" s="1"/>
      <c r="AC957" s="1"/>
    </row>
    <row r="958" spans="1:29" ht="14.25" customHeight="1" x14ac:dyDescent="0.2">
      <c r="A958" s="1"/>
      <c r="B958" s="1"/>
      <c r="C958" s="1"/>
      <c r="D958" s="1"/>
      <c r="E958" s="1"/>
      <c r="F958" s="1"/>
      <c r="G958" s="1"/>
      <c r="H958" s="1"/>
      <c r="I958" s="1"/>
      <c r="J958" s="1"/>
      <c r="K958" s="1"/>
      <c r="L958" s="1"/>
      <c r="M958" s="5"/>
      <c r="N958" s="5"/>
      <c r="O958" s="5"/>
      <c r="P958" s="5"/>
      <c r="Q958" s="1"/>
      <c r="R958" s="1"/>
      <c r="S958" s="1"/>
      <c r="T958" s="1"/>
      <c r="U958" s="1"/>
      <c r="V958" s="1"/>
      <c r="W958" s="1"/>
      <c r="X958" s="1"/>
      <c r="Y958" s="1"/>
      <c r="Z958" s="1"/>
      <c r="AA958" s="1"/>
      <c r="AB958" s="1"/>
      <c r="AC958" s="1"/>
    </row>
    <row r="959" spans="1:29" ht="14.25" customHeight="1" x14ac:dyDescent="0.2">
      <c r="A959" s="1"/>
      <c r="B959" s="1"/>
      <c r="C959" s="1"/>
      <c r="D959" s="1"/>
      <c r="E959" s="1"/>
      <c r="F959" s="1"/>
      <c r="G959" s="1"/>
      <c r="H959" s="1"/>
      <c r="I959" s="1"/>
      <c r="J959" s="1"/>
      <c r="K959" s="1"/>
      <c r="L959" s="1"/>
      <c r="M959" s="5"/>
      <c r="N959" s="5"/>
      <c r="O959" s="5"/>
      <c r="P959" s="5"/>
      <c r="Q959" s="1"/>
      <c r="R959" s="1"/>
      <c r="S959" s="1"/>
      <c r="T959" s="1"/>
      <c r="U959" s="1"/>
      <c r="V959" s="1"/>
      <c r="W959" s="1"/>
      <c r="X959" s="1"/>
      <c r="Y959" s="1"/>
      <c r="Z959" s="1"/>
      <c r="AA959" s="1"/>
      <c r="AB959" s="1"/>
      <c r="AC959" s="1"/>
    </row>
    <row r="960" spans="1:29" ht="14.25" customHeight="1" x14ac:dyDescent="0.2">
      <c r="A960" s="1"/>
      <c r="B960" s="1"/>
      <c r="C960" s="1"/>
      <c r="D960" s="1"/>
      <c r="E960" s="1"/>
      <c r="F960" s="1"/>
      <c r="G960" s="1"/>
      <c r="H960" s="1"/>
      <c r="I960" s="1"/>
      <c r="J960" s="1"/>
      <c r="K960" s="1"/>
      <c r="L960" s="1"/>
      <c r="M960" s="5"/>
      <c r="N960" s="5"/>
      <c r="O960" s="5"/>
      <c r="P960" s="5"/>
      <c r="Q960" s="1"/>
      <c r="R960" s="1"/>
      <c r="S960" s="1"/>
      <c r="T960" s="1"/>
      <c r="U960" s="1"/>
      <c r="V960" s="1"/>
      <c r="W960" s="1"/>
      <c r="X960" s="1"/>
      <c r="Y960" s="1"/>
      <c r="Z960" s="1"/>
      <c r="AA960" s="1"/>
      <c r="AB960" s="1"/>
      <c r="AC960" s="1"/>
    </row>
    <row r="961" spans="1:29" ht="14.25" customHeight="1" x14ac:dyDescent="0.2">
      <c r="A961" s="1"/>
      <c r="B961" s="1"/>
      <c r="C961" s="1"/>
      <c r="D961" s="1"/>
      <c r="E961" s="1"/>
      <c r="F961" s="1"/>
      <c r="G961" s="1"/>
      <c r="H961" s="1"/>
      <c r="I961" s="1"/>
      <c r="J961" s="1"/>
      <c r="K961" s="1"/>
      <c r="L961" s="1"/>
      <c r="M961" s="5"/>
      <c r="N961" s="5"/>
      <c r="O961" s="5"/>
      <c r="P961" s="5"/>
      <c r="Q961" s="1"/>
      <c r="R961" s="1"/>
      <c r="S961" s="1"/>
      <c r="T961" s="1"/>
      <c r="U961" s="1"/>
      <c r="V961" s="1"/>
      <c r="W961" s="1"/>
      <c r="X961" s="1"/>
      <c r="Y961" s="1"/>
      <c r="Z961" s="1"/>
      <c r="AA961" s="1"/>
      <c r="AB961" s="1"/>
      <c r="AC961" s="1"/>
    </row>
    <row r="962" spans="1:29" ht="14.25" customHeight="1" x14ac:dyDescent="0.2">
      <c r="A962" s="1"/>
      <c r="B962" s="1"/>
      <c r="C962" s="1"/>
      <c r="D962" s="1"/>
      <c r="E962" s="1"/>
      <c r="F962" s="1"/>
      <c r="G962" s="1"/>
      <c r="H962" s="1"/>
      <c r="I962" s="1"/>
      <c r="J962" s="1"/>
      <c r="K962" s="1"/>
      <c r="L962" s="1"/>
      <c r="M962" s="5"/>
      <c r="N962" s="5"/>
      <c r="O962" s="5"/>
      <c r="P962" s="5"/>
      <c r="Q962" s="1"/>
      <c r="R962" s="1"/>
      <c r="S962" s="1"/>
      <c r="T962" s="1"/>
      <c r="U962" s="1"/>
      <c r="V962" s="1"/>
      <c r="W962" s="1"/>
      <c r="X962" s="1"/>
      <c r="Y962" s="1"/>
      <c r="Z962" s="1"/>
      <c r="AA962" s="1"/>
      <c r="AB962" s="1"/>
      <c r="AC962" s="1"/>
    </row>
    <row r="963" spans="1:29" ht="14.25" customHeight="1" x14ac:dyDescent="0.2">
      <c r="A963" s="1"/>
      <c r="B963" s="1"/>
      <c r="C963" s="1"/>
      <c r="D963" s="1"/>
      <c r="E963" s="1"/>
      <c r="F963" s="1"/>
      <c r="G963" s="1"/>
      <c r="H963" s="1"/>
      <c r="I963" s="1"/>
      <c r="J963" s="1"/>
      <c r="K963" s="1"/>
      <c r="L963" s="1"/>
      <c r="M963" s="5"/>
      <c r="N963" s="5"/>
      <c r="O963" s="5"/>
      <c r="P963" s="5"/>
      <c r="Q963" s="1"/>
      <c r="R963" s="1"/>
      <c r="S963" s="1"/>
      <c r="T963" s="1"/>
      <c r="U963" s="1"/>
      <c r="V963" s="1"/>
      <c r="W963" s="1"/>
      <c r="X963" s="1"/>
      <c r="Y963" s="1"/>
      <c r="Z963" s="1"/>
      <c r="AA963" s="1"/>
      <c r="AB963" s="1"/>
      <c r="AC963" s="1"/>
    </row>
    <row r="964" spans="1:29" ht="14.25" customHeight="1" x14ac:dyDescent="0.2">
      <c r="A964" s="1"/>
      <c r="B964" s="1"/>
      <c r="C964" s="1"/>
      <c r="D964" s="1"/>
      <c r="E964" s="1"/>
      <c r="F964" s="1"/>
      <c r="G964" s="1"/>
      <c r="H964" s="1"/>
      <c r="I964" s="1"/>
      <c r="J964" s="1"/>
      <c r="K964" s="1"/>
      <c r="L964" s="1"/>
      <c r="M964" s="5"/>
      <c r="N964" s="5"/>
      <c r="O964" s="5"/>
      <c r="P964" s="5"/>
      <c r="Q964" s="1"/>
      <c r="R964" s="1"/>
      <c r="S964" s="1"/>
      <c r="T964" s="1"/>
      <c r="U964" s="1"/>
      <c r="V964" s="1"/>
      <c r="W964" s="1"/>
      <c r="X964" s="1"/>
      <c r="Y964" s="1"/>
      <c r="Z964" s="1"/>
      <c r="AA964" s="1"/>
      <c r="AB964" s="1"/>
      <c r="AC964" s="1"/>
    </row>
    <row r="965" spans="1:29" ht="14.25" customHeight="1" x14ac:dyDescent="0.2">
      <c r="A965" s="1"/>
      <c r="B965" s="1"/>
      <c r="C965" s="1"/>
      <c r="D965" s="1"/>
      <c r="E965" s="1"/>
      <c r="F965" s="1"/>
      <c r="G965" s="1"/>
      <c r="H965" s="1"/>
      <c r="I965" s="1"/>
      <c r="J965" s="1"/>
      <c r="K965" s="1"/>
      <c r="L965" s="1"/>
      <c r="M965" s="5"/>
      <c r="N965" s="5"/>
      <c r="O965" s="5"/>
      <c r="P965" s="5"/>
      <c r="Q965" s="1"/>
      <c r="R965" s="1"/>
      <c r="S965" s="1"/>
      <c r="T965" s="1"/>
      <c r="U965" s="1"/>
      <c r="V965" s="1"/>
      <c r="W965" s="1"/>
      <c r="X965" s="1"/>
      <c r="Y965" s="1"/>
      <c r="Z965" s="1"/>
      <c r="AA965" s="1"/>
      <c r="AB965" s="1"/>
      <c r="AC965" s="1"/>
    </row>
    <row r="966" spans="1:29" ht="14.25" customHeight="1" x14ac:dyDescent="0.2">
      <c r="A966" s="1"/>
      <c r="B966" s="1"/>
      <c r="C966" s="1"/>
      <c r="D966" s="1"/>
      <c r="E966" s="1"/>
      <c r="F966" s="1"/>
      <c r="G966" s="1"/>
      <c r="H966" s="1"/>
      <c r="I966" s="1"/>
      <c r="J966" s="1"/>
      <c r="K966" s="1"/>
      <c r="L966" s="1"/>
      <c r="M966" s="5"/>
      <c r="N966" s="5"/>
      <c r="O966" s="5"/>
      <c r="P966" s="5"/>
      <c r="Q966" s="1"/>
      <c r="R966" s="1"/>
      <c r="S966" s="1"/>
      <c r="T966" s="1"/>
      <c r="U966" s="1"/>
      <c r="V966" s="1"/>
      <c r="W966" s="1"/>
      <c r="X966" s="1"/>
      <c r="Y966" s="1"/>
      <c r="Z966" s="1"/>
      <c r="AA966" s="1"/>
      <c r="AB966" s="1"/>
      <c r="AC966" s="1"/>
    </row>
    <row r="967" spans="1:29" ht="14.25" customHeight="1" x14ac:dyDescent="0.2">
      <c r="A967" s="1"/>
      <c r="B967" s="1"/>
      <c r="C967" s="1"/>
      <c r="D967" s="1"/>
      <c r="E967" s="1"/>
      <c r="F967" s="1"/>
      <c r="G967" s="1"/>
      <c r="H967" s="1"/>
      <c r="I967" s="1"/>
      <c r="J967" s="1"/>
      <c r="K967" s="1"/>
      <c r="L967" s="1"/>
      <c r="M967" s="5"/>
      <c r="N967" s="5"/>
      <c r="O967" s="5"/>
      <c r="P967" s="5"/>
      <c r="Q967" s="1"/>
      <c r="R967" s="1"/>
      <c r="S967" s="1"/>
      <c r="T967" s="1"/>
      <c r="U967" s="1"/>
      <c r="V967" s="1"/>
      <c r="W967" s="1"/>
      <c r="X967" s="1"/>
      <c r="Y967" s="1"/>
      <c r="Z967" s="1"/>
      <c r="AA967" s="1"/>
      <c r="AB967" s="1"/>
      <c r="AC967" s="1"/>
    </row>
    <row r="968" spans="1:29" ht="14.25" customHeight="1" x14ac:dyDescent="0.2">
      <c r="A968" s="1"/>
      <c r="B968" s="1"/>
      <c r="C968" s="1"/>
      <c r="D968" s="1"/>
      <c r="E968" s="1"/>
      <c r="F968" s="1"/>
      <c r="G968" s="1"/>
      <c r="H968" s="1"/>
      <c r="I968" s="1"/>
      <c r="J968" s="1"/>
      <c r="K968" s="1"/>
      <c r="L968" s="1"/>
      <c r="M968" s="5"/>
      <c r="N968" s="5"/>
      <c r="O968" s="5"/>
      <c r="P968" s="5"/>
      <c r="Q968" s="1"/>
      <c r="R968" s="1"/>
      <c r="S968" s="1"/>
      <c r="T968" s="1"/>
      <c r="U968" s="1"/>
      <c r="V968" s="1"/>
      <c r="W968" s="1"/>
      <c r="X968" s="1"/>
      <c r="Y968" s="1"/>
      <c r="Z968" s="1"/>
      <c r="AA968" s="1"/>
      <c r="AB968" s="1"/>
      <c r="AC968" s="1"/>
    </row>
    <row r="969" spans="1:29" ht="14.25" customHeight="1" x14ac:dyDescent="0.2">
      <c r="A969" s="1"/>
      <c r="B969" s="1"/>
      <c r="C969" s="1"/>
      <c r="D969" s="1"/>
      <c r="E969" s="1"/>
      <c r="F969" s="1"/>
      <c r="G969" s="1"/>
      <c r="H969" s="1"/>
      <c r="I969" s="1"/>
      <c r="J969" s="1"/>
      <c r="K969" s="1"/>
      <c r="L969" s="1"/>
      <c r="M969" s="5"/>
      <c r="N969" s="5"/>
      <c r="O969" s="5"/>
      <c r="P969" s="5"/>
      <c r="Q969" s="1"/>
      <c r="R969" s="1"/>
      <c r="S969" s="1"/>
      <c r="T969" s="1"/>
      <c r="U969" s="1"/>
      <c r="V969" s="1"/>
      <c r="W969" s="1"/>
      <c r="X969" s="1"/>
      <c r="Y969" s="1"/>
      <c r="Z969" s="1"/>
      <c r="AA969" s="1"/>
      <c r="AB969" s="1"/>
      <c r="AC969" s="1"/>
    </row>
    <row r="970" spans="1:29" ht="14.25" customHeight="1" x14ac:dyDescent="0.2">
      <c r="A970" s="1"/>
      <c r="B970" s="1"/>
      <c r="C970" s="1"/>
      <c r="D970" s="1"/>
      <c r="E970" s="1"/>
      <c r="F970" s="1"/>
      <c r="G970" s="1"/>
      <c r="H970" s="1"/>
      <c r="I970" s="1"/>
      <c r="J970" s="1"/>
      <c r="K970" s="1"/>
      <c r="L970" s="1"/>
      <c r="M970" s="5"/>
      <c r="N970" s="5"/>
      <c r="O970" s="5"/>
      <c r="P970" s="5"/>
      <c r="Q970" s="1"/>
      <c r="R970" s="1"/>
      <c r="S970" s="1"/>
      <c r="T970" s="1"/>
      <c r="U970" s="1"/>
      <c r="V970" s="1"/>
      <c r="W970" s="1"/>
      <c r="X970" s="1"/>
      <c r="Y970" s="1"/>
      <c r="Z970" s="1"/>
      <c r="AA970" s="1"/>
      <c r="AB970" s="1"/>
      <c r="AC970" s="1"/>
    </row>
    <row r="971" spans="1:29" ht="14.25" customHeight="1" x14ac:dyDescent="0.2">
      <c r="A971" s="1"/>
      <c r="B971" s="1"/>
      <c r="C971" s="1"/>
      <c r="D971" s="1"/>
      <c r="E971" s="1"/>
      <c r="F971" s="1"/>
      <c r="G971" s="1"/>
      <c r="H971" s="1"/>
      <c r="I971" s="1"/>
      <c r="J971" s="1"/>
      <c r="K971" s="1"/>
      <c r="L971" s="1"/>
      <c r="M971" s="5"/>
      <c r="N971" s="5"/>
      <c r="O971" s="5"/>
      <c r="P971" s="5"/>
      <c r="Q971" s="1"/>
      <c r="R971" s="1"/>
      <c r="S971" s="1"/>
      <c r="T971" s="1"/>
      <c r="U971" s="1"/>
      <c r="V971" s="1"/>
      <c r="W971" s="1"/>
      <c r="X971" s="1"/>
      <c r="Y971" s="1"/>
      <c r="Z971" s="1"/>
      <c r="AA971" s="1"/>
      <c r="AB971" s="1"/>
      <c r="AC971" s="1"/>
    </row>
    <row r="972" spans="1:29" ht="14.25" customHeight="1" x14ac:dyDescent="0.2">
      <c r="A972" s="1"/>
      <c r="B972" s="1"/>
      <c r="C972" s="1"/>
      <c r="D972" s="1"/>
      <c r="E972" s="1"/>
      <c r="F972" s="1"/>
      <c r="G972" s="1"/>
      <c r="H972" s="1"/>
      <c r="I972" s="1"/>
      <c r="J972" s="1"/>
      <c r="K972" s="1"/>
      <c r="L972" s="1"/>
      <c r="M972" s="5"/>
      <c r="N972" s="5"/>
      <c r="O972" s="5"/>
      <c r="P972" s="5"/>
      <c r="Q972" s="1"/>
      <c r="R972" s="1"/>
      <c r="S972" s="1"/>
      <c r="T972" s="1"/>
      <c r="U972" s="1"/>
      <c r="V972" s="1"/>
      <c r="W972" s="1"/>
      <c r="X972" s="1"/>
      <c r="Y972" s="1"/>
      <c r="Z972" s="1"/>
      <c r="AA972" s="1"/>
      <c r="AB972" s="1"/>
      <c r="AC972" s="1"/>
    </row>
    <row r="973" spans="1:29" ht="14.25" customHeight="1" x14ac:dyDescent="0.2">
      <c r="A973" s="1"/>
      <c r="B973" s="1"/>
      <c r="C973" s="1"/>
      <c r="D973" s="1"/>
      <c r="E973" s="1"/>
      <c r="F973" s="1"/>
      <c r="G973" s="1"/>
      <c r="H973" s="1"/>
      <c r="I973" s="1"/>
      <c r="J973" s="1"/>
      <c r="K973" s="1"/>
      <c r="L973" s="1"/>
      <c r="M973" s="5"/>
      <c r="N973" s="5"/>
      <c r="O973" s="5"/>
      <c r="P973" s="5"/>
      <c r="Q973" s="1"/>
      <c r="R973" s="1"/>
      <c r="S973" s="1"/>
      <c r="T973" s="1"/>
      <c r="U973" s="1"/>
      <c r="V973" s="1"/>
      <c r="W973" s="1"/>
      <c r="X973" s="1"/>
      <c r="Y973" s="1"/>
      <c r="Z973" s="1"/>
      <c r="AA973" s="1"/>
      <c r="AB973" s="1"/>
      <c r="AC973" s="1"/>
    </row>
    <row r="974" spans="1:29" ht="14.25" customHeight="1" x14ac:dyDescent="0.2">
      <c r="A974" s="1"/>
      <c r="B974" s="1"/>
      <c r="C974" s="1"/>
      <c r="D974" s="1"/>
      <c r="E974" s="1"/>
      <c r="F974" s="1"/>
      <c r="G974" s="1"/>
      <c r="H974" s="1"/>
      <c r="I974" s="1"/>
      <c r="J974" s="1"/>
      <c r="K974" s="1"/>
      <c r="L974" s="1"/>
      <c r="M974" s="5"/>
      <c r="N974" s="5"/>
      <c r="O974" s="5"/>
      <c r="P974" s="5"/>
      <c r="Q974" s="1"/>
      <c r="R974" s="1"/>
      <c r="S974" s="1"/>
      <c r="T974" s="1"/>
      <c r="U974" s="1"/>
      <c r="V974" s="1"/>
      <c r="W974" s="1"/>
      <c r="X974" s="1"/>
      <c r="Y974" s="1"/>
      <c r="Z974" s="1"/>
      <c r="AA974" s="1"/>
      <c r="AB974" s="1"/>
      <c r="AC974" s="1"/>
    </row>
    <row r="975" spans="1:29" ht="14.25" customHeight="1" x14ac:dyDescent="0.2">
      <c r="A975" s="1"/>
      <c r="B975" s="1"/>
      <c r="C975" s="1"/>
      <c r="D975" s="1"/>
      <c r="E975" s="1"/>
      <c r="F975" s="1"/>
      <c r="G975" s="1"/>
      <c r="H975" s="1"/>
      <c r="I975" s="1"/>
      <c r="J975" s="1"/>
      <c r="K975" s="1"/>
      <c r="L975" s="1"/>
      <c r="M975" s="5"/>
      <c r="N975" s="5"/>
      <c r="O975" s="5"/>
      <c r="P975" s="5"/>
      <c r="Q975" s="1"/>
      <c r="R975" s="1"/>
      <c r="S975" s="1"/>
      <c r="T975" s="1"/>
      <c r="U975" s="1"/>
      <c r="V975" s="1"/>
      <c r="W975" s="1"/>
      <c r="X975" s="1"/>
      <c r="Y975" s="1"/>
      <c r="Z975" s="1"/>
      <c r="AA975" s="1"/>
      <c r="AB975" s="1"/>
      <c r="AC975" s="1"/>
    </row>
    <row r="976" spans="1:29" ht="14.25" customHeight="1" x14ac:dyDescent="0.2">
      <c r="A976" s="1"/>
      <c r="B976" s="1"/>
      <c r="C976" s="1"/>
      <c r="D976" s="1"/>
      <c r="E976" s="1"/>
      <c r="F976" s="1"/>
      <c r="G976" s="1"/>
      <c r="H976" s="1"/>
      <c r="I976" s="1"/>
      <c r="J976" s="1"/>
      <c r="K976" s="1"/>
      <c r="L976" s="1"/>
      <c r="M976" s="5"/>
      <c r="N976" s="5"/>
      <c r="O976" s="5"/>
      <c r="P976" s="5"/>
      <c r="Q976" s="1"/>
      <c r="R976" s="1"/>
      <c r="S976" s="1"/>
      <c r="T976" s="1"/>
      <c r="U976" s="1"/>
      <c r="V976" s="1"/>
      <c r="W976" s="1"/>
      <c r="X976" s="1"/>
      <c r="Y976" s="1"/>
      <c r="Z976" s="1"/>
      <c r="AA976" s="1"/>
      <c r="AB976" s="1"/>
      <c r="AC976" s="1"/>
    </row>
    <row r="977" spans="1:29" ht="14.25" customHeight="1" x14ac:dyDescent="0.2">
      <c r="A977" s="1"/>
      <c r="B977" s="1"/>
      <c r="C977" s="1"/>
      <c r="D977" s="1"/>
      <c r="E977" s="1"/>
      <c r="F977" s="1"/>
      <c r="G977" s="1"/>
      <c r="H977" s="1"/>
      <c r="I977" s="1"/>
      <c r="J977" s="1"/>
      <c r="K977" s="1"/>
      <c r="L977" s="1"/>
      <c r="M977" s="5"/>
      <c r="N977" s="5"/>
      <c r="O977" s="5"/>
      <c r="P977" s="5"/>
      <c r="Q977" s="1"/>
      <c r="R977" s="1"/>
      <c r="S977" s="1"/>
      <c r="T977" s="1"/>
      <c r="U977" s="1"/>
      <c r="V977" s="1"/>
      <c r="W977" s="1"/>
      <c r="X977" s="1"/>
      <c r="Y977" s="1"/>
      <c r="Z977" s="1"/>
      <c r="AA977" s="1"/>
      <c r="AB977" s="1"/>
      <c r="AC977" s="1"/>
    </row>
    <row r="978" spans="1:29" ht="14.25" customHeight="1" x14ac:dyDescent="0.2">
      <c r="A978" s="1"/>
      <c r="B978" s="1"/>
      <c r="C978" s="1"/>
      <c r="D978" s="1"/>
      <c r="E978" s="1"/>
      <c r="F978" s="1"/>
      <c r="G978" s="1"/>
      <c r="H978" s="1"/>
      <c r="I978" s="1"/>
      <c r="J978" s="1"/>
      <c r="K978" s="1"/>
      <c r="L978" s="1"/>
      <c r="M978" s="5"/>
      <c r="N978" s="5"/>
      <c r="O978" s="5"/>
      <c r="P978" s="5"/>
      <c r="Q978" s="1"/>
      <c r="R978" s="1"/>
      <c r="S978" s="1"/>
      <c r="T978" s="1"/>
      <c r="U978" s="1"/>
      <c r="V978" s="1"/>
      <c r="W978" s="1"/>
      <c r="X978" s="1"/>
      <c r="Y978" s="1"/>
      <c r="Z978" s="1"/>
      <c r="AA978" s="1"/>
      <c r="AB978" s="1"/>
      <c r="AC978" s="1"/>
    </row>
    <row r="979" spans="1:29" ht="14.25" customHeight="1" x14ac:dyDescent="0.2">
      <c r="A979" s="1"/>
      <c r="B979" s="1"/>
      <c r="C979" s="1"/>
      <c r="D979" s="1"/>
      <c r="E979" s="1"/>
      <c r="F979" s="1"/>
      <c r="G979" s="1"/>
      <c r="H979" s="1"/>
      <c r="I979" s="1"/>
      <c r="J979" s="1"/>
      <c r="K979" s="1"/>
      <c r="L979" s="1"/>
      <c r="M979" s="5"/>
      <c r="N979" s="5"/>
      <c r="O979" s="5"/>
      <c r="P979" s="5"/>
      <c r="Q979" s="1"/>
      <c r="R979" s="1"/>
      <c r="S979" s="1"/>
      <c r="T979" s="1"/>
      <c r="U979" s="1"/>
      <c r="V979" s="1"/>
      <c r="W979" s="1"/>
      <c r="X979" s="1"/>
      <c r="Y979" s="1"/>
      <c r="Z979" s="1"/>
      <c r="AA979" s="1"/>
      <c r="AB979" s="1"/>
      <c r="AC979" s="1"/>
    </row>
    <row r="980" spans="1:29" ht="14.25" customHeight="1" x14ac:dyDescent="0.2">
      <c r="A980" s="1"/>
      <c r="B980" s="1"/>
      <c r="C980" s="1"/>
      <c r="D980" s="1"/>
      <c r="E980" s="1"/>
      <c r="F980" s="1"/>
      <c r="G980" s="1"/>
      <c r="H980" s="1"/>
      <c r="I980" s="1"/>
      <c r="J980" s="1"/>
      <c r="K980" s="1"/>
      <c r="L980" s="1"/>
      <c r="M980" s="5"/>
      <c r="N980" s="5"/>
      <c r="O980" s="5"/>
      <c r="P980" s="5"/>
      <c r="Q980" s="1"/>
      <c r="R980" s="1"/>
      <c r="S980" s="1"/>
      <c r="T980" s="1"/>
      <c r="U980" s="1"/>
      <c r="V980" s="1"/>
      <c r="W980" s="1"/>
      <c r="X980" s="1"/>
      <c r="Y980" s="1"/>
      <c r="Z980" s="1"/>
      <c r="AA980" s="1"/>
      <c r="AB980" s="1"/>
      <c r="AC980" s="1"/>
    </row>
    <row r="981" spans="1:29" ht="14.25" customHeight="1" x14ac:dyDescent="0.2">
      <c r="A981" s="1"/>
      <c r="B981" s="1"/>
      <c r="C981" s="1"/>
      <c r="D981" s="1"/>
      <c r="E981" s="1"/>
      <c r="F981" s="1"/>
      <c r="G981" s="1"/>
      <c r="H981" s="1"/>
      <c r="I981" s="1"/>
      <c r="J981" s="1"/>
      <c r="K981" s="1"/>
      <c r="L981" s="1"/>
      <c r="M981" s="5"/>
      <c r="N981" s="5"/>
      <c r="O981" s="5"/>
      <c r="P981" s="5"/>
      <c r="Q981" s="1"/>
      <c r="R981" s="1"/>
      <c r="S981" s="1"/>
      <c r="T981" s="1"/>
      <c r="U981" s="1"/>
      <c r="V981" s="1"/>
      <c r="W981" s="1"/>
      <c r="X981" s="1"/>
      <c r="Y981" s="1"/>
      <c r="Z981" s="1"/>
      <c r="AA981" s="1"/>
      <c r="AB981" s="1"/>
      <c r="AC981" s="1"/>
    </row>
    <row r="982" spans="1:29" ht="14.25" customHeight="1" x14ac:dyDescent="0.2">
      <c r="A982" s="1"/>
      <c r="B982" s="1"/>
      <c r="C982" s="1"/>
      <c r="D982" s="1"/>
      <c r="E982" s="1"/>
      <c r="F982" s="1"/>
      <c r="G982" s="1"/>
      <c r="H982" s="1"/>
      <c r="I982" s="1"/>
      <c r="J982" s="1"/>
      <c r="K982" s="1"/>
      <c r="L982" s="1"/>
      <c r="M982" s="5"/>
      <c r="N982" s="5"/>
      <c r="O982" s="5"/>
      <c r="P982" s="5"/>
      <c r="Q982" s="1"/>
      <c r="R982" s="1"/>
      <c r="S982" s="1"/>
      <c r="T982" s="1"/>
      <c r="U982" s="1"/>
      <c r="V982" s="1"/>
      <c r="W982" s="1"/>
      <c r="X982" s="1"/>
      <c r="Y982" s="1"/>
      <c r="Z982" s="1"/>
      <c r="AA982" s="1"/>
      <c r="AB982" s="1"/>
      <c r="AC982" s="1"/>
    </row>
    <row r="983" spans="1:29" ht="14.25" customHeight="1" x14ac:dyDescent="0.2">
      <c r="A983" s="1"/>
      <c r="B983" s="1"/>
      <c r="C983" s="1"/>
      <c r="D983" s="1"/>
      <c r="E983" s="1"/>
      <c r="F983" s="1"/>
      <c r="G983" s="1"/>
      <c r="H983" s="1"/>
      <c r="I983" s="1"/>
      <c r="J983" s="1"/>
      <c r="K983" s="1"/>
      <c r="L983" s="1"/>
      <c r="M983" s="5"/>
      <c r="N983" s="5"/>
      <c r="O983" s="5"/>
      <c r="P983" s="5"/>
      <c r="Q983" s="1"/>
      <c r="R983" s="1"/>
      <c r="S983" s="1"/>
      <c r="T983" s="1"/>
      <c r="U983" s="1"/>
      <c r="V983" s="1"/>
      <c r="W983" s="1"/>
      <c r="X983" s="1"/>
      <c r="Y983" s="1"/>
      <c r="Z983" s="1"/>
      <c r="AA983" s="1"/>
      <c r="AB983" s="1"/>
      <c r="AC983" s="1"/>
    </row>
    <row r="984" spans="1:29" ht="14.25" customHeight="1" x14ac:dyDescent="0.2">
      <c r="A984" s="1"/>
      <c r="B984" s="1"/>
      <c r="C984" s="1"/>
      <c r="D984" s="1"/>
      <c r="E984" s="1"/>
      <c r="F984" s="1"/>
      <c r="G984" s="1"/>
      <c r="H984" s="1"/>
      <c r="I984" s="1"/>
      <c r="J984" s="1"/>
      <c r="K984" s="1"/>
      <c r="L984" s="1"/>
      <c r="M984" s="5"/>
      <c r="N984" s="5"/>
      <c r="O984" s="5"/>
      <c r="P984" s="5"/>
      <c r="Q984" s="1"/>
      <c r="R984" s="1"/>
      <c r="S984" s="1"/>
      <c r="T984" s="1"/>
      <c r="U984" s="1"/>
      <c r="V984" s="1"/>
      <c r="W984" s="1"/>
      <c r="X984" s="1"/>
      <c r="Y984" s="1"/>
      <c r="Z984" s="1"/>
      <c r="AA984" s="1"/>
      <c r="AB984" s="1"/>
      <c r="AC984" s="1"/>
    </row>
    <row r="985" spans="1:29" ht="14.25" customHeight="1" x14ac:dyDescent="0.2">
      <c r="A985" s="1"/>
      <c r="B985" s="1"/>
      <c r="C985" s="1"/>
      <c r="D985" s="1"/>
      <c r="E985" s="1"/>
      <c r="F985" s="1"/>
      <c r="G985" s="1"/>
      <c r="H985" s="1"/>
      <c r="I985" s="1"/>
      <c r="J985" s="1"/>
      <c r="K985" s="1"/>
      <c r="L985" s="1"/>
      <c r="M985" s="5"/>
      <c r="N985" s="5"/>
      <c r="O985" s="5"/>
      <c r="P985" s="5"/>
      <c r="Q985" s="1"/>
      <c r="R985" s="1"/>
      <c r="S985" s="1"/>
      <c r="T985" s="1"/>
      <c r="U985" s="1"/>
      <c r="V985" s="1"/>
      <c r="W985" s="1"/>
      <c r="X985" s="1"/>
      <c r="Y985" s="1"/>
      <c r="Z985" s="1"/>
      <c r="AA985" s="1"/>
      <c r="AB985" s="1"/>
      <c r="AC985" s="1"/>
    </row>
    <row r="986" spans="1:29" ht="14.25" customHeight="1" x14ac:dyDescent="0.2">
      <c r="A986" s="1"/>
      <c r="B986" s="1"/>
      <c r="C986" s="1"/>
      <c r="D986" s="1"/>
      <c r="E986" s="1"/>
      <c r="F986" s="1"/>
      <c r="G986" s="1"/>
      <c r="H986" s="1"/>
      <c r="I986" s="1"/>
      <c r="J986" s="1"/>
      <c r="K986" s="1"/>
      <c r="L986" s="1"/>
      <c r="M986" s="5"/>
      <c r="N986" s="5"/>
      <c r="O986" s="5"/>
      <c r="P986" s="5"/>
      <c r="Q986" s="1"/>
      <c r="R986" s="1"/>
      <c r="S986" s="1"/>
      <c r="T986" s="1"/>
      <c r="U986" s="1"/>
      <c r="V986" s="1"/>
      <c r="W986" s="1"/>
      <c r="X986" s="1"/>
      <c r="Y986" s="1"/>
      <c r="Z986" s="1"/>
      <c r="AA986" s="1"/>
      <c r="AB986" s="1"/>
      <c r="AC986" s="1"/>
    </row>
    <row r="987" spans="1:29" ht="14.25" customHeight="1" x14ac:dyDescent="0.2">
      <c r="A987" s="1"/>
      <c r="B987" s="1"/>
      <c r="C987" s="1"/>
      <c r="D987" s="1"/>
      <c r="E987" s="1"/>
      <c r="F987" s="1"/>
      <c r="G987" s="1"/>
      <c r="H987" s="1"/>
      <c r="I987" s="1"/>
      <c r="J987" s="1"/>
      <c r="K987" s="1"/>
      <c r="L987" s="1"/>
      <c r="M987" s="5"/>
      <c r="N987" s="5"/>
      <c r="O987" s="5"/>
      <c r="P987" s="5"/>
      <c r="Q987" s="1"/>
      <c r="R987" s="1"/>
      <c r="S987" s="1"/>
      <c r="T987" s="1"/>
      <c r="U987" s="1"/>
      <c r="V987" s="1"/>
      <c r="W987" s="1"/>
      <c r="X987" s="1"/>
      <c r="Y987" s="1"/>
      <c r="Z987" s="1"/>
      <c r="AA987" s="1"/>
      <c r="AB987" s="1"/>
      <c r="AC987" s="1"/>
    </row>
    <row r="988" spans="1:29" ht="14.25" customHeight="1" x14ac:dyDescent="0.2">
      <c r="A988" s="1"/>
      <c r="B988" s="1"/>
      <c r="C988" s="1"/>
      <c r="D988" s="1"/>
      <c r="E988" s="1"/>
      <c r="F988" s="1"/>
      <c r="G988" s="1"/>
      <c r="H988" s="1"/>
      <c r="I988" s="1"/>
      <c r="J988" s="1"/>
      <c r="K988" s="1"/>
      <c r="L988" s="1"/>
      <c r="M988" s="5"/>
      <c r="N988" s="5"/>
      <c r="O988" s="5"/>
      <c r="P988" s="5"/>
      <c r="Q988" s="1"/>
      <c r="R988" s="1"/>
      <c r="S988" s="1"/>
      <c r="T988" s="1"/>
      <c r="U988" s="1"/>
      <c r="V988" s="1"/>
      <c r="W988" s="1"/>
      <c r="X988" s="1"/>
      <c r="Y988" s="1"/>
      <c r="Z988" s="1"/>
      <c r="AA988" s="1"/>
      <c r="AB988" s="1"/>
      <c r="AC988" s="1"/>
    </row>
    <row r="989" spans="1:29" ht="14.25" customHeight="1" x14ac:dyDescent="0.2">
      <c r="A989" s="1"/>
      <c r="B989" s="1"/>
      <c r="C989" s="1"/>
      <c r="D989" s="1"/>
      <c r="E989" s="1"/>
      <c r="F989" s="1"/>
      <c r="G989" s="1"/>
      <c r="H989" s="1"/>
      <c r="I989" s="1"/>
      <c r="J989" s="1"/>
      <c r="K989" s="1"/>
      <c r="L989" s="1"/>
      <c r="M989" s="5"/>
      <c r="N989" s="5"/>
      <c r="O989" s="5"/>
      <c r="P989" s="5"/>
      <c r="Q989" s="1"/>
      <c r="R989" s="1"/>
      <c r="S989" s="1"/>
      <c r="T989" s="1"/>
      <c r="U989" s="1"/>
      <c r="V989" s="1"/>
      <c r="W989" s="1"/>
      <c r="X989" s="1"/>
      <c r="Y989" s="1"/>
      <c r="Z989" s="1"/>
      <c r="AA989" s="1"/>
      <c r="AB989" s="1"/>
      <c r="AC989" s="1"/>
    </row>
    <row r="990" spans="1:29" ht="14.25" customHeight="1" x14ac:dyDescent="0.2">
      <c r="A990" s="1"/>
      <c r="B990" s="1"/>
      <c r="C990" s="1"/>
      <c r="D990" s="1"/>
      <c r="E990" s="1"/>
      <c r="F990" s="1"/>
      <c r="G990" s="1"/>
      <c r="H990" s="1"/>
      <c r="I990" s="1"/>
      <c r="J990" s="1"/>
      <c r="K990" s="1"/>
      <c r="L990" s="1"/>
      <c r="M990" s="5"/>
      <c r="N990" s="5"/>
      <c r="O990" s="5"/>
      <c r="P990" s="5"/>
      <c r="Q990" s="1"/>
      <c r="R990" s="1"/>
      <c r="S990" s="1"/>
      <c r="T990" s="1"/>
      <c r="U990" s="1"/>
      <c r="V990" s="1"/>
      <c r="W990" s="1"/>
      <c r="X990" s="1"/>
      <c r="Y990" s="1"/>
      <c r="Z990" s="1"/>
      <c r="AA990" s="1"/>
      <c r="AB990" s="1"/>
      <c r="AC990" s="1"/>
    </row>
    <row r="991" spans="1:29" ht="14.25" customHeight="1" x14ac:dyDescent="0.2">
      <c r="A991" s="1"/>
      <c r="B991" s="1"/>
      <c r="C991" s="1"/>
      <c r="D991" s="1"/>
      <c r="E991" s="1"/>
      <c r="F991" s="1"/>
      <c r="G991" s="1"/>
      <c r="H991" s="1"/>
      <c r="I991" s="1"/>
      <c r="J991" s="1"/>
      <c r="K991" s="1"/>
      <c r="L991" s="1"/>
      <c r="M991" s="5"/>
      <c r="N991" s="5"/>
      <c r="O991" s="5"/>
      <c r="P991" s="5"/>
      <c r="Q991" s="1"/>
      <c r="R991" s="1"/>
      <c r="S991" s="1"/>
      <c r="T991" s="1"/>
      <c r="U991" s="1"/>
      <c r="V991" s="1"/>
      <c r="W991" s="1"/>
      <c r="X991" s="1"/>
      <c r="Y991" s="1"/>
      <c r="Z991" s="1"/>
      <c r="AA991" s="1"/>
      <c r="AB991" s="1"/>
      <c r="AC991" s="1"/>
    </row>
    <row r="992" spans="1:29" ht="14.25" customHeight="1" x14ac:dyDescent="0.2">
      <c r="A992" s="1"/>
      <c r="B992" s="1"/>
      <c r="C992" s="1"/>
      <c r="D992" s="1"/>
      <c r="E992" s="1"/>
      <c r="F992" s="1"/>
      <c r="G992" s="1"/>
      <c r="H992" s="1"/>
      <c r="I992" s="1"/>
      <c r="J992" s="1"/>
      <c r="K992" s="1"/>
      <c r="L992" s="1"/>
      <c r="M992" s="5"/>
      <c r="N992" s="5"/>
      <c r="O992" s="5"/>
      <c r="P992" s="5"/>
      <c r="Q992" s="1"/>
      <c r="R992" s="1"/>
      <c r="S992" s="1"/>
      <c r="T992" s="1"/>
      <c r="U992" s="1"/>
      <c r="V992" s="1"/>
      <c r="W992" s="1"/>
      <c r="X992" s="1"/>
      <c r="Y992" s="1"/>
      <c r="Z992" s="1"/>
      <c r="AA992" s="1"/>
      <c r="AB992" s="1"/>
      <c r="AC992" s="1"/>
    </row>
    <row r="993" spans="1:29" ht="14.25" customHeight="1" x14ac:dyDescent="0.2">
      <c r="A993" s="1"/>
      <c r="B993" s="1"/>
      <c r="C993" s="1"/>
      <c r="D993" s="1"/>
      <c r="E993" s="1"/>
      <c r="F993" s="1"/>
      <c r="G993" s="1"/>
      <c r="H993" s="1"/>
      <c r="I993" s="1"/>
      <c r="J993" s="1"/>
      <c r="K993" s="1"/>
      <c r="L993" s="1"/>
      <c r="M993" s="5"/>
      <c r="N993" s="5"/>
      <c r="O993" s="5"/>
      <c r="P993" s="5"/>
      <c r="Q993" s="1"/>
      <c r="R993" s="1"/>
      <c r="S993" s="1"/>
      <c r="T993" s="1"/>
      <c r="U993" s="1"/>
      <c r="V993" s="1"/>
      <c r="W993" s="1"/>
      <c r="X993" s="1"/>
      <c r="Y993" s="1"/>
      <c r="Z993" s="1"/>
      <c r="AA993" s="1"/>
      <c r="AB993" s="1"/>
      <c r="AC993" s="1"/>
    </row>
    <row r="994" spans="1:29" ht="14.25" customHeight="1" x14ac:dyDescent="0.2">
      <c r="A994" s="1"/>
      <c r="B994" s="1"/>
      <c r="C994" s="1"/>
      <c r="D994" s="1"/>
      <c r="E994" s="1"/>
      <c r="F994" s="1"/>
      <c r="G994" s="1"/>
      <c r="H994" s="1"/>
      <c r="I994" s="1"/>
      <c r="J994" s="1"/>
      <c r="K994" s="1"/>
      <c r="L994" s="1"/>
      <c r="M994" s="5"/>
      <c r="N994" s="5"/>
      <c r="O994" s="5"/>
      <c r="P994" s="5"/>
      <c r="Q994" s="1"/>
      <c r="R994" s="1"/>
      <c r="S994" s="1"/>
      <c r="T994" s="1"/>
      <c r="U994" s="1"/>
      <c r="V994" s="1"/>
      <c r="W994" s="1"/>
      <c r="X994" s="1"/>
      <c r="Y994" s="1"/>
      <c r="Z994" s="1"/>
      <c r="AA994" s="1"/>
      <c r="AB994" s="1"/>
      <c r="AC994" s="1"/>
    </row>
    <row r="995" spans="1:29" ht="14.25" customHeight="1" x14ac:dyDescent="0.2">
      <c r="A995" s="1"/>
      <c r="B995" s="1"/>
      <c r="C995" s="1"/>
      <c r="D995" s="1"/>
      <c r="E995" s="1"/>
      <c r="F995" s="1"/>
      <c r="G995" s="1"/>
      <c r="H995" s="1"/>
      <c r="I995" s="1"/>
      <c r="J995" s="1"/>
      <c r="K995" s="1"/>
      <c r="L995" s="1"/>
      <c r="M995" s="5"/>
      <c r="N995" s="5"/>
      <c r="O995" s="5"/>
      <c r="P995" s="5"/>
      <c r="Q995" s="1"/>
      <c r="R995" s="1"/>
      <c r="S995" s="1"/>
      <c r="T995" s="1"/>
      <c r="U995" s="1"/>
      <c r="V995" s="1"/>
      <c r="W995" s="1"/>
      <c r="X995" s="1"/>
      <c r="Y995" s="1"/>
      <c r="Z995" s="1"/>
      <c r="AA995" s="1"/>
      <c r="AB995" s="1"/>
      <c r="AC995" s="1"/>
    </row>
    <row r="996" spans="1:29" ht="14.25" customHeight="1" x14ac:dyDescent="0.2">
      <c r="A996" s="1"/>
      <c r="B996" s="1"/>
      <c r="C996" s="1"/>
      <c r="D996" s="1"/>
      <c r="E996" s="1"/>
      <c r="F996" s="1"/>
      <c r="G996" s="1"/>
      <c r="H996" s="1"/>
      <c r="I996" s="1"/>
      <c r="J996" s="1"/>
      <c r="K996" s="1"/>
      <c r="L996" s="1"/>
      <c r="M996" s="5"/>
      <c r="N996" s="5"/>
      <c r="O996" s="5"/>
      <c r="P996" s="5"/>
      <c r="Q996" s="1"/>
      <c r="R996" s="1"/>
      <c r="S996" s="1"/>
      <c r="T996" s="1"/>
      <c r="U996" s="1"/>
      <c r="V996" s="1"/>
      <c r="W996" s="1"/>
      <c r="X996" s="1"/>
      <c r="Y996" s="1"/>
      <c r="Z996" s="1"/>
      <c r="AA996" s="1"/>
      <c r="AB996" s="1"/>
      <c r="AC996" s="1"/>
    </row>
    <row r="997" spans="1:29" ht="14.25" customHeight="1" x14ac:dyDescent="0.2">
      <c r="A997" s="1"/>
      <c r="B997" s="1"/>
      <c r="C997" s="1"/>
      <c r="D997" s="1"/>
      <c r="E997" s="1"/>
      <c r="F997" s="1"/>
      <c r="G997" s="1"/>
      <c r="H997" s="1"/>
      <c r="I997" s="1"/>
      <c r="J997" s="1"/>
      <c r="K997" s="1"/>
      <c r="L997" s="1"/>
      <c r="M997" s="5"/>
      <c r="N997" s="5"/>
      <c r="O997" s="5"/>
      <c r="P997" s="5"/>
      <c r="Q997" s="1"/>
      <c r="R997" s="1"/>
      <c r="S997" s="1"/>
      <c r="T997" s="1"/>
      <c r="U997" s="1"/>
      <c r="V997" s="1"/>
      <c r="W997" s="1"/>
      <c r="X997" s="1"/>
      <c r="Y997" s="1"/>
      <c r="Z997" s="1"/>
      <c r="AA997" s="1"/>
      <c r="AB997" s="1"/>
      <c r="AC997" s="1"/>
    </row>
    <row r="998" spans="1:29" ht="14.25" customHeight="1" x14ac:dyDescent="0.2">
      <c r="A998" s="1"/>
      <c r="B998" s="1"/>
      <c r="C998" s="1"/>
      <c r="D998" s="1"/>
      <c r="E998" s="1"/>
      <c r="F998" s="1"/>
      <c r="G998" s="1"/>
      <c r="H998" s="1"/>
      <c r="I998" s="1"/>
      <c r="J998" s="1"/>
      <c r="K998" s="1"/>
      <c r="L998" s="1"/>
      <c r="M998" s="5"/>
      <c r="N998" s="5"/>
      <c r="O998" s="5"/>
      <c r="P998" s="5"/>
      <c r="Q998" s="1"/>
      <c r="R998" s="1"/>
      <c r="S998" s="1"/>
      <c r="T998" s="1"/>
      <c r="U998" s="1"/>
      <c r="V998" s="1"/>
      <c r="W998" s="1"/>
      <c r="X998" s="1"/>
      <c r="Y998" s="1"/>
      <c r="Z998" s="1"/>
      <c r="AA998" s="1"/>
      <c r="AB998" s="1"/>
      <c r="AC998" s="1"/>
    </row>
    <row r="999" spans="1:29" ht="14.25" customHeight="1" x14ac:dyDescent="0.2">
      <c r="A999" s="1"/>
      <c r="B999" s="1"/>
      <c r="C999" s="1"/>
      <c r="D999" s="1"/>
      <c r="E999" s="1"/>
      <c r="F999" s="1"/>
      <c r="G999" s="1"/>
      <c r="H999" s="1"/>
      <c r="I999" s="1"/>
      <c r="J999" s="1"/>
      <c r="K999" s="1"/>
      <c r="L999" s="1"/>
      <c r="M999" s="5"/>
      <c r="N999" s="5"/>
      <c r="O999" s="5"/>
      <c r="P999" s="5"/>
      <c r="Q999" s="1"/>
      <c r="R999" s="1"/>
      <c r="S999" s="1"/>
      <c r="T999" s="1"/>
      <c r="U999" s="1"/>
      <c r="V999" s="1"/>
      <c r="W999" s="1"/>
      <c r="X999" s="1"/>
      <c r="Y999" s="1"/>
      <c r="Z999" s="1"/>
      <c r="AA999" s="1"/>
      <c r="AB999" s="1"/>
      <c r="AC999" s="1"/>
    </row>
    <row r="1000" spans="1:29" ht="14.25" customHeight="1" x14ac:dyDescent="0.2">
      <c r="A1000" s="1"/>
      <c r="B1000" s="1"/>
      <c r="C1000" s="1"/>
      <c r="D1000" s="1"/>
      <c r="E1000" s="1"/>
      <c r="F1000" s="1"/>
      <c r="G1000" s="1"/>
      <c r="H1000" s="1"/>
      <c r="I1000" s="1"/>
      <c r="J1000" s="1"/>
      <c r="K1000" s="1"/>
      <c r="L1000" s="1"/>
      <c r="M1000" s="5"/>
      <c r="N1000" s="5"/>
      <c r="O1000" s="5"/>
      <c r="P1000" s="5"/>
      <c r="Q1000" s="1"/>
      <c r="R1000" s="1"/>
      <c r="S1000" s="1"/>
      <c r="T1000" s="1"/>
      <c r="U1000" s="1"/>
      <c r="V1000" s="1"/>
      <c r="W1000" s="1"/>
      <c r="X1000" s="1"/>
      <c r="Y1000" s="1"/>
      <c r="Z1000" s="1"/>
      <c r="AA1000" s="1"/>
      <c r="AB1000" s="1"/>
      <c r="AC1000" s="1"/>
    </row>
  </sheetData>
  <mergeCells count="18">
    <mergeCell ref="O1:O99"/>
    <mergeCell ref="P1:P99"/>
    <mergeCell ref="B2:L2"/>
    <mergeCell ref="B4:L4"/>
    <mergeCell ref="B6:L6"/>
    <mergeCell ref="B94:L99"/>
    <mergeCell ref="B35:L48"/>
    <mergeCell ref="B49:L57"/>
    <mergeCell ref="B58:L71"/>
    <mergeCell ref="B73:L83"/>
    <mergeCell ref="B84:L92"/>
    <mergeCell ref="B8:L8"/>
    <mergeCell ref="B10:L10"/>
    <mergeCell ref="B12:L12"/>
    <mergeCell ref="B14:L20"/>
    <mergeCell ref="B33:L33"/>
    <mergeCell ref="M1:M99"/>
    <mergeCell ref="N1:N99"/>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activeCell="F22" sqref="F22"/>
    </sheetView>
  </sheetViews>
  <sheetFormatPr baseColWidth="10" defaultColWidth="14.5" defaultRowHeight="15" customHeight="1" x14ac:dyDescent="0.2"/>
  <cols>
    <col min="1" max="3" width="19" customWidth="1"/>
    <col min="4" max="4" width="11.5" customWidth="1"/>
    <col min="5" max="5" width="28.6640625" customWidth="1"/>
    <col min="6" max="6" width="26.6640625" customWidth="1"/>
    <col min="7" max="7" width="21.83203125" customWidth="1"/>
    <col min="8" max="26" width="11.5" customWidth="1"/>
  </cols>
  <sheetData>
    <row r="1" spans="1:7" ht="14.25" customHeight="1" x14ac:dyDescent="0.2">
      <c r="A1" s="6" t="s">
        <v>15</v>
      </c>
      <c r="B1" s="6" t="s">
        <v>16</v>
      </c>
      <c r="C1" s="6" t="s">
        <v>17</v>
      </c>
    </row>
    <row r="2" spans="1:7" ht="14.25" customHeight="1" x14ac:dyDescent="0.2">
      <c r="A2" s="7">
        <v>1</v>
      </c>
      <c r="B2" s="7">
        <v>2</v>
      </c>
      <c r="C2" s="8">
        <v>1.98</v>
      </c>
    </row>
    <row r="3" spans="1:7" ht="14.25" customHeight="1" x14ac:dyDescent="0.2">
      <c r="A3" s="7">
        <v>2</v>
      </c>
      <c r="B3" s="7">
        <v>4</v>
      </c>
      <c r="C3" s="9">
        <v>3.96</v>
      </c>
    </row>
    <row r="4" spans="1:7" ht="14.25" customHeight="1" x14ac:dyDescent="0.2">
      <c r="A4" s="7">
        <v>3</v>
      </c>
      <c r="B4" s="7">
        <v>8</v>
      </c>
      <c r="C4" s="9">
        <v>5.94</v>
      </c>
    </row>
    <row r="5" spans="1:7" ht="14.25" customHeight="1" x14ac:dyDescent="0.2">
      <c r="A5" s="7">
        <v>4</v>
      </c>
      <c r="B5" s="7">
        <v>14</v>
      </c>
      <c r="C5" s="9">
        <v>8.91</v>
      </c>
    </row>
    <row r="6" spans="1:7" ht="14.25" customHeight="1" x14ac:dyDescent="0.2">
      <c r="A6" s="7">
        <v>5</v>
      </c>
      <c r="B6" s="7">
        <v>23</v>
      </c>
      <c r="C6" s="9">
        <v>13.86</v>
      </c>
    </row>
    <row r="7" spans="1:7" ht="14.25" customHeight="1" x14ac:dyDescent="0.2">
      <c r="A7" s="7">
        <v>6</v>
      </c>
      <c r="B7" s="7">
        <v>37</v>
      </c>
      <c r="C7" s="9">
        <v>0.99</v>
      </c>
      <c r="E7" s="72" t="s">
        <v>18</v>
      </c>
      <c r="F7" s="73"/>
      <c r="G7" s="10"/>
    </row>
    <row r="8" spans="1:7" ht="14.25" customHeight="1" x14ac:dyDescent="0.2">
      <c r="A8" s="7">
        <v>7</v>
      </c>
      <c r="B8" s="7">
        <v>38</v>
      </c>
      <c r="C8" s="9">
        <v>1.98</v>
      </c>
      <c r="E8" s="74"/>
      <c r="F8" s="75"/>
      <c r="G8" s="10"/>
    </row>
    <row r="9" spans="1:7" ht="14.25" customHeight="1" x14ac:dyDescent="0.2">
      <c r="A9" s="7">
        <v>8</v>
      </c>
      <c r="B9" s="7">
        <v>40</v>
      </c>
      <c r="C9" s="9">
        <v>1.98</v>
      </c>
      <c r="E9" s="11"/>
      <c r="F9" s="12" t="s">
        <v>19</v>
      </c>
    </row>
    <row r="10" spans="1:7" ht="14.25" customHeight="1" x14ac:dyDescent="0.2">
      <c r="A10" s="7">
        <v>9</v>
      </c>
      <c r="B10" s="7">
        <v>42</v>
      </c>
      <c r="C10" s="9">
        <v>3.96</v>
      </c>
      <c r="E10" s="13" t="s">
        <v>20</v>
      </c>
      <c r="F10" s="14">
        <f>AVERAGE(C2:C414)</f>
        <v>5.6519417475728249</v>
      </c>
    </row>
    <row r="11" spans="1:7" ht="14.25" customHeight="1" x14ac:dyDescent="0.2">
      <c r="A11" s="7">
        <v>10</v>
      </c>
      <c r="B11" s="7">
        <v>46</v>
      </c>
      <c r="C11" s="9">
        <v>5.94</v>
      </c>
      <c r="E11" s="13" t="s">
        <v>21</v>
      </c>
      <c r="F11" s="14">
        <f>MEDIAN(C2:C414)</f>
        <v>3.96</v>
      </c>
    </row>
    <row r="12" spans="1:7" ht="14.25" customHeight="1" x14ac:dyDescent="0.2">
      <c r="A12" s="7">
        <v>11</v>
      </c>
      <c r="B12" s="7">
        <v>52</v>
      </c>
      <c r="C12" s="9">
        <v>8.91</v>
      </c>
      <c r="E12" s="13" t="s">
        <v>22</v>
      </c>
      <c r="F12" s="15">
        <f>MODE(C2:C414)</f>
        <v>1.98</v>
      </c>
    </row>
    <row r="13" spans="1:7" ht="14.25" customHeight="1" x14ac:dyDescent="0.2">
      <c r="A13" s="7">
        <v>12</v>
      </c>
      <c r="B13" s="7">
        <v>8</v>
      </c>
      <c r="C13" s="9">
        <v>13.86</v>
      </c>
      <c r="E13" s="13" t="s">
        <v>23</v>
      </c>
      <c r="F13" s="14">
        <f>MAX(C2:C414)</f>
        <v>25.86</v>
      </c>
    </row>
    <row r="14" spans="1:7" ht="14.25" customHeight="1" x14ac:dyDescent="0.2">
      <c r="A14" s="7">
        <v>13</v>
      </c>
      <c r="B14" s="7">
        <v>16</v>
      </c>
      <c r="C14" s="9">
        <v>0.99</v>
      </c>
      <c r="E14" s="13" t="s">
        <v>24</v>
      </c>
      <c r="F14" s="14">
        <f>MIN(C2:C414)</f>
        <v>0.99</v>
      </c>
    </row>
    <row r="15" spans="1:7" ht="14.25" customHeight="1" x14ac:dyDescent="0.2">
      <c r="A15" s="7">
        <v>14</v>
      </c>
      <c r="B15" s="7">
        <v>17</v>
      </c>
      <c r="C15" s="9">
        <v>1.98</v>
      </c>
      <c r="E15" s="13" t="s">
        <v>25</v>
      </c>
      <c r="F15" s="14" cm="1">
        <f t="array" ref="F15">MAX(C2:C414-MIN(C2:C414))</f>
        <v>24.87</v>
      </c>
    </row>
    <row r="16" spans="1:7" ht="14.25" customHeight="1" x14ac:dyDescent="0.2">
      <c r="A16" s="7">
        <v>15</v>
      </c>
      <c r="B16" s="7">
        <v>19</v>
      </c>
      <c r="C16" s="9">
        <v>1.98</v>
      </c>
      <c r="E16" s="13" t="s">
        <v>26</v>
      </c>
      <c r="F16" s="16">
        <f>_xlfn.VAR.S(C2:C414)</f>
        <v>22.51805899416529</v>
      </c>
    </row>
    <row r="17" spans="1:6" ht="14.25" customHeight="1" x14ac:dyDescent="0.2">
      <c r="A17" s="7">
        <v>16</v>
      </c>
      <c r="B17" s="7">
        <v>21</v>
      </c>
      <c r="C17" s="9">
        <v>3.96</v>
      </c>
      <c r="E17" s="13" t="s">
        <v>27</v>
      </c>
      <c r="F17" s="16">
        <f>_xlfn.STDEV.S(C2:C414)</f>
        <v>4.7453196935681046</v>
      </c>
    </row>
    <row r="18" spans="1:6" ht="14.25" customHeight="1" x14ac:dyDescent="0.2">
      <c r="A18" s="7">
        <v>17</v>
      </c>
      <c r="B18" s="7">
        <v>25</v>
      </c>
      <c r="C18" s="9">
        <v>5.94</v>
      </c>
      <c r="E18" s="17"/>
      <c r="F18" s="18" t="s">
        <v>28</v>
      </c>
    </row>
    <row r="19" spans="1:6" ht="14.25" customHeight="1" x14ac:dyDescent="0.2">
      <c r="A19" s="7">
        <v>18</v>
      </c>
      <c r="B19" s="7">
        <v>31</v>
      </c>
      <c r="C19" s="9">
        <v>8.91</v>
      </c>
      <c r="E19" s="13" t="s">
        <v>29</v>
      </c>
      <c r="F19" s="19">
        <f>_xlfn.MODE.SNGL(B2:B414)</f>
        <v>8</v>
      </c>
    </row>
    <row r="20" spans="1:6" ht="14.25" customHeight="1" x14ac:dyDescent="0.2">
      <c r="A20" s="7">
        <v>19</v>
      </c>
      <c r="B20" s="7">
        <v>40</v>
      </c>
      <c r="C20" s="9">
        <v>13.86</v>
      </c>
      <c r="E20" s="20"/>
      <c r="F20" s="18" t="s">
        <v>30</v>
      </c>
    </row>
    <row r="21" spans="1:6" ht="14.25" customHeight="1" x14ac:dyDescent="0.2">
      <c r="A21" s="7">
        <v>20</v>
      </c>
      <c r="B21" s="7">
        <v>54</v>
      </c>
      <c r="C21" s="9">
        <v>0.99</v>
      </c>
      <c r="E21" s="21" t="s">
        <v>29</v>
      </c>
      <c r="F21" s="22">
        <f>COUNTIF(B2:B413, F19)</f>
        <v>8</v>
      </c>
    </row>
    <row r="22" spans="1:6" ht="14.25" customHeight="1" x14ac:dyDescent="0.2">
      <c r="A22" s="7">
        <v>21</v>
      </c>
      <c r="B22" s="7">
        <v>55</v>
      </c>
      <c r="C22" s="9">
        <v>1.98</v>
      </c>
    </row>
    <row r="23" spans="1:6" ht="14.25" customHeight="1" x14ac:dyDescent="0.2">
      <c r="A23" s="7">
        <v>22</v>
      </c>
      <c r="B23" s="7">
        <v>57</v>
      </c>
      <c r="C23" s="9">
        <v>1.98</v>
      </c>
    </row>
    <row r="24" spans="1:6" ht="14.25" customHeight="1" x14ac:dyDescent="0.2">
      <c r="A24" s="7">
        <v>23</v>
      </c>
      <c r="B24" s="7">
        <v>59</v>
      </c>
      <c r="C24" s="9">
        <v>3.96</v>
      </c>
    </row>
    <row r="25" spans="1:6" ht="14.25" customHeight="1" x14ac:dyDescent="0.2">
      <c r="A25" s="7">
        <v>24</v>
      </c>
      <c r="B25" s="7">
        <v>4</v>
      </c>
      <c r="C25" s="9">
        <v>5.94</v>
      </c>
    </row>
    <row r="26" spans="1:6" ht="14.25" customHeight="1" x14ac:dyDescent="0.2">
      <c r="A26" s="7">
        <v>25</v>
      </c>
      <c r="B26" s="7">
        <v>10</v>
      </c>
      <c r="C26" s="9">
        <v>8.91</v>
      </c>
    </row>
    <row r="27" spans="1:6" ht="14.25" customHeight="1" x14ac:dyDescent="0.2">
      <c r="A27" s="7">
        <v>26</v>
      </c>
      <c r="B27" s="7">
        <v>19</v>
      </c>
      <c r="C27" s="9">
        <v>13.86</v>
      </c>
    </row>
    <row r="28" spans="1:6" ht="14.25" customHeight="1" x14ac:dyDescent="0.2">
      <c r="A28" s="7">
        <v>27</v>
      </c>
      <c r="B28" s="7">
        <v>33</v>
      </c>
      <c r="C28" s="9">
        <v>0.99</v>
      </c>
    </row>
    <row r="29" spans="1:6" ht="14.25" customHeight="1" x14ac:dyDescent="0.2">
      <c r="A29" s="7">
        <v>28</v>
      </c>
      <c r="B29" s="7">
        <v>34</v>
      </c>
      <c r="C29" s="9">
        <v>1.98</v>
      </c>
    </row>
    <row r="30" spans="1:6" ht="14.25" customHeight="1" x14ac:dyDescent="0.2">
      <c r="A30" s="7">
        <v>29</v>
      </c>
      <c r="B30" s="7">
        <v>36</v>
      </c>
      <c r="C30" s="9">
        <v>1.98</v>
      </c>
    </row>
    <row r="31" spans="1:6" ht="14.25" customHeight="1" x14ac:dyDescent="0.2">
      <c r="A31" s="7">
        <v>30</v>
      </c>
      <c r="B31" s="7">
        <v>38</v>
      </c>
      <c r="C31" s="9">
        <v>3.96</v>
      </c>
    </row>
    <row r="32" spans="1:6" ht="14.25" customHeight="1" x14ac:dyDescent="0.2">
      <c r="A32" s="7">
        <v>31</v>
      </c>
      <c r="B32" s="7">
        <v>42</v>
      </c>
      <c r="C32" s="9">
        <v>5.94</v>
      </c>
    </row>
    <row r="33" spans="1:3" ht="14.25" customHeight="1" x14ac:dyDescent="0.2">
      <c r="A33" s="7">
        <v>32</v>
      </c>
      <c r="B33" s="7">
        <v>48</v>
      </c>
      <c r="C33" s="9">
        <v>8.91</v>
      </c>
    </row>
    <row r="34" spans="1:3" ht="14.25" customHeight="1" x14ac:dyDescent="0.2">
      <c r="A34" s="7">
        <v>33</v>
      </c>
      <c r="B34" s="7">
        <v>57</v>
      </c>
      <c r="C34" s="9">
        <v>13.86</v>
      </c>
    </row>
    <row r="35" spans="1:3" ht="14.25" customHeight="1" x14ac:dyDescent="0.2">
      <c r="A35" s="7">
        <v>34</v>
      </c>
      <c r="B35" s="7">
        <v>12</v>
      </c>
      <c r="C35" s="9">
        <v>0.99</v>
      </c>
    </row>
    <row r="36" spans="1:3" ht="14.25" customHeight="1" x14ac:dyDescent="0.2">
      <c r="A36" s="7">
        <v>35</v>
      </c>
      <c r="B36" s="7">
        <v>13</v>
      </c>
      <c r="C36" s="9">
        <v>1.98</v>
      </c>
    </row>
    <row r="37" spans="1:3" ht="14.25" customHeight="1" x14ac:dyDescent="0.2">
      <c r="A37" s="7">
        <v>36</v>
      </c>
      <c r="B37" s="7">
        <v>15</v>
      </c>
      <c r="C37" s="9">
        <v>1.98</v>
      </c>
    </row>
    <row r="38" spans="1:3" ht="14.25" customHeight="1" x14ac:dyDescent="0.2">
      <c r="A38" s="7">
        <v>37</v>
      </c>
      <c r="B38" s="7">
        <v>17</v>
      </c>
      <c r="C38" s="9">
        <v>3.96</v>
      </c>
    </row>
    <row r="39" spans="1:3" ht="14.25" customHeight="1" x14ac:dyDescent="0.2">
      <c r="A39" s="7">
        <v>38</v>
      </c>
      <c r="B39" s="7">
        <v>21</v>
      </c>
      <c r="C39" s="9">
        <v>5.94</v>
      </c>
    </row>
    <row r="40" spans="1:3" ht="14.25" customHeight="1" x14ac:dyDescent="0.2">
      <c r="A40" s="7">
        <v>39</v>
      </c>
      <c r="B40" s="7">
        <v>27</v>
      </c>
      <c r="C40" s="9">
        <v>8.91</v>
      </c>
    </row>
    <row r="41" spans="1:3" ht="14.25" customHeight="1" x14ac:dyDescent="0.2">
      <c r="A41" s="7">
        <v>40</v>
      </c>
      <c r="B41" s="7">
        <v>36</v>
      </c>
      <c r="C41" s="9">
        <v>13.86</v>
      </c>
    </row>
    <row r="42" spans="1:3" ht="14.25" customHeight="1" x14ac:dyDescent="0.2">
      <c r="A42" s="7">
        <v>41</v>
      </c>
      <c r="B42" s="7">
        <v>50</v>
      </c>
      <c r="C42" s="9">
        <v>0.99</v>
      </c>
    </row>
    <row r="43" spans="1:3" ht="14.25" customHeight="1" x14ac:dyDescent="0.2">
      <c r="A43" s="7">
        <v>42</v>
      </c>
      <c r="B43" s="7">
        <v>51</v>
      </c>
      <c r="C43" s="9">
        <v>1.98</v>
      </c>
    </row>
    <row r="44" spans="1:3" ht="14.25" customHeight="1" x14ac:dyDescent="0.2">
      <c r="A44" s="7">
        <v>43</v>
      </c>
      <c r="B44" s="7">
        <v>53</v>
      </c>
      <c r="C44" s="9">
        <v>1.98</v>
      </c>
    </row>
    <row r="45" spans="1:3" ht="14.25" customHeight="1" x14ac:dyDescent="0.2">
      <c r="A45" s="7">
        <v>44</v>
      </c>
      <c r="B45" s="7">
        <v>55</v>
      </c>
      <c r="C45" s="9">
        <v>3.96</v>
      </c>
    </row>
    <row r="46" spans="1:3" ht="14.25" customHeight="1" x14ac:dyDescent="0.2">
      <c r="A46" s="7">
        <v>45</v>
      </c>
      <c r="B46" s="7">
        <v>59</v>
      </c>
      <c r="C46" s="9">
        <v>5.94</v>
      </c>
    </row>
    <row r="47" spans="1:3" ht="14.25" customHeight="1" x14ac:dyDescent="0.2">
      <c r="A47" s="7">
        <v>46</v>
      </c>
      <c r="B47" s="7">
        <v>6</v>
      </c>
      <c r="C47" s="9">
        <v>8.91</v>
      </c>
    </row>
    <row r="48" spans="1:3" ht="14.25" customHeight="1" x14ac:dyDescent="0.2">
      <c r="A48" s="7">
        <v>47</v>
      </c>
      <c r="B48" s="7">
        <v>15</v>
      </c>
      <c r="C48" s="9">
        <v>13.86</v>
      </c>
    </row>
    <row r="49" spans="1:3" ht="14.25" customHeight="1" x14ac:dyDescent="0.2">
      <c r="A49" s="7">
        <v>48</v>
      </c>
      <c r="B49" s="7">
        <v>29</v>
      </c>
      <c r="C49" s="9">
        <v>0.99</v>
      </c>
    </row>
    <row r="50" spans="1:3" ht="14.25" customHeight="1" x14ac:dyDescent="0.2">
      <c r="A50" s="7">
        <v>49</v>
      </c>
      <c r="B50" s="7">
        <v>30</v>
      </c>
      <c r="C50" s="9">
        <v>1.98</v>
      </c>
    </row>
    <row r="51" spans="1:3" ht="14.25" customHeight="1" x14ac:dyDescent="0.2">
      <c r="A51" s="7">
        <v>50</v>
      </c>
      <c r="B51" s="7">
        <v>32</v>
      </c>
      <c r="C51" s="9">
        <v>1.98</v>
      </c>
    </row>
    <row r="52" spans="1:3" ht="14.25" customHeight="1" x14ac:dyDescent="0.2">
      <c r="A52" s="7">
        <v>51</v>
      </c>
      <c r="B52" s="7">
        <v>34</v>
      </c>
      <c r="C52" s="9">
        <v>3.96</v>
      </c>
    </row>
    <row r="53" spans="1:3" ht="14.25" customHeight="1" x14ac:dyDescent="0.2">
      <c r="A53" s="7">
        <v>52</v>
      </c>
      <c r="B53" s="7">
        <v>38</v>
      </c>
      <c r="C53" s="9">
        <v>5.94</v>
      </c>
    </row>
    <row r="54" spans="1:3" ht="14.25" customHeight="1" x14ac:dyDescent="0.2">
      <c r="A54" s="7">
        <v>53</v>
      </c>
      <c r="B54" s="7">
        <v>44</v>
      </c>
      <c r="C54" s="9">
        <v>8.91</v>
      </c>
    </row>
    <row r="55" spans="1:3" ht="14.25" customHeight="1" x14ac:dyDescent="0.2">
      <c r="A55" s="7">
        <v>54</v>
      </c>
      <c r="B55" s="7">
        <v>53</v>
      </c>
      <c r="C55" s="9">
        <v>13.86</v>
      </c>
    </row>
    <row r="56" spans="1:3" ht="14.25" customHeight="1" x14ac:dyDescent="0.2">
      <c r="A56" s="7">
        <v>55</v>
      </c>
      <c r="B56" s="7">
        <v>8</v>
      </c>
      <c r="C56" s="9">
        <v>0.99</v>
      </c>
    </row>
    <row r="57" spans="1:3" ht="14.25" customHeight="1" x14ac:dyDescent="0.2">
      <c r="A57" s="7">
        <v>56</v>
      </c>
      <c r="B57" s="7">
        <v>9</v>
      </c>
      <c r="C57" s="9">
        <v>1.98</v>
      </c>
    </row>
    <row r="58" spans="1:3" ht="14.25" customHeight="1" x14ac:dyDescent="0.2">
      <c r="A58" s="7">
        <v>57</v>
      </c>
      <c r="B58" s="7">
        <v>11</v>
      </c>
      <c r="C58" s="9">
        <v>1.98</v>
      </c>
    </row>
    <row r="59" spans="1:3" ht="14.25" customHeight="1" x14ac:dyDescent="0.2">
      <c r="A59" s="7">
        <v>58</v>
      </c>
      <c r="B59" s="7">
        <v>13</v>
      </c>
      <c r="C59" s="9">
        <v>3.96</v>
      </c>
    </row>
    <row r="60" spans="1:3" ht="14.25" customHeight="1" x14ac:dyDescent="0.2">
      <c r="A60" s="7">
        <v>59</v>
      </c>
      <c r="B60" s="7">
        <v>17</v>
      </c>
      <c r="C60" s="9">
        <v>5.94</v>
      </c>
    </row>
    <row r="61" spans="1:3" ht="14.25" customHeight="1" x14ac:dyDescent="0.2">
      <c r="A61" s="7">
        <v>60</v>
      </c>
      <c r="B61" s="7">
        <v>23</v>
      </c>
      <c r="C61" s="9">
        <v>8.91</v>
      </c>
    </row>
    <row r="62" spans="1:3" ht="14.25" customHeight="1" x14ac:dyDescent="0.2">
      <c r="A62" s="7">
        <v>61</v>
      </c>
      <c r="B62" s="7">
        <v>32</v>
      </c>
      <c r="C62" s="9">
        <v>13.86</v>
      </c>
    </row>
    <row r="63" spans="1:3" ht="14.25" customHeight="1" x14ac:dyDescent="0.2">
      <c r="A63" s="7">
        <v>62</v>
      </c>
      <c r="B63" s="7">
        <v>46</v>
      </c>
      <c r="C63" s="9">
        <v>0.99</v>
      </c>
    </row>
    <row r="64" spans="1:3" ht="14.25" customHeight="1" x14ac:dyDescent="0.2">
      <c r="A64" s="7">
        <v>63</v>
      </c>
      <c r="B64" s="7">
        <v>47</v>
      </c>
      <c r="C64" s="9">
        <v>1.98</v>
      </c>
    </row>
    <row r="65" spans="1:3" ht="14.25" customHeight="1" x14ac:dyDescent="0.2">
      <c r="A65" s="7">
        <v>64</v>
      </c>
      <c r="B65" s="7">
        <v>49</v>
      </c>
      <c r="C65" s="9">
        <v>1.98</v>
      </c>
    </row>
    <row r="66" spans="1:3" ht="14.25" customHeight="1" x14ac:dyDescent="0.2">
      <c r="A66" s="7">
        <v>65</v>
      </c>
      <c r="B66" s="7">
        <v>51</v>
      </c>
      <c r="C66" s="9">
        <v>3.96</v>
      </c>
    </row>
    <row r="67" spans="1:3" ht="14.25" customHeight="1" x14ac:dyDescent="0.2">
      <c r="A67" s="7">
        <v>66</v>
      </c>
      <c r="B67" s="7">
        <v>55</v>
      </c>
      <c r="C67" s="9">
        <v>5.94</v>
      </c>
    </row>
    <row r="68" spans="1:3" ht="14.25" customHeight="1" x14ac:dyDescent="0.2">
      <c r="A68" s="7">
        <v>67</v>
      </c>
      <c r="B68" s="7">
        <v>2</v>
      </c>
      <c r="C68" s="9">
        <v>8.91</v>
      </c>
    </row>
    <row r="69" spans="1:3" ht="14.25" customHeight="1" x14ac:dyDescent="0.2">
      <c r="A69" s="7">
        <v>68</v>
      </c>
      <c r="B69" s="7">
        <v>11</v>
      </c>
      <c r="C69" s="9">
        <v>13.86</v>
      </c>
    </row>
    <row r="70" spans="1:3" ht="14.25" customHeight="1" x14ac:dyDescent="0.2">
      <c r="A70" s="7">
        <v>69</v>
      </c>
      <c r="B70" s="7">
        <v>25</v>
      </c>
      <c r="C70" s="9">
        <v>0.99</v>
      </c>
    </row>
    <row r="71" spans="1:3" ht="14.25" customHeight="1" x14ac:dyDescent="0.2">
      <c r="A71" s="7">
        <v>70</v>
      </c>
      <c r="B71" s="7">
        <v>26</v>
      </c>
      <c r="C71" s="9">
        <v>1.98</v>
      </c>
    </row>
    <row r="72" spans="1:3" ht="14.25" customHeight="1" x14ac:dyDescent="0.2">
      <c r="A72" s="7">
        <v>71</v>
      </c>
      <c r="B72" s="7">
        <v>28</v>
      </c>
      <c r="C72" s="9">
        <v>1.98</v>
      </c>
    </row>
    <row r="73" spans="1:3" ht="14.25" customHeight="1" x14ac:dyDescent="0.2">
      <c r="A73" s="7">
        <v>72</v>
      </c>
      <c r="B73" s="7">
        <v>30</v>
      </c>
      <c r="C73" s="9">
        <v>3.96</v>
      </c>
    </row>
    <row r="74" spans="1:3" ht="14.25" customHeight="1" x14ac:dyDescent="0.2">
      <c r="A74" s="7">
        <v>73</v>
      </c>
      <c r="B74" s="7">
        <v>34</v>
      </c>
      <c r="C74" s="9">
        <v>5.94</v>
      </c>
    </row>
    <row r="75" spans="1:3" ht="14.25" customHeight="1" x14ac:dyDescent="0.2">
      <c r="A75" s="7">
        <v>74</v>
      </c>
      <c r="B75" s="7">
        <v>40</v>
      </c>
      <c r="C75" s="9">
        <v>8.91</v>
      </c>
    </row>
    <row r="76" spans="1:3" ht="14.25" customHeight="1" x14ac:dyDescent="0.2">
      <c r="A76" s="7">
        <v>75</v>
      </c>
      <c r="B76" s="7">
        <v>49</v>
      </c>
      <c r="C76" s="9">
        <v>13.86</v>
      </c>
    </row>
    <row r="77" spans="1:3" ht="14.25" customHeight="1" x14ac:dyDescent="0.2">
      <c r="A77" s="7">
        <v>76</v>
      </c>
      <c r="B77" s="7">
        <v>4</v>
      </c>
      <c r="C77" s="9">
        <v>0.99</v>
      </c>
    </row>
    <row r="78" spans="1:3" ht="14.25" customHeight="1" x14ac:dyDescent="0.2">
      <c r="A78" s="7">
        <v>77</v>
      </c>
      <c r="B78" s="7">
        <v>5</v>
      </c>
      <c r="C78" s="9">
        <v>1.98</v>
      </c>
    </row>
    <row r="79" spans="1:3" ht="14.25" customHeight="1" x14ac:dyDescent="0.2">
      <c r="A79" s="7">
        <v>78</v>
      </c>
      <c r="B79" s="7">
        <v>7</v>
      </c>
      <c r="C79" s="9">
        <v>1.98</v>
      </c>
    </row>
    <row r="80" spans="1:3" ht="14.25" customHeight="1" x14ac:dyDescent="0.2">
      <c r="A80" s="7">
        <v>79</v>
      </c>
      <c r="B80" s="7">
        <v>9</v>
      </c>
      <c r="C80" s="9">
        <v>3.96</v>
      </c>
    </row>
    <row r="81" spans="1:3" ht="14.25" customHeight="1" x14ac:dyDescent="0.2">
      <c r="A81" s="7">
        <v>80</v>
      </c>
      <c r="B81" s="7">
        <v>13</v>
      </c>
      <c r="C81" s="9">
        <v>5.94</v>
      </c>
    </row>
    <row r="82" spans="1:3" ht="14.25" customHeight="1" x14ac:dyDescent="0.2">
      <c r="A82" s="7">
        <v>81</v>
      </c>
      <c r="B82" s="7">
        <v>19</v>
      </c>
      <c r="C82" s="9">
        <v>8.91</v>
      </c>
    </row>
    <row r="83" spans="1:3" ht="14.25" customHeight="1" x14ac:dyDescent="0.2">
      <c r="A83" s="7">
        <v>82</v>
      </c>
      <c r="B83" s="7">
        <v>28</v>
      </c>
      <c r="C83" s="9">
        <v>13.86</v>
      </c>
    </row>
    <row r="84" spans="1:3" ht="14.25" customHeight="1" x14ac:dyDescent="0.2">
      <c r="A84" s="7">
        <v>83</v>
      </c>
      <c r="B84" s="7">
        <v>42</v>
      </c>
      <c r="C84" s="9">
        <v>0.99</v>
      </c>
    </row>
    <row r="85" spans="1:3" ht="14.25" customHeight="1" x14ac:dyDescent="0.2">
      <c r="A85" s="7">
        <v>84</v>
      </c>
      <c r="B85" s="7">
        <v>43</v>
      </c>
      <c r="C85" s="9">
        <v>1.98</v>
      </c>
    </row>
    <row r="86" spans="1:3" ht="14.25" customHeight="1" x14ac:dyDescent="0.2">
      <c r="A86" s="7">
        <v>85</v>
      </c>
      <c r="B86" s="7">
        <v>45</v>
      </c>
      <c r="C86" s="9">
        <v>1.98</v>
      </c>
    </row>
    <row r="87" spans="1:3" ht="14.25" customHeight="1" x14ac:dyDescent="0.2">
      <c r="A87" s="7">
        <v>86</v>
      </c>
      <c r="B87" s="7">
        <v>47</v>
      </c>
      <c r="C87" s="9">
        <v>3.96</v>
      </c>
    </row>
    <row r="88" spans="1:3" ht="14.25" customHeight="1" x14ac:dyDescent="0.2">
      <c r="A88" s="7">
        <v>87</v>
      </c>
      <c r="B88" s="7">
        <v>51</v>
      </c>
      <c r="C88" s="9">
        <v>6.94</v>
      </c>
    </row>
    <row r="89" spans="1:3" ht="14.25" customHeight="1" x14ac:dyDescent="0.2">
      <c r="A89" s="7">
        <v>88</v>
      </c>
      <c r="B89" s="7">
        <v>57</v>
      </c>
      <c r="C89" s="9">
        <v>17.91</v>
      </c>
    </row>
    <row r="90" spans="1:3" ht="14.25" customHeight="1" x14ac:dyDescent="0.2">
      <c r="A90" s="7">
        <v>89</v>
      </c>
      <c r="B90" s="7">
        <v>7</v>
      </c>
      <c r="C90" s="9">
        <v>18.86</v>
      </c>
    </row>
    <row r="91" spans="1:3" ht="14.25" customHeight="1" x14ac:dyDescent="0.2">
      <c r="A91" s="7">
        <v>90</v>
      </c>
      <c r="B91" s="7">
        <v>21</v>
      </c>
      <c r="C91" s="9">
        <v>0.99</v>
      </c>
    </row>
    <row r="92" spans="1:3" ht="14.25" customHeight="1" x14ac:dyDescent="0.2">
      <c r="A92" s="7">
        <v>91</v>
      </c>
      <c r="B92" s="7">
        <v>22</v>
      </c>
      <c r="C92" s="9">
        <v>1.98</v>
      </c>
    </row>
    <row r="93" spans="1:3" ht="14.25" customHeight="1" x14ac:dyDescent="0.2">
      <c r="A93" s="7">
        <v>92</v>
      </c>
      <c r="B93" s="7">
        <v>24</v>
      </c>
      <c r="C93" s="9">
        <v>1.98</v>
      </c>
    </row>
    <row r="94" spans="1:3" ht="14.25" customHeight="1" x14ac:dyDescent="0.2">
      <c r="A94" s="7">
        <v>93</v>
      </c>
      <c r="B94" s="7">
        <v>26</v>
      </c>
      <c r="C94" s="9">
        <v>3.96</v>
      </c>
    </row>
    <row r="95" spans="1:3" ht="14.25" customHeight="1" x14ac:dyDescent="0.2">
      <c r="A95" s="7">
        <v>94</v>
      </c>
      <c r="B95" s="7">
        <v>30</v>
      </c>
      <c r="C95" s="9">
        <v>5.94</v>
      </c>
    </row>
    <row r="96" spans="1:3" ht="14.25" customHeight="1" x14ac:dyDescent="0.2">
      <c r="A96" s="7">
        <v>95</v>
      </c>
      <c r="B96" s="7">
        <v>36</v>
      </c>
      <c r="C96" s="9">
        <v>8.91</v>
      </c>
    </row>
    <row r="97" spans="1:3" ht="14.25" customHeight="1" x14ac:dyDescent="0.2">
      <c r="A97" s="7">
        <v>96</v>
      </c>
      <c r="B97" s="7">
        <v>45</v>
      </c>
      <c r="C97" s="9">
        <v>21.86</v>
      </c>
    </row>
    <row r="98" spans="1:3" ht="14.25" customHeight="1" x14ac:dyDescent="0.2">
      <c r="A98" s="7">
        <v>97</v>
      </c>
      <c r="B98" s="7">
        <v>59</v>
      </c>
      <c r="C98" s="9">
        <v>1.99</v>
      </c>
    </row>
    <row r="99" spans="1:3" ht="14.25" customHeight="1" x14ac:dyDescent="0.2">
      <c r="A99" s="7">
        <v>98</v>
      </c>
      <c r="B99" s="7">
        <v>1</v>
      </c>
      <c r="C99" s="9">
        <v>3.98</v>
      </c>
    </row>
    <row r="100" spans="1:3" ht="14.25" customHeight="1" x14ac:dyDescent="0.2">
      <c r="A100" s="7">
        <v>99</v>
      </c>
      <c r="B100" s="7">
        <v>3</v>
      </c>
      <c r="C100" s="9">
        <v>3.98</v>
      </c>
    </row>
    <row r="101" spans="1:3" ht="14.25" customHeight="1" x14ac:dyDescent="0.2">
      <c r="A101" s="7">
        <v>100</v>
      </c>
      <c r="B101" s="7">
        <v>5</v>
      </c>
      <c r="C101" s="9">
        <v>3.96</v>
      </c>
    </row>
    <row r="102" spans="1:3" ht="14.25" customHeight="1" x14ac:dyDescent="0.2">
      <c r="A102" s="7">
        <v>101</v>
      </c>
      <c r="B102" s="7">
        <v>9</v>
      </c>
      <c r="C102" s="9">
        <v>5.94</v>
      </c>
    </row>
    <row r="103" spans="1:3" ht="14.25" customHeight="1" x14ac:dyDescent="0.2">
      <c r="A103" s="7">
        <v>102</v>
      </c>
      <c r="B103" s="7">
        <v>15</v>
      </c>
      <c r="C103" s="9">
        <v>9.91</v>
      </c>
    </row>
    <row r="104" spans="1:3" ht="14.25" customHeight="1" x14ac:dyDescent="0.2">
      <c r="A104" s="7">
        <v>103</v>
      </c>
      <c r="B104" s="7">
        <v>24</v>
      </c>
      <c r="C104" s="9">
        <v>15.86</v>
      </c>
    </row>
    <row r="105" spans="1:3" ht="14.25" customHeight="1" x14ac:dyDescent="0.2">
      <c r="A105" s="7">
        <v>104</v>
      </c>
      <c r="B105" s="7">
        <v>38</v>
      </c>
      <c r="C105" s="9">
        <v>0.99</v>
      </c>
    </row>
    <row r="106" spans="1:3" ht="14.25" customHeight="1" x14ac:dyDescent="0.2">
      <c r="A106" s="7">
        <v>105</v>
      </c>
      <c r="B106" s="7">
        <v>39</v>
      </c>
      <c r="C106" s="9">
        <v>1.98</v>
      </c>
    </row>
    <row r="107" spans="1:3" ht="14.25" customHeight="1" x14ac:dyDescent="0.2">
      <c r="A107" s="7">
        <v>106</v>
      </c>
      <c r="B107" s="7">
        <v>41</v>
      </c>
      <c r="C107" s="9">
        <v>1.98</v>
      </c>
    </row>
    <row r="108" spans="1:3" ht="14.25" customHeight="1" x14ac:dyDescent="0.2">
      <c r="A108" s="7">
        <v>107</v>
      </c>
      <c r="B108" s="7">
        <v>43</v>
      </c>
      <c r="C108" s="9">
        <v>3.96</v>
      </c>
    </row>
    <row r="109" spans="1:3" ht="14.25" customHeight="1" x14ac:dyDescent="0.2">
      <c r="A109" s="7">
        <v>108</v>
      </c>
      <c r="B109" s="7">
        <v>47</v>
      </c>
      <c r="C109" s="9">
        <v>5.94</v>
      </c>
    </row>
    <row r="110" spans="1:3" ht="14.25" customHeight="1" x14ac:dyDescent="0.2">
      <c r="A110" s="7">
        <v>109</v>
      </c>
      <c r="B110" s="7">
        <v>53</v>
      </c>
      <c r="C110" s="9">
        <v>8.91</v>
      </c>
    </row>
    <row r="111" spans="1:3" ht="14.25" customHeight="1" x14ac:dyDescent="0.2">
      <c r="A111" s="7">
        <v>110</v>
      </c>
      <c r="B111" s="7">
        <v>3</v>
      </c>
      <c r="C111" s="9">
        <v>13.86</v>
      </c>
    </row>
    <row r="112" spans="1:3" ht="14.25" customHeight="1" x14ac:dyDescent="0.2">
      <c r="A112" s="7">
        <v>111</v>
      </c>
      <c r="B112" s="7">
        <v>17</v>
      </c>
      <c r="C112" s="9">
        <v>0.99</v>
      </c>
    </row>
    <row r="113" spans="1:3" ht="14.25" customHeight="1" x14ac:dyDescent="0.2">
      <c r="A113" s="7">
        <v>112</v>
      </c>
      <c r="B113" s="7">
        <v>18</v>
      </c>
      <c r="C113" s="9">
        <v>1.98</v>
      </c>
    </row>
    <row r="114" spans="1:3" ht="14.25" customHeight="1" x14ac:dyDescent="0.2">
      <c r="A114" s="7">
        <v>113</v>
      </c>
      <c r="B114" s="7">
        <v>20</v>
      </c>
      <c r="C114" s="9">
        <v>1.98</v>
      </c>
    </row>
    <row r="115" spans="1:3" ht="14.25" customHeight="1" x14ac:dyDescent="0.2">
      <c r="A115" s="7">
        <v>114</v>
      </c>
      <c r="B115" s="7">
        <v>22</v>
      </c>
      <c r="C115" s="9">
        <v>3.96</v>
      </c>
    </row>
    <row r="116" spans="1:3" ht="14.25" customHeight="1" x14ac:dyDescent="0.2">
      <c r="A116" s="7">
        <v>115</v>
      </c>
      <c r="B116" s="7">
        <v>26</v>
      </c>
      <c r="C116" s="9">
        <v>5.94</v>
      </c>
    </row>
    <row r="117" spans="1:3" ht="14.25" customHeight="1" x14ac:dyDescent="0.2">
      <c r="A117" s="7">
        <v>116</v>
      </c>
      <c r="B117" s="7">
        <v>32</v>
      </c>
      <c r="C117" s="9">
        <v>8.91</v>
      </c>
    </row>
    <row r="118" spans="1:3" ht="14.25" customHeight="1" x14ac:dyDescent="0.2">
      <c r="A118" s="7">
        <v>117</v>
      </c>
      <c r="B118" s="7">
        <v>41</v>
      </c>
      <c r="C118" s="9">
        <v>13.86</v>
      </c>
    </row>
    <row r="119" spans="1:3" ht="14.25" customHeight="1" x14ac:dyDescent="0.2">
      <c r="A119" s="7">
        <v>118</v>
      </c>
      <c r="B119" s="7">
        <v>55</v>
      </c>
      <c r="C119" s="9">
        <v>0.99</v>
      </c>
    </row>
    <row r="120" spans="1:3" ht="14.25" customHeight="1" x14ac:dyDescent="0.2">
      <c r="A120" s="7">
        <v>119</v>
      </c>
      <c r="B120" s="7">
        <v>56</v>
      </c>
      <c r="C120" s="9">
        <v>1.98</v>
      </c>
    </row>
    <row r="121" spans="1:3" ht="14.25" customHeight="1" x14ac:dyDescent="0.2">
      <c r="A121" s="7">
        <v>120</v>
      </c>
      <c r="B121" s="7">
        <v>58</v>
      </c>
      <c r="C121" s="9">
        <v>1.98</v>
      </c>
    </row>
    <row r="122" spans="1:3" ht="14.25" customHeight="1" x14ac:dyDescent="0.2">
      <c r="A122" s="7">
        <v>121</v>
      </c>
      <c r="B122" s="7">
        <v>1</v>
      </c>
      <c r="C122" s="9">
        <v>3.96</v>
      </c>
    </row>
    <row r="123" spans="1:3" ht="14.25" customHeight="1" x14ac:dyDescent="0.2">
      <c r="A123" s="7">
        <v>122</v>
      </c>
      <c r="B123" s="7">
        <v>5</v>
      </c>
      <c r="C123" s="9">
        <v>5.94</v>
      </c>
    </row>
    <row r="124" spans="1:3" ht="14.25" customHeight="1" x14ac:dyDescent="0.2">
      <c r="A124" s="7">
        <v>123</v>
      </c>
      <c r="B124" s="7">
        <v>11</v>
      </c>
      <c r="C124" s="9">
        <v>8.91</v>
      </c>
    </row>
    <row r="125" spans="1:3" ht="14.25" customHeight="1" x14ac:dyDescent="0.2">
      <c r="A125" s="7">
        <v>124</v>
      </c>
      <c r="B125" s="7">
        <v>20</v>
      </c>
      <c r="C125" s="9">
        <v>13.86</v>
      </c>
    </row>
    <row r="126" spans="1:3" ht="14.25" customHeight="1" x14ac:dyDescent="0.2">
      <c r="A126" s="7">
        <v>125</v>
      </c>
      <c r="B126" s="7">
        <v>34</v>
      </c>
      <c r="C126" s="9">
        <v>0.99</v>
      </c>
    </row>
    <row r="127" spans="1:3" ht="14.25" customHeight="1" x14ac:dyDescent="0.2">
      <c r="A127" s="7">
        <v>126</v>
      </c>
      <c r="B127" s="7">
        <v>35</v>
      </c>
      <c r="C127" s="9">
        <v>1.98</v>
      </c>
    </row>
    <row r="128" spans="1:3" ht="14.25" customHeight="1" x14ac:dyDescent="0.2">
      <c r="A128" s="7">
        <v>127</v>
      </c>
      <c r="B128" s="7">
        <v>37</v>
      </c>
      <c r="C128" s="9">
        <v>1.98</v>
      </c>
    </row>
    <row r="129" spans="1:3" ht="14.25" customHeight="1" x14ac:dyDescent="0.2">
      <c r="A129" s="7">
        <v>128</v>
      </c>
      <c r="B129" s="7">
        <v>39</v>
      </c>
      <c r="C129" s="9">
        <v>3.96</v>
      </c>
    </row>
    <row r="130" spans="1:3" ht="14.25" customHeight="1" x14ac:dyDescent="0.2">
      <c r="A130" s="7">
        <v>129</v>
      </c>
      <c r="B130" s="7">
        <v>43</v>
      </c>
      <c r="C130" s="9">
        <v>5.94</v>
      </c>
    </row>
    <row r="131" spans="1:3" ht="14.25" customHeight="1" x14ac:dyDescent="0.2">
      <c r="A131" s="7">
        <v>130</v>
      </c>
      <c r="B131" s="7">
        <v>49</v>
      </c>
      <c r="C131" s="9">
        <v>8.91</v>
      </c>
    </row>
    <row r="132" spans="1:3" ht="14.25" customHeight="1" x14ac:dyDescent="0.2">
      <c r="A132" s="7">
        <v>131</v>
      </c>
      <c r="B132" s="7">
        <v>58</v>
      </c>
      <c r="C132" s="9">
        <v>13.86</v>
      </c>
    </row>
    <row r="133" spans="1:3" ht="14.25" customHeight="1" x14ac:dyDescent="0.2">
      <c r="A133" s="7">
        <v>132</v>
      </c>
      <c r="B133" s="7">
        <v>13</v>
      </c>
      <c r="C133" s="9">
        <v>0.99</v>
      </c>
    </row>
    <row r="134" spans="1:3" ht="14.25" customHeight="1" x14ac:dyDescent="0.2">
      <c r="A134" s="7">
        <v>133</v>
      </c>
      <c r="B134" s="7">
        <v>14</v>
      </c>
      <c r="C134" s="9">
        <v>1.98</v>
      </c>
    </row>
    <row r="135" spans="1:3" ht="14.25" customHeight="1" x14ac:dyDescent="0.2">
      <c r="A135" s="7">
        <v>134</v>
      </c>
      <c r="B135" s="7">
        <v>16</v>
      </c>
      <c r="C135" s="9">
        <v>1.98</v>
      </c>
    </row>
    <row r="136" spans="1:3" ht="14.25" customHeight="1" x14ac:dyDescent="0.2">
      <c r="A136" s="7">
        <v>135</v>
      </c>
      <c r="B136" s="7">
        <v>18</v>
      </c>
      <c r="C136" s="9">
        <v>3.96</v>
      </c>
    </row>
    <row r="137" spans="1:3" ht="14.25" customHeight="1" x14ac:dyDescent="0.2">
      <c r="A137" s="7">
        <v>136</v>
      </c>
      <c r="B137" s="7">
        <v>22</v>
      </c>
      <c r="C137" s="9">
        <v>5.94</v>
      </c>
    </row>
    <row r="138" spans="1:3" ht="14.25" customHeight="1" x14ac:dyDescent="0.2">
      <c r="A138" s="7">
        <v>137</v>
      </c>
      <c r="B138" s="7">
        <v>28</v>
      </c>
      <c r="C138" s="9">
        <v>8.91</v>
      </c>
    </row>
    <row r="139" spans="1:3" ht="14.25" customHeight="1" x14ac:dyDescent="0.2">
      <c r="A139" s="7">
        <v>138</v>
      </c>
      <c r="B139" s="7">
        <v>37</v>
      </c>
      <c r="C139" s="9">
        <v>13.86</v>
      </c>
    </row>
    <row r="140" spans="1:3" ht="14.25" customHeight="1" x14ac:dyDescent="0.2">
      <c r="A140" s="7">
        <v>139</v>
      </c>
      <c r="B140" s="7">
        <v>51</v>
      </c>
      <c r="C140" s="9">
        <v>0.99</v>
      </c>
    </row>
    <row r="141" spans="1:3" ht="14.25" customHeight="1" x14ac:dyDescent="0.2">
      <c r="A141" s="7">
        <v>140</v>
      </c>
      <c r="B141" s="7">
        <v>52</v>
      </c>
      <c r="C141" s="9">
        <v>1.98</v>
      </c>
    </row>
    <row r="142" spans="1:3" ht="14.25" customHeight="1" x14ac:dyDescent="0.2">
      <c r="A142" s="7">
        <v>141</v>
      </c>
      <c r="B142" s="7">
        <v>54</v>
      </c>
      <c r="C142" s="9">
        <v>1.98</v>
      </c>
    </row>
    <row r="143" spans="1:3" ht="14.25" customHeight="1" x14ac:dyDescent="0.2">
      <c r="A143" s="7">
        <v>142</v>
      </c>
      <c r="B143" s="7">
        <v>56</v>
      </c>
      <c r="C143" s="9">
        <v>3.96</v>
      </c>
    </row>
    <row r="144" spans="1:3" ht="14.25" customHeight="1" x14ac:dyDescent="0.2">
      <c r="A144" s="7">
        <v>143</v>
      </c>
      <c r="B144" s="7">
        <v>1</v>
      </c>
      <c r="C144" s="9">
        <v>5.94</v>
      </c>
    </row>
    <row r="145" spans="1:3" ht="14.25" customHeight="1" x14ac:dyDescent="0.2">
      <c r="A145" s="7">
        <v>144</v>
      </c>
      <c r="B145" s="7">
        <v>7</v>
      </c>
      <c r="C145" s="9">
        <v>8.91</v>
      </c>
    </row>
    <row r="146" spans="1:3" ht="14.25" customHeight="1" x14ac:dyDescent="0.2">
      <c r="A146" s="7">
        <v>145</v>
      </c>
      <c r="B146" s="7">
        <v>16</v>
      </c>
      <c r="C146" s="9">
        <v>13.86</v>
      </c>
    </row>
    <row r="147" spans="1:3" ht="14.25" customHeight="1" x14ac:dyDescent="0.2">
      <c r="A147" s="7">
        <v>146</v>
      </c>
      <c r="B147" s="7">
        <v>30</v>
      </c>
      <c r="C147" s="9">
        <v>0.99</v>
      </c>
    </row>
    <row r="148" spans="1:3" ht="14.25" customHeight="1" x14ac:dyDescent="0.2">
      <c r="A148" s="7">
        <v>147</v>
      </c>
      <c r="B148" s="7">
        <v>31</v>
      </c>
      <c r="C148" s="9">
        <v>1.98</v>
      </c>
    </row>
    <row r="149" spans="1:3" ht="14.25" customHeight="1" x14ac:dyDescent="0.2">
      <c r="A149" s="7">
        <v>148</v>
      </c>
      <c r="B149" s="7">
        <v>33</v>
      </c>
      <c r="C149" s="9">
        <v>1.98</v>
      </c>
    </row>
    <row r="150" spans="1:3" ht="14.25" customHeight="1" x14ac:dyDescent="0.2">
      <c r="A150" s="7">
        <v>149</v>
      </c>
      <c r="B150" s="7">
        <v>35</v>
      </c>
      <c r="C150" s="9">
        <v>3.96</v>
      </c>
    </row>
    <row r="151" spans="1:3" ht="14.25" customHeight="1" x14ac:dyDescent="0.2">
      <c r="A151" s="7">
        <v>150</v>
      </c>
      <c r="B151" s="7">
        <v>39</v>
      </c>
      <c r="C151" s="9">
        <v>5.94</v>
      </c>
    </row>
    <row r="152" spans="1:3" ht="14.25" customHeight="1" x14ac:dyDescent="0.2">
      <c r="A152" s="7">
        <v>151</v>
      </c>
      <c r="B152" s="7">
        <v>45</v>
      </c>
      <c r="C152" s="9">
        <v>8.91</v>
      </c>
    </row>
    <row r="153" spans="1:3" ht="14.25" customHeight="1" x14ac:dyDescent="0.2">
      <c r="A153" s="7">
        <v>152</v>
      </c>
      <c r="B153" s="7">
        <v>54</v>
      </c>
      <c r="C153" s="9">
        <v>13.86</v>
      </c>
    </row>
    <row r="154" spans="1:3" ht="14.25" customHeight="1" x14ac:dyDescent="0.2">
      <c r="A154" s="7">
        <v>153</v>
      </c>
      <c r="B154" s="7">
        <v>9</v>
      </c>
      <c r="C154" s="9">
        <v>0.99</v>
      </c>
    </row>
    <row r="155" spans="1:3" ht="14.25" customHeight="1" x14ac:dyDescent="0.2">
      <c r="A155" s="7">
        <v>154</v>
      </c>
      <c r="B155" s="7">
        <v>10</v>
      </c>
      <c r="C155" s="9">
        <v>1.98</v>
      </c>
    </row>
    <row r="156" spans="1:3" ht="14.25" customHeight="1" x14ac:dyDescent="0.2">
      <c r="A156" s="7">
        <v>155</v>
      </c>
      <c r="B156" s="7">
        <v>12</v>
      </c>
      <c r="C156" s="9">
        <v>1.98</v>
      </c>
    </row>
    <row r="157" spans="1:3" ht="14.25" customHeight="1" x14ac:dyDescent="0.2">
      <c r="A157" s="7">
        <v>156</v>
      </c>
      <c r="B157" s="7">
        <v>14</v>
      </c>
      <c r="C157" s="9">
        <v>3.96</v>
      </c>
    </row>
    <row r="158" spans="1:3" ht="14.25" customHeight="1" x14ac:dyDescent="0.2">
      <c r="A158" s="7">
        <v>157</v>
      </c>
      <c r="B158" s="7">
        <v>18</v>
      </c>
      <c r="C158" s="9">
        <v>5.94</v>
      </c>
    </row>
    <row r="159" spans="1:3" ht="14.25" customHeight="1" x14ac:dyDescent="0.2">
      <c r="A159" s="7">
        <v>158</v>
      </c>
      <c r="B159" s="7">
        <v>24</v>
      </c>
      <c r="C159" s="9">
        <v>8.91</v>
      </c>
    </row>
    <row r="160" spans="1:3" ht="14.25" customHeight="1" x14ac:dyDescent="0.2">
      <c r="A160" s="7">
        <v>159</v>
      </c>
      <c r="B160" s="7">
        <v>33</v>
      </c>
      <c r="C160" s="9">
        <v>13.86</v>
      </c>
    </row>
    <row r="161" spans="1:3" ht="14.25" customHeight="1" x14ac:dyDescent="0.2">
      <c r="A161" s="7">
        <v>160</v>
      </c>
      <c r="B161" s="7">
        <v>47</v>
      </c>
      <c r="C161" s="9">
        <v>0.99</v>
      </c>
    </row>
    <row r="162" spans="1:3" ht="14.25" customHeight="1" x14ac:dyDescent="0.2">
      <c r="A162" s="7">
        <v>161</v>
      </c>
      <c r="B162" s="7">
        <v>48</v>
      </c>
      <c r="C162" s="9">
        <v>1.98</v>
      </c>
    </row>
    <row r="163" spans="1:3" ht="14.25" customHeight="1" x14ac:dyDescent="0.2">
      <c r="A163" s="7">
        <v>162</v>
      </c>
      <c r="B163" s="7">
        <v>50</v>
      </c>
      <c r="C163" s="9">
        <v>1.98</v>
      </c>
    </row>
    <row r="164" spans="1:3" ht="14.25" customHeight="1" x14ac:dyDescent="0.2">
      <c r="A164" s="7">
        <v>163</v>
      </c>
      <c r="B164" s="7">
        <v>52</v>
      </c>
      <c r="C164" s="9">
        <v>3.96</v>
      </c>
    </row>
    <row r="165" spans="1:3" ht="14.25" customHeight="1" x14ac:dyDescent="0.2">
      <c r="A165" s="7">
        <v>164</v>
      </c>
      <c r="B165" s="7">
        <v>56</v>
      </c>
      <c r="C165" s="9">
        <v>5.94</v>
      </c>
    </row>
    <row r="166" spans="1:3" ht="14.25" customHeight="1" x14ac:dyDescent="0.2">
      <c r="A166" s="7">
        <v>165</v>
      </c>
      <c r="B166" s="7">
        <v>3</v>
      </c>
      <c r="C166" s="9">
        <v>8.91</v>
      </c>
    </row>
    <row r="167" spans="1:3" ht="14.25" customHeight="1" x14ac:dyDescent="0.2">
      <c r="A167" s="7">
        <v>166</v>
      </c>
      <c r="B167" s="7">
        <v>12</v>
      </c>
      <c r="C167" s="9">
        <v>13.86</v>
      </c>
    </row>
    <row r="168" spans="1:3" ht="14.25" customHeight="1" x14ac:dyDescent="0.2">
      <c r="A168" s="7">
        <v>167</v>
      </c>
      <c r="B168" s="7">
        <v>26</v>
      </c>
      <c r="C168" s="9">
        <v>0.99</v>
      </c>
    </row>
    <row r="169" spans="1:3" ht="14.25" customHeight="1" x14ac:dyDescent="0.2">
      <c r="A169" s="7">
        <v>168</v>
      </c>
      <c r="B169" s="7">
        <v>27</v>
      </c>
      <c r="C169" s="9">
        <v>1.98</v>
      </c>
    </row>
    <row r="170" spans="1:3" ht="14.25" customHeight="1" x14ac:dyDescent="0.2">
      <c r="A170" s="7">
        <v>169</v>
      </c>
      <c r="B170" s="7">
        <v>29</v>
      </c>
      <c r="C170" s="9">
        <v>1.98</v>
      </c>
    </row>
    <row r="171" spans="1:3" ht="14.25" customHeight="1" x14ac:dyDescent="0.2">
      <c r="A171" s="7">
        <v>170</v>
      </c>
      <c r="B171" s="7">
        <v>31</v>
      </c>
      <c r="C171" s="9">
        <v>3.96</v>
      </c>
    </row>
    <row r="172" spans="1:3" ht="14.25" customHeight="1" x14ac:dyDescent="0.2">
      <c r="A172" s="7">
        <v>171</v>
      </c>
      <c r="B172" s="7">
        <v>35</v>
      </c>
      <c r="C172" s="9">
        <v>5.94</v>
      </c>
    </row>
    <row r="173" spans="1:3" ht="14.25" customHeight="1" x14ac:dyDescent="0.2">
      <c r="A173" s="7">
        <v>172</v>
      </c>
      <c r="B173" s="7">
        <v>41</v>
      </c>
      <c r="C173" s="9">
        <v>8.91</v>
      </c>
    </row>
    <row r="174" spans="1:3" ht="14.25" customHeight="1" x14ac:dyDescent="0.2">
      <c r="A174" s="7">
        <v>173</v>
      </c>
      <c r="B174" s="7">
        <v>50</v>
      </c>
      <c r="C174" s="9">
        <v>13.86</v>
      </c>
    </row>
    <row r="175" spans="1:3" ht="14.25" customHeight="1" x14ac:dyDescent="0.2">
      <c r="A175" s="7">
        <v>174</v>
      </c>
      <c r="B175" s="7">
        <v>5</v>
      </c>
      <c r="C175" s="9">
        <v>0.99</v>
      </c>
    </row>
    <row r="176" spans="1:3" ht="14.25" customHeight="1" x14ac:dyDescent="0.2">
      <c r="A176" s="7">
        <v>175</v>
      </c>
      <c r="B176" s="7">
        <v>6</v>
      </c>
      <c r="C176" s="9">
        <v>1.98</v>
      </c>
    </row>
    <row r="177" spans="1:3" ht="14.25" customHeight="1" x14ac:dyDescent="0.2">
      <c r="A177" s="7">
        <v>176</v>
      </c>
      <c r="B177" s="7">
        <v>8</v>
      </c>
      <c r="C177" s="9">
        <v>1.98</v>
      </c>
    </row>
    <row r="178" spans="1:3" ht="14.25" customHeight="1" x14ac:dyDescent="0.2">
      <c r="A178" s="7">
        <v>177</v>
      </c>
      <c r="B178" s="7">
        <v>10</v>
      </c>
      <c r="C178" s="9">
        <v>3.96</v>
      </c>
    </row>
    <row r="179" spans="1:3" ht="14.25" customHeight="1" x14ac:dyDescent="0.2">
      <c r="A179" s="7">
        <v>178</v>
      </c>
      <c r="B179" s="7">
        <v>14</v>
      </c>
      <c r="C179" s="9">
        <v>5.94</v>
      </c>
    </row>
    <row r="180" spans="1:3" ht="14.25" customHeight="1" x14ac:dyDescent="0.2">
      <c r="A180" s="7">
        <v>179</v>
      </c>
      <c r="B180" s="7">
        <v>20</v>
      </c>
      <c r="C180" s="9">
        <v>8.91</v>
      </c>
    </row>
    <row r="181" spans="1:3" ht="14.25" customHeight="1" x14ac:dyDescent="0.2">
      <c r="A181" s="7">
        <v>180</v>
      </c>
      <c r="B181" s="7">
        <v>29</v>
      </c>
      <c r="C181" s="9">
        <v>13.86</v>
      </c>
    </row>
    <row r="182" spans="1:3" ht="14.25" customHeight="1" x14ac:dyDescent="0.2">
      <c r="A182" s="7">
        <v>181</v>
      </c>
      <c r="B182" s="7">
        <v>43</v>
      </c>
      <c r="C182" s="9">
        <v>0.99</v>
      </c>
    </row>
    <row r="183" spans="1:3" ht="14.25" customHeight="1" x14ac:dyDescent="0.2">
      <c r="A183" s="7">
        <v>182</v>
      </c>
      <c r="B183" s="7">
        <v>44</v>
      </c>
      <c r="C183" s="9">
        <v>1.98</v>
      </c>
    </row>
    <row r="184" spans="1:3" ht="14.25" customHeight="1" x14ac:dyDescent="0.2">
      <c r="A184" s="7">
        <v>183</v>
      </c>
      <c r="B184" s="7">
        <v>46</v>
      </c>
      <c r="C184" s="9">
        <v>1.98</v>
      </c>
    </row>
    <row r="185" spans="1:3" ht="14.25" customHeight="1" x14ac:dyDescent="0.2">
      <c r="A185" s="7">
        <v>184</v>
      </c>
      <c r="B185" s="7">
        <v>48</v>
      </c>
      <c r="C185" s="9">
        <v>3.96</v>
      </c>
    </row>
    <row r="186" spans="1:3" ht="14.25" customHeight="1" x14ac:dyDescent="0.2">
      <c r="A186" s="7">
        <v>185</v>
      </c>
      <c r="B186" s="7">
        <v>52</v>
      </c>
      <c r="C186" s="9">
        <v>5.94</v>
      </c>
    </row>
    <row r="187" spans="1:3" ht="14.25" customHeight="1" x14ac:dyDescent="0.2">
      <c r="A187" s="7">
        <v>186</v>
      </c>
      <c r="B187" s="7">
        <v>58</v>
      </c>
      <c r="C187" s="9">
        <v>8.91</v>
      </c>
    </row>
    <row r="188" spans="1:3" ht="14.25" customHeight="1" x14ac:dyDescent="0.2">
      <c r="A188" s="7">
        <v>187</v>
      </c>
      <c r="B188" s="7">
        <v>8</v>
      </c>
      <c r="C188" s="9">
        <v>13.86</v>
      </c>
    </row>
    <row r="189" spans="1:3" ht="14.25" customHeight="1" x14ac:dyDescent="0.2">
      <c r="A189" s="7">
        <v>188</v>
      </c>
      <c r="B189" s="7">
        <v>22</v>
      </c>
      <c r="C189" s="9">
        <v>0.99</v>
      </c>
    </row>
    <row r="190" spans="1:3" ht="14.25" customHeight="1" x14ac:dyDescent="0.2">
      <c r="A190" s="7">
        <v>189</v>
      </c>
      <c r="B190" s="7">
        <v>23</v>
      </c>
      <c r="C190" s="9">
        <v>1.98</v>
      </c>
    </row>
    <row r="191" spans="1:3" ht="14.25" customHeight="1" x14ac:dyDescent="0.2">
      <c r="A191" s="7">
        <v>190</v>
      </c>
      <c r="B191" s="7">
        <v>25</v>
      </c>
      <c r="C191" s="9">
        <v>1.98</v>
      </c>
    </row>
    <row r="192" spans="1:3" ht="14.25" customHeight="1" x14ac:dyDescent="0.2">
      <c r="A192" s="7">
        <v>191</v>
      </c>
      <c r="B192" s="7">
        <v>27</v>
      </c>
      <c r="C192" s="9">
        <v>3.96</v>
      </c>
    </row>
    <row r="193" spans="1:3" ht="14.25" customHeight="1" x14ac:dyDescent="0.2">
      <c r="A193" s="7">
        <v>192</v>
      </c>
      <c r="B193" s="7">
        <v>31</v>
      </c>
      <c r="C193" s="9">
        <v>5.94</v>
      </c>
    </row>
    <row r="194" spans="1:3" ht="14.25" customHeight="1" x14ac:dyDescent="0.2">
      <c r="A194" s="7">
        <v>193</v>
      </c>
      <c r="B194" s="7">
        <v>37</v>
      </c>
      <c r="C194" s="9">
        <v>14.91</v>
      </c>
    </row>
    <row r="195" spans="1:3" ht="14.25" customHeight="1" x14ac:dyDescent="0.2">
      <c r="A195" s="7">
        <v>194</v>
      </c>
      <c r="B195" s="7">
        <v>46</v>
      </c>
      <c r="C195" s="9">
        <v>21.86</v>
      </c>
    </row>
    <row r="196" spans="1:3" ht="14.25" customHeight="1" x14ac:dyDescent="0.2">
      <c r="A196" s="7">
        <v>195</v>
      </c>
      <c r="B196" s="7">
        <v>1</v>
      </c>
      <c r="C196" s="9">
        <v>0.99</v>
      </c>
    </row>
    <row r="197" spans="1:3" ht="14.25" customHeight="1" x14ac:dyDescent="0.2">
      <c r="A197" s="7">
        <v>196</v>
      </c>
      <c r="B197" s="7">
        <v>2</v>
      </c>
      <c r="C197" s="9">
        <v>1.98</v>
      </c>
    </row>
    <row r="198" spans="1:3" ht="14.25" customHeight="1" x14ac:dyDescent="0.2">
      <c r="A198" s="7">
        <v>197</v>
      </c>
      <c r="B198" s="7">
        <v>4</v>
      </c>
      <c r="C198" s="9">
        <v>1.98</v>
      </c>
    </row>
    <row r="199" spans="1:3" ht="14.25" customHeight="1" x14ac:dyDescent="0.2">
      <c r="A199" s="7">
        <v>198</v>
      </c>
      <c r="B199" s="7">
        <v>6</v>
      </c>
      <c r="C199" s="9">
        <v>3.96</v>
      </c>
    </row>
    <row r="200" spans="1:3" ht="14.25" customHeight="1" x14ac:dyDescent="0.2">
      <c r="A200" s="7">
        <v>199</v>
      </c>
      <c r="B200" s="7">
        <v>10</v>
      </c>
      <c r="C200" s="9">
        <v>5.94</v>
      </c>
    </row>
    <row r="201" spans="1:3" ht="14.25" customHeight="1" x14ac:dyDescent="0.2">
      <c r="A201" s="7">
        <v>200</v>
      </c>
      <c r="B201" s="7">
        <v>16</v>
      </c>
      <c r="C201" s="9">
        <v>8.91</v>
      </c>
    </row>
    <row r="202" spans="1:3" ht="14.25" customHeight="1" x14ac:dyDescent="0.2">
      <c r="A202" s="7">
        <v>201</v>
      </c>
      <c r="B202" s="7">
        <v>25</v>
      </c>
      <c r="C202" s="9">
        <v>18.86</v>
      </c>
    </row>
    <row r="203" spans="1:3" ht="14.25" customHeight="1" x14ac:dyDescent="0.2">
      <c r="A203" s="7">
        <v>202</v>
      </c>
      <c r="B203" s="7">
        <v>39</v>
      </c>
      <c r="C203" s="9">
        <v>1.99</v>
      </c>
    </row>
    <row r="204" spans="1:3" ht="14.25" customHeight="1" x14ac:dyDescent="0.2">
      <c r="A204" s="7">
        <v>203</v>
      </c>
      <c r="B204" s="7">
        <v>40</v>
      </c>
      <c r="C204" s="9">
        <v>2.98</v>
      </c>
    </row>
    <row r="205" spans="1:3" ht="14.25" customHeight="1" x14ac:dyDescent="0.2">
      <c r="A205" s="7">
        <v>204</v>
      </c>
      <c r="B205" s="7">
        <v>42</v>
      </c>
      <c r="C205" s="9">
        <v>3.98</v>
      </c>
    </row>
    <row r="206" spans="1:3" ht="14.25" customHeight="1" x14ac:dyDescent="0.2">
      <c r="A206" s="7">
        <v>205</v>
      </c>
      <c r="B206" s="7">
        <v>44</v>
      </c>
      <c r="C206" s="9">
        <v>7.96</v>
      </c>
    </row>
    <row r="207" spans="1:3" ht="14.25" customHeight="1" x14ac:dyDescent="0.2">
      <c r="A207" s="7">
        <v>206</v>
      </c>
      <c r="B207" s="7">
        <v>48</v>
      </c>
      <c r="C207" s="9">
        <v>8.94</v>
      </c>
    </row>
    <row r="208" spans="1:3" ht="14.25" customHeight="1" x14ac:dyDescent="0.2">
      <c r="A208" s="7">
        <v>207</v>
      </c>
      <c r="B208" s="7">
        <v>54</v>
      </c>
      <c r="C208" s="9">
        <v>8.91</v>
      </c>
    </row>
    <row r="209" spans="1:3" ht="14.25" customHeight="1" x14ac:dyDescent="0.2">
      <c r="A209" s="7">
        <v>208</v>
      </c>
      <c r="B209" s="7">
        <v>4</v>
      </c>
      <c r="C209" s="9">
        <v>15.86</v>
      </c>
    </row>
    <row r="210" spans="1:3" ht="14.25" customHeight="1" x14ac:dyDescent="0.2">
      <c r="A210" s="7">
        <v>209</v>
      </c>
      <c r="B210" s="7">
        <v>18</v>
      </c>
      <c r="C210" s="9">
        <v>0.99</v>
      </c>
    </row>
    <row r="211" spans="1:3" ht="14.25" customHeight="1" x14ac:dyDescent="0.2">
      <c r="A211" s="7">
        <v>210</v>
      </c>
      <c r="B211" s="7">
        <v>19</v>
      </c>
      <c r="C211" s="9">
        <v>1.98</v>
      </c>
    </row>
    <row r="212" spans="1:3" ht="14.25" customHeight="1" x14ac:dyDescent="0.2">
      <c r="A212" s="7">
        <v>211</v>
      </c>
      <c r="B212" s="7">
        <v>21</v>
      </c>
      <c r="C212" s="9">
        <v>1.98</v>
      </c>
    </row>
    <row r="213" spans="1:3" ht="14.25" customHeight="1" x14ac:dyDescent="0.2">
      <c r="A213" s="7">
        <v>212</v>
      </c>
      <c r="B213" s="7">
        <v>23</v>
      </c>
      <c r="C213" s="9">
        <v>3.96</v>
      </c>
    </row>
    <row r="214" spans="1:3" ht="14.25" customHeight="1" x14ac:dyDescent="0.2">
      <c r="A214" s="7">
        <v>213</v>
      </c>
      <c r="B214" s="7">
        <v>27</v>
      </c>
      <c r="C214" s="9">
        <v>5.94</v>
      </c>
    </row>
    <row r="215" spans="1:3" ht="14.25" customHeight="1" x14ac:dyDescent="0.2">
      <c r="A215" s="7">
        <v>214</v>
      </c>
      <c r="B215" s="7">
        <v>33</v>
      </c>
      <c r="C215" s="9">
        <v>8.91</v>
      </c>
    </row>
    <row r="216" spans="1:3" ht="14.25" customHeight="1" x14ac:dyDescent="0.2">
      <c r="A216" s="7">
        <v>215</v>
      </c>
      <c r="B216" s="7">
        <v>42</v>
      </c>
      <c r="C216" s="9">
        <v>13.86</v>
      </c>
    </row>
    <row r="217" spans="1:3" ht="14.25" customHeight="1" x14ac:dyDescent="0.2">
      <c r="A217" s="7">
        <v>216</v>
      </c>
      <c r="B217" s="7">
        <v>56</v>
      </c>
      <c r="C217" s="9">
        <v>0.99</v>
      </c>
    </row>
    <row r="218" spans="1:3" ht="14.25" customHeight="1" x14ac:dyDescent="0.2">
      <c r="A218" s="7">
        <v>217</v>
      </c>
      <c r="B218" s="7">
        <v>57</v>
      </c>
      <c r="C218" s="9">
        <v>1.98</v>
      </c>
    </row>
    <row r="219" spans="1:3" ht="14.25" customHeight="1" x14ac:dyDescent="0.2">
      <c r="A219" s="7">
        <v>218</v>
      </c>
      <c r="B219" s="7">
        <v>59</v>
      </c>
      <c r="C219" s="9">
        <v>1.98</v>
      </c>
    </row>
    <row r="220" spans="1:3" ht="14.25" customHeight="1" x14ac:dyDescent="0.2">
      <c r="A220" s="7">
        <v>219</v>
      </c>
      <c r="B220" s="7">
        <v>2</v>
      </c>
      <c r="C220" s="9">
        <v>3.96</v>
      </c>
    </row>
    <row r="221" spans="1:3" ht="14.25" customHeight="1" x14ac:dyDescent="0.2">
      <c r="A221" s="7">
        <v>220</v>
      </c>
      <c r="B221" s="7">
        <v>6</v>
      </c>
      <c r="C221" s="9">
        <v>5.94</v>
      </c>
    </row>
    <row r="222" spans="1:3" ht="14.25" customHeight="1" x14ac:dyDescent="0.2">
      <c r="A222" s="7">
        <v>221</v>
      </c>
      <c r="B222" s="7">
        <v>12</v>
      </c>
      <c r="C222" s="9">
        <v>8.91</v>
      </c>
    </row>
    <row r="223" spans="1:3" ht="14.25" customHeight="1" x14ac:dyDescent="0.2">
      <c r="A223" s="7">
        <v>222</v>
      </c>
      <c r="B223" s="7">
        <v>21</v>
      </c>
      <c r="C223" s="9">
        <v>13.86</v>
      </c>
    </row>
    <row r="224" spans="1:3" ht="14.25" customHeight="1" x14ac:dyDescent="0.2">
      <c r="A224" s="7">
        <v>223</v>
      </c>
      <c r="B224" s="7">
        <v>35</v>
      </c>
      <c r="C224" s="9">
        <v>0.99</v>
      </c>
    </row>
    <row r="225" spans="1:3" ht="14.25" customHeight="1" x14ac:dyDescent="0.2">
      <c r="A225" s="7">
        <v>224</v>
      </c>
      <c r="B225" s="7">
        <v>36</v>
      </c>
      <c r="C225" s="9">
        <v>1.98</v>
      </c>
    </row>
    <row r="226" spans="1:3" ht="14.25" customHeight="1" x14ac:dyDescent="0.2">
      <c r="A226" s="7">
        <v>225</v>
      </c>
      <c r="B226" s="7">
        <v>38</v>
      </c>
      <c r="C226" s="9">
        <v>1.98</v>
      </c>
    </row>
    <row r="227" spans="1:3" ht="14.25" customHeight="1" x14ac:dyDescent="0.2">
      <c r="A227" s="7">
        <v>226</v>
      </c>
      <c r="B227" s="7">
        <v>40</v>
      </c>
      <c r="C227" s="9">
        <v>3.96</v>
      </c>
    </row>
    <row r="228" spans="1:3" ht="14.25" customHeight="1" x14ac:dyDescent="0.2">
      <c r="A228" s="7">
        <v>227</v>
      </c>
      <c r="B228" s="7">
        <v>44</v>
      </c>
      <c r="C228" s="9">
        <v>5.94</v>
      </c>
    </row>
    <row r="229" spans="1:3" ht="14.25" customHeight="1" x14ac:dyDescent="0.2">
      <c r="A229" s="7">
        <v>228</v>
      </c>
      <c r="B229" s="7">
        <v>50</v>
      </c>
      <c r="C229" s="9">
        <v>8.91</v>
      </c>
    </row>
    <row r="230" spans="1:3" ht="14.25" customHeight="1" x14ac:dyDescent="0.2">
      <c r="A230" s="7">
        <v>229</v>
      </c>
      <c r="B230" s="7">
        <v>59</v>
      </c>
      <c r="C230" s="9">
        <v>13.86</v>
      </c>
    </row>
    <row r="231" spans="1:3" ht="14.25" customHeight="1" x14ac:dyDescent="0.2">
      <c r="A231" s="7">
        <v>230</v>
      </c>
      <c r="B231" s="7">
        <v>14</v>
      </c>
      <c r="C231" s="9">
        <v>0.99</v>
      </c>
    </row>
    <row r="232" spans="1:3" ht="14.25" customHeight="1" x14ac:dyDescent="0.2">
      <c r="A232" s="7">
        <v>231</v>
      </c>
      <c r="B232" s="7">
        <v>15</v>
      </c>
      <c r="C232" s="9">
        <v>1.98</v>
      </c>
    </row>
    <row r="233" spans="1:3" ht="14.25" customHeight="1" x14ac:dyDescent="0.2">
      <c r="A233" s="7">
        <v>232</v>
      </c>
      <c r="B233" s="7">
        <v>17</v>
      </c>
      <c r="C233" s="9">
        <v>1.98</v>
      </c>
    </row>
    <row r="234" spans="1:3" ht="14.25" customHeight="1" x14ac:dyDescent="0.2">
      <c r="A234" s="7">
        <v>233</v>
      </c>
      <c r="B234" s="7">
        <v>19</v>
      </c>
      <c r="C234" s="9">
        <v>3.96</v>
      </c>
    </row>
    <row r="235" spans="1:3" ht="14.25" customHeight="1" x14ac:dyDescent="0.2">
      <c r="A235" s="7">
        <v>234</v>
      </c>
      <c r="B235" s="7">
        <v>23</v>
      </c>
      <c r="C235" s="9">
        <v>5.94</v>
      </c>
    </row>
    <row r="236" spans="1:3" ht="14.25" customHeight="1" x14ac:dyDescent="0.2">
      <c r="A236" s="7">
        <v>235</v>
      </c>
      <c r="B236" s="7">
        <v>29</v>
      </c>
      <c r="C236" s="9">
        <v>8.91</v>
      </c>
    </row>
    <row r="237" spans="1:3" ht="14.25" customHeight="1" x14ac:dyDescent="0.2">
      <c r="A237" s="7">
        <v>236</v>
      </c>
      <c r="B237" s="7">
        <v>38</v>
      </c>
      <c r="C237" s="9">
        <v>13.86</v>
      </c>
    </row>
    <row r="238" spans="1:3" ht="14.25" customHeight="1" x14ac:dyDescent="0.2">
      <c r="A238" s="7">
        <v>237</v>
      </c>
      <c r="B238" s="7">
        <v>52</v>
      </c>
      <c r="C238" s="9">
        <v>0.99</v>
      </c>
    </row>
    <row r="239" spans="1:3" ht="14.25" customHeight="1" x14ac:dyDescent="0.2">
      <c r="A239" s="7">
        <v>238</v>
      </c>
      <c r="B239" s="7">
        <v>53</v>
      </c>
      <c r="C239" s="9">
        <v>1.98</v>
      </c>
    </row>
    <row r="240" spans="1:3" ht="14.25" customHeight="1" x14ac:dyDescent="0.2">
      <c r="A240" s="7">
        <v>239</v>
      </c>
      <c r="B240" s="7">
        <v>55</v>
      </c>
      <c r="C240" s="9">
        <v>1.98</v>
      </c>
    </row>
    <row r="241" spans="1:3" ht="14.25" customHeight="1" x14ac:dyDescent="0.2">
      <c r="A241" s="7">
        <v>240</v>
      </c>
      <c r="B241" s="7">
        <v>57</v>
      </c>
      <c r="C241" s="9">
        <v>3.96</v>
      </c>
    </row>
    <row r="242" spans="1:3" ht="14.25" customHeight="1" x14ac:dyDescent="0.2">
      <c r="A242" s="7">
        <v>241</v>
      </c>
      <c r="B242" s="7">
        <v>2</v>
      </c>
      <c r="C242" s="9">
        <v>5.94</v>
      </c>
    </row>
    <row r="243" spans="1:3" ht="14.25" customHeight="1" x14ac:dyDescent="0.2">
      <c r="A243" s="7">
        <v>242</v>
      </c>
      <c r="B243" s="7">
        <v>8</v>
      </c>
      <c r="C243" s="9">
        <v>8.91</v>
      </c>
    </row>
    <row r="244" spans="1:3" ht="14.25" customHeight="1" x14ac:dyDescent="0.2">
      <c r="A244" s="7">
        <v>243</v>
      </c>
      <c r="B244" s="7">
        <v>17</v>
      </c>
      <c r="C244" s="9">
        <v>13.86</v>
      </c>
    </row>
    <row r="245" spans="1:3" ht="14.25" customHeight="1" x14ac:dyDescent="0.2">
      <c r="A245" s="7">
        <v>244</v>
      </c>
      <c r="B245" s="7">
        <v>31</v>
      </c>
      <c r="C245" s="9">
        <v>0.99</v>
      </c>
    </row>
    <row r="246" spans="1:3" ht="14.25" customHeight="1" x14ac:dyDescent="0.2">
      <c r="A246" s="7">
        <v>245</v>
      </c>
      <c r="B246" s="7">
        <v>32</v>
      </c>
      <c r="C246" s="9">
        <v>1.98</v>
      </c>
    </row>
    <row r="247" spans="1:3" ht="14.25" customHeight="1" x14ac:dyDescent="0.2">
      <c r="A247" s="7">
        <v>246</v>
      </c>
      <c r="B247" s="7">
        <v>34</v>
      </c>
      <c r="C247" s="9">
        <v>1.98</v>
      </c>
    </row>
    <row r="248" spans="1:3" ht="14.25" customHeight="1" x14ac:dyDescent="0.2">
      <c r="A248" s="7">
        <v>247</v>
      </c>
      <c r="B248" s="7">
        <v>36</v>
      </c>
      <c r="C248" s="9">
        <v>3.96</v>
      </c>
    </row>
    <row r="249" spans="1:3" ht="14.25" customHeight="1" x14ac:dyDescent="0.2">
      <c r="A249" s="7">
        <v>248</v>
      </c>
      <c r="B249" s="7">
        <v>40</v>
      </c>
      <c r="C249" s="9">
        <v>5.94</v>
      </c>
    </row>
    <row r="250" spans="1:3" ht="14.25" customHeight="1" x14ac:dyDescent="0.2">
      <c r="A250" s="7">
        <v>249</v>
      </c>
      <c r="B250" s="7">
        <v>46</v>
      </c>
      <c r="C250" s="9">
        <v>8.91</v>
      </c>
    </row>
    <row r="251" spans="1:3" ht="14.25" customHeight="1" x14ac:dyDescent="0.2">
      <c r="A251" s="7">
        <v>250</v>
      </c>
      <c r="B251" s="7">
        <v>55</v>
      </c>
      <c r="C251" s="9">
        <v>13.86</v>
      </c>
    </row>
    <row r="252" spans="1:3" ht="14.25" customHeight="1" x14ac:dyDescent="0.2">
      <c r="A252" s="7">
        <v>251</v>
      </c>
      <c r="B252" s="7">
        <v>10</v>
      </c>
      <c r="C252" s="9">
        <v>0.99</v>
      </c>
    </row>
    <row r="253" spans="1:3" ht="14.25" customHeight="1" x14ac:dyDescent="0.2">
      <c r="A253" s="7">
        <v>252</v>
      </c>
      <c r="B253" s="7">
        <v>11</v>
      </c>
      <c r="C253" s="9">
        <v>1.98</v>
      </c>
    </row>
    <row r="254" spans="1:3" ht="14.25" customHeight="1" x14ac:dyDescent="0.2">
      <c r="A254" s="7">
        <v>253</v>
      </c>
      <c r="B254" s="7">
        <v>13</v>
      </c>
      <c r="C254" s="9">
        <v>1.98</v>
      </c>
    </row>
    <row r="255" spans="1:3" ht="14.25" customHeight="1" x14ac:dyDescent="0.2">
      <c r="A255" s="7">
        <v>254</v>
      </c>
      <c r="B255" s="7">
        <v>15</v>
      </c>
      <c r="C255" s="9">
        <v>3.96</v>
      </c>
    </row>
    <row r="256" spans="1:3" ht="14.25" customHeight="1" x14ac:dyDescent="0.2">
      <c r="A256" s="7">
        <v>255</v>
      </c>
      <c r="B256" s="7">
        <v>19</v>
      </c>
      <c r="C256" s="9">
        <v>5.94</v>
      </c>
    </row>
    <row r="257" spans="1:3" ht="14.25" customHeight="1" x14ac:dyDescent="0.2">
      <c r="A257" s="7">
        <v>256</v>
      </c>
      <c r="B257" s="7">
        <v>25</v>
      </c>
      <c r="C257" s="9">
        <v>8.91</v>
      </c>
    </row>
    <row r="258" spans="1:3" ht="14.25" customHeight="1" x14ac:dyDescent="0.2">
      <c r="A258" s="7">
        <v>257</v>
      </c>
      <c r="B258" s="7">
        <v>34</v>
      </c>
      <c r="C258" s="9">
        <v>13.86</v>
      </c>
    </row>
    <row r="259" spans="1:3" ht="14.25" customHeight="1" x14ac:dyDescent="0.2">
      <c r="A259" s="7">
        <v>258</v>
      </c>
      <c r="B259" s="7">
        <v>48</v>
      </c>
      <c r="C259" s="9">
        <v>0.99</v>
      </c>
    </row>
    <row r="260" spans="1:3" ht="14.25" customHeight="1" x14ac:dyDescent="0.2">
      <c r="A260" s="7">
        <v>259</v>
      </c>
      <c r="B260" s="7">
        <v>49</v>
      </c>
      <c r="C260" s="9">
        <v>1.98</v>
      </c>
    </row>
    <row r="261" spans="1:3" ht="14.25" customHeight="1" x14ac:dyDescent="0.2">
      <c r="A261" s="7">
        <v>260</v>
      </c>
      <c r="B261" s="7">
        <v>51</v>
      </c>
      <c r="C261" s="9">
        <v>1.98</v>
      </c>
    </row>
    <row r="262" spans="1:3" ht="14.25" customHeight="1" x14ac:dyDescent="0.2">
      <c r="A262" s="7">
        <v>261</v>
      </c>
      <c r="B262" s="7">
        <v>53</v>
      </c>
      <c r="C262" s="9">
        <v>3.96</v>
      </c>
    </row>
    <row r="263" spans="1:3" ht="14.25" customHeight="1" x14ac:dyDescent="0.2">
      <c r="A263" s="7">
        <v>262</v>
      </c>
      <c r="B263" s="7">
        <v>57</v>
      </c>
      <c r="C263" s="9">
        <v>5.94</v>
      </c>
    </row>
    <row r="264" spans="1:3" ht="14.25" customHeight="1" x14ac:dyDescent="0.2">
      <c r="A264" s="7">
        <v>263</v>
      </c>
      <c r="B264" s="7">
        <v>4</v>
      </c>
      <c r="C264" s="9">
        <v>8.91</v>
      </c>
    </row>
    <row r="265" spans="1:3" ht="14.25" customHeight="1" x14ac:dyDescent="0.2">
      <c r="A265" s="7">
        <v>264</v>
      </c>
      <c r="B265" s="7">
        <v>13</v>
      </c>
      <c r="C265" s="9">
        <v>13.86</v>
      </c>
    </row>
    <row r="266" spans="1:3" ht="14.25" customHeight="1" x14ac:dyDescent="0.2">
      <c r="A266" s="7">
        <v>265</v>
      </c>
      <c r="B266" s="7">
        <v>27</v>
      </c>
      <c r="C266" s="9">
        <v>0.99</v>
      </c>
    </row>
    <row r="267" spans="1:3" ht="14.25" customHeight="1" x14ac:dyDescent="0.2">
      <c r="A267" s="7">
        <v>266</v>
      </c>
      <c r="B267" s="7">
        <v>28</v>
      </c>
      <c r="C267" s="9">
        <v>1.98</v>
      </c>
    </row>
    <row r="268" spans="1:3" ht="14.25" customHeight="1" x14ac:dyDescent="0.2">
      <c r="A268" s="7">
        <v>267</v>
      </c>
      <c r="B268" s="7">
        <v>30</v>
      </c>
      <c r="C268" s="9">
        <v>1.98</v>
      </c>
    </row>
    <row r="269" spans="1:3" ht="14.25" customHeight="1" x14ac:dyDescent="0.2">
      <c r="A269" s="7">
        <v>268</v>
      </c>
      <c r="B269" s="7">
        <v>32</v>
      </c>
      <c r="C269" s="9">
        <v>3.96</v>
      </c>
    </row>
    <row r="270" spans="1:3" ht="14.25" customHeight="1" x14ac:dyDescent="0.2">
      <c r="A270" s="7">
        <v>269</v>
      </c>
      <c r="B270" s="7">
        <v>36</v>
      </c>
      <c r="C270" s="9">
        <v>5.94</v>
      </c>
    </row>
    <row r="271" spans="1:3" ht="14.25" customHeight="1" x14ac:dyDescent="0.2">
      <c r="A271" s="7">
        <v>270</v>
      </c>
      <c r="B271" s="7">
        <v>42</v>
      </c>
      <c r="C271" s="9">
        <v>8.91</v>
      </c>
    </row>
    <row r="272" spans="1:3" ht="14.25" customHeight="1" x14ac:dyDescent="0.2">
      <c r="A272" s="7">
        <v>271</v>
      </c>
      <c r="B272" s="7">
        <v>51</v>
      </c>
      <c r="C272" s="9">
        <v>13.86</v>
      </c>
    </row>
    <row r="273" spans="1:3" ht="14.25" customHeight="1" x14ac:dyDescent="0.2">
      <c r="A273" s="7">
        <v>272</v>
      </c>
      <c r="B273" s="7">
        <v>6</v>
      </c>
      <c r="C273" s="9">
        <v>0.99</v>
      </c>
    </row>
    <row r="274" spans="1:3" ht="14.25" customHeight="1" x14ac:dyDescent="0.2">
      <c r="A274" s="7">
        <v>273</v>
      </c>
      <c r="B274" s="7">
        <v>7</v>
      </c>
      <c r="C274" s="9">
        <v>1.98</v>
      </c>
    </row>
    <row r="275" spans="1:3" ht="14.25" customHeight="1" x14ac:dyDescent="0.2">
      <c r="A275" s="7">
        <v>274</v>
      </c>
      <c r="B275" s="7">
        <v>9</v>
      </c>
      <c r="C275" s="9">
        <v>1.98</v>
      </c>
    </row>
    <row r="276" spans="1:3" ht="14.25" customHeight="1" x14ac:dyDescent="0.2">
      <c r="A276" s="7">
        <v>275</v>
      </c>
      <c r="B276" s="7">
        <v>11</v>
      </c>
      <c r="C276" s="9">
        <v>3.96</v>
      </c>
    </row>
    <row r="277" spans="1:3" ht="14.25" customHeight="1" x14ac:dyDescent="0.2">
      <c r="A277" s="7">
        <v>276</v>
      </c>
      <c r="B277" s="7">
        <v>15</v>
      </c>
      <c r="C277" s="9">
        <v>5.94</v>
      </c>
    </row>
    <row r="278" spans="1:3" ht="14.25" customHeight="1" x14ac:dyDescent="0.2">
      <c r="A278" s="7">
        <v>277</v>
      </c>
      <c r="B278" s="7">
        <v>21</v>
      </c>
      <c r="C278" s="9">
        <v>8.91</v>
      </c>
    </row>
    <row r="279" spans="1:3" ht="14.25" customHeight="1" x14ac:dyDescent="0.2">
      <c r="A279" s="7">
        <v>278</v>
      </c>
      <c r="B279" s="7">
        <v>30</v>
      </c>
      <c r="C279" s="9">
        <v>13.86</v>
      </c>
    </row>
    <row r="280" spans="1:3" ht="14.25" customHeight="1" x14ac:dyDescent="0.2">
      <c r="A280" s="7">
        <v>279</v>
      </c>
      <c r="B280" s="7">
        <v>44</v>
      </c>
      <c r="C280" s="9">
        <v>0.99</v>
      </c>
    </row>
    <row r="281" spans="1:3" ht="14.25" customHeight="1" x14ac:dyDescent="0.2">
      <c r="A281" s="7">
        <v>280</v>
      </c>
      <c r="B281" s="7">
        <v>45</v>
      </c>
      <c r="C281" s="9">
        <v>1.98</v>
      </c>
    </row>
    <row r="282" spans="1:3" ht="14.25" customHeight="1" x14ac:dyDescent="0.2">
      <c r="A282" s="7">
        <v>281</v>
      </c>
      <c r="B282" s="7">
        <v>47</v>
      </c>
      <c r="C282" s="9">
        <v>1.98</v>
      </c>
    </row>
    <row r="283" spans="1:3" ht="14.25" customHeight="1" x14ac:dyDescent="0.2">
      <c r="A283" s="7">
        <v>282</v>
      </c>
      <c r="B283" s="7">
        <v>49</v>
      </c>
      <c r="C283" s="9">
        <v>3.96</v>
      </c>
    </row>
    <row r="284" spans="1:3" ht="14.25" customHeight="1" x14ac:dyDescent="0.2">
      <c r="A284" s="7">
        <v>283</v>
      </c>
      <c r="B284" s="7">
        <v>53</v>
      </c>
      <c r="C284" s="9">
        <v>5.94</v>
      </c>
    </row>
    <row r="285" spans="1:3" ht="14.25" customHeight="1" x14ac:dyDescent="0.2">
      <c r="A285" s="7">
        <v>284</v>
      </c>
      <c r="B285" s="7">
        <v>59</v>
      </c>
      <c r="C285" s="9">
        <v>8.91</v>
      </c>
    </row>
    <row r="286" spans="1:3" ht="14.25" customHeight="1" x14ac:dyDescent="0.2">
      <c r="A286" s="7">
        <v>285</v>
      </c>
      <c r="B286" s="7">
        <v>9</v>
      </c>
      <c r="C286" s="9">
        <v>13.86</v>
      </c>
    </row>
    <row r="287" spans="1:3" ht="14.25" customHeight="1" x14ac:dyDescent="0.2">
      <c r="A287" s="7">
        <v>286</v>
      </c>
      <c r="B287" s="7">
        <v>23</v>
      </c>
      <c r="C287" s="9">
        <v>0.99</v>
      </c>
    </row>
    <row r="288" spans="1:3" ht="14.25" customHeight="1" x14ac:dyDescent="0.2">
      <c r="A288" s="7">
        <v>287</v>
      </c>
      <c r="B288" s="7">
        <v>24</v>
      </c>
      <c r="C288" s="9">
        <v>1.98</v>
      </c>
    </row>
    <row r="289" spans="1:3" ht="14.25" customHeight="1" x14ac:dyDescent="0.2">
      <c r="A289" s="7">
        <v>288</v>
      </c>
      <c r="B289" s="7">
        <v>26</v>
      </c>
      <c r="C289" s="9">
        <v>1.98</v>
      </c>
    </row>
    <row r="290" spans="1:3" ht="14.25" customHeight="1" x14ac:dyDescent="0.2">
      <c r="A290" s="7">
        <v>289</v>
      </c>
      <c r="B290" s="7">
        <v>28</v>
      </c>
      <c r="C290" s="9">
        <v>3.96</v>
      </c>
    </row>
    <row r="291" spans="1:3" ht="14.25" customHeight="1" x14ac:dyDescent="0.2">
      <c r="A291" s="7">
        <v>290</v>
      </c>
      <c r="B291" s="7">
        <v>32</v>
      </c>
      <c r="C291" s="9">
        <v>5.94</v>
      </c>
    </row>
    <row r="292" spans="1:3" ht="14.25" customHeight="1" x14ac:dyDescent="0.2">
      <c r="A292" s="7">
        <v>291</v>
      </c>
      <c r="B292" s="7">
        <v>38</v>
      </c>
      <c r="C292" s="9">
        <v>8.91</v>
      </c>
    </row>
    <row r="293" spans="1:3" ht="14.25" customHeight="1" x14ac:dyDescent="0.2">
      <c r="A293" s="7">
        <v>292</v>
      </c>
      <c r="B293" s="7">
        <v>47</v>
      </c>
      <c r="C293" s="9">
        <v>13.86</v>
      </c>
    </row>
    <row r="294" spans="1:3" ht="14.25" customHeight="1" x14ac:dyDescent="0.2">
      <c r="A294" s="7">
        <v>293</v>
      </c>
      <c r="B294" s="7">
        <v>2</v>
      </c>
      <c r="C294" s="9">
        <v>0.99</v>
      </c>
    </row>
    <row r="295" spans="1:3" ht="14.25" customHeight="1" x14ac:dyDescent="0.2">
      <c r="A295" s="7">
        <v>294</v>
      </c>
      <c r="B295" s="7">
        <v>3</v>
      </c>
      <c r="C295" s="9">
        <v>1.98</v>
      </c>
    </row>
    <row r="296" spans="1:3" ht="14.25" customHeight="1" x14ac:dyDescent="0.2">
      <c r="A296" s="7">
        <v>295</v>
      </c>
      <c r="B296" s="7">
        <v>5</v>
      </c>
      <c r="C296" s="9">
        <v>1.98</v>
      </c>
    </row>
    <row r="297" spans="1:3" ht="14.25" customHeight="1" x14ac:dyDescent="0.2">
      <c r="A297" s="7">
        <v>296</v>
      </c>
      <c r="B297" s="7">
        <v>7</v>
      </c>
      <c r="C297" s="9">
        <v>3.96</v>
      </c>
    </row>
    <row r="298" spans="1:3" ht="14.25" customHeight="1" x14ac:dyDescent="0.2">
      <c r="A298" s="7">
        <v>297</v>
      </c>
      <c r="B298" s="7">
        <v>11</v>
      </c>
      <c r="C298" s="9">
        <v>5.94</v>
      </c>
    </row>
    <row r="299" spans="1:3" ht="14.25" customHeight="1" x14ac:dyDescent="0.2">
      <c r="A299" s="7">
        <v>298</v>
      </c>
      <c r="B299" s="7">
        <v>17</v>
      </c>
      <c r="C299" s="9">
        <v>10.91</v>
      </c>
    </row>
    <row r="300" spans="1:3" ht="14.25" customHeight="1" x14ac:dyDescent="0.2">
      <c r="A300" s="7">
        <v>299</v>
      </c>
      <c r="B300" s="7">
        <v>26</v>
      </c>
      <c r="C300" s="9">
        <v>23.86</v>
      </c>
    </row>
    <row r="301" spans="1:3" ht="14.25" customHeight="1" x14ac:dyDescent="0.2">
      <c r="A301" s="7">
        <v>300</v>
      </c>
      <c r="B301" s="7">
        <v>40</v>
      </c>
      <c r="C301" s="9">
        <v>0.99</v>
      </c>
    </row>
    <row r="302" spans="1:3" ht="14.25" customHeight="1" x14ac:dyDescent="0.2">
      <c r="A302" s="7">
        <v>301</v>
      </c>
      <c r="B302" s="7">
        <v>41</v>
      </c>
      <c r="C302" s="9">
        <v>1.98</v>
      </c>
    </row>
    <row r="303" spans="1:3" ht="14.25" customHeight="1" x14ac:dyDescent="0.2">
      <c r="A303" s="7">
        <v>302</v>
      </c>
      <c r="B303" s="7">
        <v>43</v>
      </c>
      <c r="C303" s="9">
        <v>1.98</v>
      </c>
    </row>
    <row r="304" spans="1:3" ht="14.25" customHeight="1" x14ac:dyDescent="0.2">
      <c r="A304" s="7">
        <v>303</v>
      </c>
      <c r="B304" s="7">
        <v>45</v>
      </c>
      <c r="C304" s="9">
        <v>3.96</v>
      </c>
    </row>
    <row r="305" spans="1:3" ht="14.25" customHeight="1" x14ac:dyDescent="0.2">
      <c r="A305" s="7">
        <v>304</v>
      </c>
      <c r="B305" s="7">
        <v>49</v>
      </c>
      <c r="C305" s="9">
        <v>5.94</v>
      </c>
    </row>
    <row r="306" spans="1:3" ht="14.25" customHeight="1" x14ac:dyDescent="0.2">
      <c r="A306" s="7">
        <v>305</v>
      </c>
      <c r="B306" s="7">
        <v>55</v>
      </c>
      <c r="C306" s="9">
        <v>8.91</v>
      </c>
    </row>
    <row r="307" spans="1:3" ht="14.25" customHeight="1" x14ac:dyDescent="0.2">
      <c r="A307" s="7">
        <v>306</v>
      </c>
      <c r="B307" s="7">
        <v>5</v>
      </c>
      <c r="C307" s="9">
        <v>16.86</v>
      </c>
    </row>
    <row r="308" spans="1:3" ht="14.25" customHeight="1" x14ac:dyDescent="0.2">
      <c r="A308" s="7">
        <v>307</v>
      </c>
      <c r="B308" s="7">
        <v>19</v>
      </c>
      <c r="C308" s="9">
        <v>1.99</v>
      </c>
    </row>
    <row r="309" spans="1:3" ht="14.25" customHeight="1" x14ac:dyDescent="0.2">
      <c r="A309" s="7">
        <v>308</v>
      </c>
      <c r="B309" s="7">
        <v>20</v>
      </c>
      <c r="C309" s="9">
        <v>3.98</v>
      </c>
    </row>
    <row r="310" spans="1:3" ht="14.25" customHeight="1" x14ac:dyDescent="0.2">
      <c r="A310" s="7">
        <v>309</v>
      </c>
      <c r="B310" s="7">
        <v>22</v>
      </c>
      <c r="C310" s="9">
        <v>3.98</v>
      </c>
    </row>
    <row r="311" spans="1:3" ht="14.25" customHeight="1" x14ac:dyDescent="0.2">
      <c r="A311" s="7">
        <v>310</v>
      </c>
      <c r="B311" s="7">
        <v>24</v>
      </c>
      <c r="C311" s="9">
        <v>7.96</v>
      </c>
    </row>
    <row r="312" spans="1:3" ht="14.25" customHeight="1" x14ac:dyDescent="0.2">
      <c r="A312" s="7">
        <v>311</v>
      </c>
      <c r="B312" s="7">
        <v>28</v>
      </c>
      <c r="C312" s="9">
        <v>11.94</v>
      </c>
    </row>
    <row r="313" spans="1:3" ht="14.25" customHeight="1" x14ac:dyDescent="0.2">
      <c r="A313" s="7">
        <v>312</v>
      </c>
      <c r="B313" s="7">
        <v>34</v>
      </c>
      <c r="C313" s="9">
        <v>10.91</v>
      </c>
    </row>
    <row r="314" spans="1:3" ht="14.25" customHeight="1" x14ac:dyDescent="0.2">
      <c r="A314" s="7">
        <v>313</v>
      </c>
      <c r="B314" s="7">
        <v>43</v>
      </c>
      <c r="C314" s="9">
        <v>16.86</v>
      </c>
    </row>
    <row r="315" spans="1:3" ht="14.25" customHeight="1" x14ac:dyDescent="0.2">
      <c r="A315" s="7">
        <v>314</v>
      </c>
      <c r="B315" s="7">
        <v>57</v>
      </c>
      <c r="C315" s="9">
        <v>0.99</v>
      </c>
    </row>
    <row r="316" spans="1:3" ht="14.25" customHeight="1" x14ac:dyDescent="0.2">
      <c r="A316" s="7">
        <v>315</v>
      </c>
      <c r="B316" s="7">
        <v>58</v>
      </c>
      <c r="C316" s="9">
        <v>1.98</v>
      </c>
    </row>
    <row r="317" spans="1:3" ht="14.25" customHeight="1" x14ac:dyDescent="0.2">
      <c r="A317" s="7">
        <v>316</v>
      </c>
      <c r="B317" s="7">
        <v>1</v>
      </c>
      <c r="C317" s="9">
        <v>1.98</v>
      </c>
    </row>
    <row r="318" spans="1:3" ht="14.25" customHeight="1" x14ac:dyDescent="0.2">
      <c r="A318" s="7">
        <v>317</v>
      </c>
      <c r="B318" s="7">
        <v>3</v>
      </c>
      <c r="C318" s="9">
        <v>3.96</v>
      </c>
    </row>
    <row r="319" spans="1:3" ht="14.25" customHeight="1" x14ac:dyDescent="0.2">
      <c r="A319" s="7">
        <v>318</v>
      </c>
      <c r="B319" s="7">
        <v>7</v>
      </c>
      <c r="C319" s="9">
        <v>5.94</v>
      </c>
    </row>
    <row r="320" spans="1:3" ht="14.25" customHeight="1" x14ac:dyDescent="0.2">
      <c r="A320" s="7">
        <v>319</v>
      </c>
      <c r="B320" s="7">
        <v>13</v>
      </c>
      <c r="C320" s="9">
        <v>8.91</v>
      </c>
    </row>
    <row r="321" spans="1:3" ht="14.25" customHeight="1" x14ac:dyDescent="0.2">
      <c r="A321" s="7">
        <v>320</v>
      </c>
      <c r="B321" s="7">
        <v>22</v>
      </c>
      <c r="C321" s="9">
        <v>13.86</v>
      </c>
    </row>
    <row r="322" spans="1:3" ht="14.25" customHeight="1" x14ac:dyDescent="0.2">
      <c r="A322" s="7">
        <v>321</v>
      </c>
      <c r="B322" s="7">
        <v>36</v>
      </c>
      <c r="C322" s="9">
        <v>0.99</v>
      </c>
    </row>
    <row r="323" spans="1:3" ht="14.25" customHeight="1" x14ac:dyDescent="0.2">
      <c r="A323" s="7">
        <v>322</v>
      </c>
      <c r="B323" s="7">
        <v>37</v>
      </c>
      <c r="C323" s="9">
        <v>1.98</v>
      </c>
    </row>
    <row r="324" spans="1:3" ht="14.25" customHeight="1" x14ac:dyDescent="0.2">
      <c r="A324" s="7">
        <v>323</v>
      </c>
      <c r="B324" s="7">
        <v>39</v>
      </c>
      <c r="C324" s="9">
        <v>1.98</v>
      </c>
    </row>
    <row r="325" spans="1:3" ht="14.25" customHeight="1" x14ac:dyDescent="0.2">
      <c r="A325" s="7">
        <v>324</v>
      </c>
      <c r="B325" s="7">
        <v>41</v>
      </c>
      <c r="C325" s="9">
        <v>3.96</v>
      </c>
    </row>
    <row r="326" spans="1:3" ht="14.25" customHeight="1" x14ac:dyDescent="0.2">
      <c r="A326" s="7">
        <v>325</v>
      </c>
      <c r="B326" s="7">
        <v>45</v>
      </c>
      <c r="C326" s="9">
        <v>5.94</v>
      </c>
    </row>
    <row r="327" spans="1:3" ht="14.25" customHeight="1" x14ac:dyDescent="0.2">
      <c r="A327" s="7">
        <v>326</v>
      </c>
      <c r="B327" s="7">
        <v>51</v>
      </c>
      <c r="C327" s="9">
        <v>8.91</v>
      </c>
    </row>
    <row r="328" spans="1:3" ht="14.25" customHeight="1" x14ac:dyDescent="0.2">
      <c r="A328" s="7">
        <v>327</v>
      </c>
      <c r="B328" s="7">
        <v>1</v>
      </c>
      <c r="C328" s="9">
        <v>13.86</v>
      </c>
    </row>
    <row r="329" spans="1:3" ht="14.25" customHeight="1" x14ac:dyDescent="0.2">
      <c r="A329" s="7">
        <v>328</v>
      </c>
      <c r="B329" s="7">
        <v>15</v>
      </c>
      <c r="C329" s="9">
        <v>0.99</v>
      </c>
    </row>
    <row r="330" spans="1:3" ht="14.25" customHeight="1" x14ac:dyDescent="0.2">
      <c r="A330" s="7">
        <v>329</v>
      </c>
      <c r="B330" s="7">
        <v>16</v>
      </c>
      <c r="C330" s="9">
        <v>1.98</v>
      </c>
    </row>
    <row r="331" spans="1:3" ht="14.25" customHeight="1" x14ac:dyDescent="0.2">
      <c r="A331" s="7">
        <v>330</v>
      </c>
      <c r="B331" s="7">
        <v>18</v>
      </c>
      <c r="C331" s="9">
        <v>1.98</v>
      </c>
    </row>
    <row r="332" spans="1:3" ht="14.25" customHeight="1" x14ac:dyDescent="0.2">
      <c r="A332" s="7">
        <v>331</v>
      </c>
      <c r="B332" s="7">
        <v>20</v>
      </c>
      <c r="C332" s="9">
        <v>3.96</v>
      </c>
    </row>
    <row r="333" spans="1:3" ht="14.25" customHeight="1" x14ac:dyDescent="0.2">
      <c r="A333" s="7">
        <v>332</v>
      </c>
      <c r="B333" s="7">
        <v>24</v>
      </c>
      <c r="C333" s="9">
        <v>5.94</v>
      </c>
    </row>
    <row r="334" spans="1:3" ht="14.25" customHeight="1" x14ac:dyDescent="0.2">
      <c r="A334" s="7">
        <v>333</v>
      </c>
      <c r="B334" s="7">
        <v>30</v>
      </c>
      <c r="C334" s="9">
        <v>8.91</v>
      </c>
    </row>
    <row r="335" spans="1:3" ht="14.25" customHeight="1" x14ac:dyDescent="0.2">
      <c r="A335" s="7">
        <v>334</v>
      </c>
      <c r="B335" s="7">
        <v>39</v>
      </c>
      <c r="C335" s="9">
        <v>13.86</v>
      </c>
    </row>
    <row r="336" spans="1:3" ht="14.25" customHeight="1" x14ac:dyDescent="0.2">
      <c r="A336" s="7">
        <v>335</v>
      </c>
      <c r="B336" s="7">
        <v>53</v>
      </c>
      <c r="C336" s="9">
        <v>0.99</v>
      </c>
    </row>
    <row r="337" spans="1:3" ht="14.25" customHeight="1" x14ac:dyDescent="0.2">
      <c r="A337" s="7">
        <v>336</v>
      </c>
      <c r="B337" s="7">
        <v>54</v>
      </c>
      <c r="C337" s="9">
        <v>1.98</v>
      </c>
    </row>
    <row r="338" spans="1:3" ht="14.25" customHeight="1" x14ac:dyDescent="0.2">
      <c r="A338" s="7">
        <v>337</v>
      </c>
      <c r="B338" s="7">
        <v>56</v>
      </c>
      <c r="C338" s="9">
        <v>1.98</v>
      </c>
    </row>
    <row r="339" spans="1:3" ht="14.25" customHeight="1" x14ac:dyDescent="0.2">
      <c r="A339" s="7">
        <v>338</v>
      </c>
      <c r="B339" s="7">
        <v>58</v>
      </c>
      <c r="C339" s="9">
        <v>3.96</v>
      </c>
    </row>
    <row r="340" spans="1:3" ht="14.25" customHeight="1" x14ac:dyDescent="0.2">
      <c r="A340" s="7">
        <v>339</v>
      </c>
      <c r="B340" s="7">
        <v>3</v>
      </c>
      <c r="C340" s="9">
        <v>5.94</v>
      </c>
    </row>
    <row r="341" spans="1:3" ht="14.25" customHeight="1" x14ac:dyDescent="0.2">
      <c r="A341" s="7">
        <v>340</v>
      </c>
      <c r="B341" s="7">
        <v>9</v>
      </c>
      <c r="C341" s="9">
        <v>8.91</v>
      </c>
    </row>
    <row r="342" spans="1:3" ht="14.25" customHeight="1" x14ac:dyDescent="0.2">
      <c r="A342" s="7">
        <v>341</v>
      </c>
      <c r="B342" s="7">
        <v>18</v>
      </c>
      <c r="C342" s="9">
        <v>13.86</v>
      </c>
    </row>
    <row r="343" spans="1:3" ht="14.25" customHeight="1" x14ac:dyDescent="0.2">
      <c r="A343" s="7">
        <v>342</v>
      </c>
      <c r="B343" s="7">
        <v>32</v>
      </c>
      <c r="C343" s="9">
        <v>0.99</v>
      </c>
    </row>
    <row r="344" spans="1:3" ht="14.25" customHeight="1" x14ac:dyDescent="0.2">
      <c r="A344" s="7">
        <v>343</v>
      </c>
      <c r="B344" s="7">
        <v>33</v>
      </c>
      <c r="C344" s="9">
        <v>1.98</v>
      </c>
    </row>
    <row r="345" spans="1:3" ht="14.25" customHeight="1" x14ac:dyDescent="0.2">
      <c r="A345" s="7">
        <v>344</v>
      </c>
      <c r="B345" s="7">
        <v>35</v>
      </c>
      <c r="C345" s="9">
        <v>1.98</v>
      </c>
    </row>
    <row r="346" spans="1:3" ht="14.25" customHeight="1" x14ac:dyDescent="0.2">
      <c r="A346" s="7">
        <v>345</v>
      </c>
      <c r="B346" s="7">
        <v>37</v>
      </c>
      <c r="C346" s="9">
        <v>3.96</v>
      </c>
    </row>
    <row r="347" spans="1:3" ht="14.25" customHeight="1" x14ac:dyDescent="0.2">
      <c r="A347" s="7">
        <v>346</v>
      </c>
      <c r="B347" s="7">
        <v>41</v>
      </c>
      <c r="C347" s="9">
        <v>5.94</v>
      </c>
    </row>
    <row r="348" spans="1:3" ht="14.25" customHeight="1" x14ac:dyDescent="0.2">
      <c r="A348" s="7">
        <v>347</v>
      </c>
      <c r="B348" s="7">
        <v>47</v>
      </c>
      <c r="C348" s="9">
        <v>8.91</v>
      </c>
    </row>
    <row r="349" spans="1:3" ht="14.25" customHeight="1" x14ac:dyDescent="0.2">
      <c r="A349" s="7">
        <v>348</v>
      </c>
      <c r="B349" s="7">
        <v>56</v>
      </c>
      <c r="C349" s="9">
        <v>13.86</v>
      </c>
    </row>
    <row r="350" spans="1:3" ht="14.25" customHeight="1" x14ac:dyDescent="0.2">
      <c r="A350" s="7">
        <v>349</v>
      </c>
      <c r="B350" s="7">
        <v>11</v>
      </c>
      <c r="C350" s="9">
        <v>0.99</v>
      </c>
    </row>
    <row r="351" spans="1:3" ht="14.25" customHeight="1" x14ac:dyDescent="0.2">
      <c r="A351" s="7">
        <v>350</v>
      </c>
      <c r="B351" s="7">
        <v>12</v>
      </c>
      <c r="C351" s="9">
        <v>1.98</v>
      </c>
    </row>
    <row r="352" spans="1:3" ht="14.25" customHeight="1" x14ac:dyDescent="0.2">
      <c r="A352" s="7">
        <v>351</v>
      </c>
      <c r="B352" s="7">
        <v>14</v>
      </c>
      <c r="C352" s="9">
        <v>1.98</v>
      </c>
    </row>
    <row r="353" spans="1:3" ht="14.25" customHeight="1" x14ac:dyDescent="0.2">
      <c r="A353" s="7">
        <v>352</v>
      </c>
      <c r="B353" s="7">
        <v>16</v>
      </c>
      <c r="C353" s="9">
        <v>3.96</v>
      </c>
    </row>
    <row r="354" spans="1:3" ht="14.25" customHeight="1" x14ac:dyDescent="0.2">
      <c r="A354" s="7">
        <v>353</v>
      </c>
      <c r="B354" s="7">
        <v>20</v>
      </c>
      <c r="C354" s="9">
        <v>5.94</v>
      </c>
    </row>
    <row r="355" spans="1:3" ht="14.25" customHeight="1" x14ac:dyDescent="0.2">
      <c r="A355" s="7">
        <v>354</v>
      </c>
      <c r="B355" s="7">
        <v>26</v>
      </c>
      <c r="C355" s="9">
        <v>8.91</v>
      </c>
    </row>
    <row r="356" spans="1:3" ht="14.25" customHeight="1" x14ac:dyDescent="0.2">
      <c r="A356" s="7">
        <v>355</v>
      </c>
      <c r="B356" s="7">
        <v>35</v>
      </c>
      <c r="C356" s="9">
        <v>13.86</v>
      </c>
    </row>
    <row r="357" spans="1:3" ht="14.25" customHeight="1" x14ac:dyDescent="0.2">
      <c r="A357" s="7">
        <v>356</v>
      </c>
      <c r="B357" s="7">
        <v>49</v>
      </c>
      <c r="C357" s="9">
        <v>0.99</v>
      </c>
    </row>
    <row r="358" spans="1:3" ht="14.25" customHeight="1" x14ac:dyDescent="0.2">
      <c r="A358" s="7">
        <v>357</v>
      </c>
      <c r="B358" s="7">
        <v>50</v>
      </c>
      <c r="C358" s="9">
        <v>1.98</v>
      </c>
    </row>
    <row r="359" spans="1:3" ht="14.25" customHeight="1" x14ac:dyDescent="0.2">
      <c r="A359" s="7">
        <v>358</v>
      </c>
      <c r="B359" s="7">
        <v>52</v>
      </c>
      <c r="C359" s="9">
        <v>1.98</v>
      </c>
    </row>
    <row r="360" spans="1:3" ht="14.25" customHeight="1" x14ac:dyDescent="0.2">
      <c r="A360" s="7">
        <v>359</v>
      </c>
      <c r="B360" s="7">
        <v>54</v>
      </c>
      <c r="C360" s="9">
        <v>3.96</v>
      </c>
    </row>
    <row r="361" spans="1:3" ht="14.25" customHeight="1" x14ac:dyDescent="0.2">
      <c r="A361" s="7">
        <v>360</v>
      </c>
      <c r="B361" s="7">
        <v>58</v>
      </c>
      <c r="C361" s="9">
        <v>5.94</v>
      </c>
    </row>
    <row r="362" spans="1:3" ht="14.25" customHeight="1" x14ac:dyDescent="0.2">
      <c r="A362" s="7">
        <v>361</v>
      </c>
      <c r="B362" s="7">
        <v>5</v>
      </c>
      <c r="C362" s="9">
        <v>8.91</v>
      </c>
    </row>
    <row r="363" spans="1:3" ht="14.25" customHeight="1" x14ac:dyDescent="0.2">
      <c r="A363" s="7">
        <v>362</v>
      </c>
      <c r="B363" s="7">
        <v>14</v>
      </c>
      <c r="C363" s="9">
        <v>13.86</v>
      </c>
    </row>
    <row r="364" spans="1:3" ht="14.25" customHeight="1" x14ac:dyDescent="0.2">
      <c r="A364" s="7">
        <v>363</v>
      </c>
      <c r="B364" s="7">
        <v>28</v>
      </c>
      <c r="C364" s="9">
        <v>0.99</v>
      </c>
    </row>
    <row r="365" spans="1:3" ht="14.25" customHeight="1" x14ac:dyDescent="0.2">
      <c r="A365" s="7">
        <v>364</v>
      </c>
      <c r="B365" s="7">
        <v>29</v>
      </c>
      <c r="C365" s="9">
        <v>1.98</v>
      </c>
    </row>
    <row r="366" spans="1:3" ht="14.25" customHeight="1" x14ac:dyDescent="0.2">
      <c r="A366" s="7">
        <v>365</v>
      </c>
      <c r="B366" s="7">
        <v>31</v>
      </c>
      <c r="C366" s="9">
        <v>1.98</v>
      </c>
    </row>
    <row r="367" spans="1:3" ht="14.25" customHeight="1" x14ac:dyDescent="0.2">
      <c r="A367" s="7">
        <v>366</v>
      </c>
      <c r="B367" s="7">
        <v>33</v>
      </c>
      <c r="C367" s="9">
        <v>3.96</v>
      </c>
    </row>
    <row r="368" spans="1:3" ht="14.25" customHeight="1" x14ac:dyDescent="0.2">
      <c r="A368" s="7">
        <v>367</v>
      </c>
      <c r="B368" s="7">
        <v>37</v>
      </c>
      <c r="C368" s="9">
        <v>5.94</v>
      </c>
    </row>
    <row r="369" spans="1:3" ht="14.25" customHeight="1" x14ac:dyDescent="0.2">
      <c r="A369" s="7">
        <v>368</v>
      </c>
      <c r="B369" s="7">
        <v>43</v>
      </c>
      <c r="C369" s="9">
        <v>8.91</v>
      </c>
    </row>
    <row r="370" spans="1:3" ht="14.25" customHeight="1" x14ac:dyDescent="0.2">
      <c r="A370" s="7">
        <v>369</v>
      </c>
      <c r="B370" s="7">
        <v>52</v>
      </c>
      <c r="C370" s="9">
        <v>13.86</v>
      </c>
    </row>
    <row r="371" spans="1:3" ht="14.25" customHeight="1" x14ac:dyDescent="0.2">
      <c r="A371" s="7">
        <v>370</v>
      </c>
      <c r="B371" s="7">
        <v>7</v>
      </c>
      <c r="C371" s="9">
        <v>0.99</v>
      </c>
    </row>
    <row r="372" spans="1:3" ht="14.25" customHeight="1" x14ac:dyDescent="0.2">
      <c r="A372" s="7">
        <v>371</v>
      </c>
      <c r="B372" s="7">
        <v>8</v>
      </c>
      <c r="C372" s="9">
        <v>1.98</v>
      </c>
    </row>
    <row r="373" spans="1:3" ht="14.25" customHeight="1" x14ac:dyDescent="0.2">
      <c r="A373" s="7">
        <v>372</v>
      </c>
      <c r="B373" s="7">
        <v>10</v>
      </c>
      <c r="C373" s="9">
        <v>1.98</v>
      </c>
    </row>
    <row r="374" spans="1:3" ht="14.25" customHeight="1" x14ac:dyDescent="0.2">
      <c r="A374" s="7">
        <v>373</v>
      </c>
      <c r="B374" s="7">
        <v>12</v>
      </c>
      <c r="C374" s="9">
        <v>3.96</v>
      </c>
    </row>
    <row r="375" spans="1:3" ht="14.25" customHeight="1" x14ac:dyDescent="0.2">
      <c r="A375" s="7">
        <v>374</v>
      </c>
      <c r="B375" s="7">
        <v>16</v>
      </c>
      <c r="C375" s="9">
        <v>5.94</v>
      </c>
    </row>
    <row r="376" spans="1:3" ht="14.25" customHeight="1" x14ac:dyDescent="0.2">
      <c r="A376" s="7">
        <v>375</v>
      </c>
      <c r="B376" s="7">
        <v>22</v>
      </c>
      <c r="C376" s="9">
        <v>8.91</v>
      </c>
    </row>
    <row r="377" spans="1:3" ht="14.25" customHeight="1" x14ac:dyDescent="0.2">
      <c r="A377" s="7">
        <v>376</v>
      </c>
      <c r="B377" s="7">
        <v>31</v>
      </c>
      <c r="C377" s="9">
        <v>13.86</v>
      </c>
    </row>
    <row r="378" spans="1:3" ht="14.25" customHeight="1" x14ac:dyDescent="0.2">
      <c r="A378" s="7">
        <v>377</v>
      </c>
      <c r="B378" s="7">
        <v>45</v>
      </c>
      <c r="C378" s="9">
        <v>0.99</v>
      </c>
    </row>
    <row r="379" spans="1:3" ht="14.25" customHeight="1" x14ac:dyDescent="0.2">
      <c r="A379" s="7">
        <v>378</v>
      </c>
      <c r="B379" s="7">
        <v>46</v>
      </c>
      <c r="C379" s="9">
        <v>1.98</v>
      </c>
    </row>
    <row r="380" spans="1:3" ht="14.25" customHeight="1" x14ac:dyDescent="0.2">
      <c r="A380" s="7">
        <v>379</v>
      </c>
      <c r="B380" s="7">
        <v>48</v>
      </c>
      <c r="C380" s="9">
        <v>1.98</v>
      </c>
    </row>
    <row r="381" spans="1:3" ht="14.25" customHeight="1" x14ac:dyDescent="0.2">
      <c r="A381" s="7">
        <v>380</v>
      </c>
      <c r="B381" s="7">
        <v>50</v>
      </c>
      <c r="C381" s="9">
        <v>3.96</v>
      </c>
    </row>
    <row r="382" spans="1:3" ht="14.25" customHeight="1" x14ac:dyDescent="0.2">
      <c r="A382" s="7">
        <v>381</v>
      </c>
      <c r="B382" s="7">
        <v>54</v>
      </c>
      <c r="C382" s="9">
        <v>5.94</v>
      </c>
    </row>
    <row r="383" spans="1:3" ht="14.25" customHeight="1" x14ac:dyDescent="0.2">
      <c r="A383" s="7">
        <v>382</v>
      </c>
      <c r="B383" s="7">
        <v>1</v>
      </c>
      <c r="C383" s="9">
        <v>8.91</v>
      </c>
    </row>
    <row r="384" spans="1:3" ht="14.25" customHeight="1" x14ac:dyDescent="0.2">
      <c r="A384" s="7">
        <v>383</v>
      </c>
      <c r="B384" s="7">
        <v>10</v>
      </c>
      <c r="C384" s="9">
        <v>13.86</v>
      </c>
    </row>
    <row r="385" spans="1:3" ht="14.25" customHeight="1" x14ac:dyDescent="0.2">
      <c r="A385" s="7">
        <v>384</v>
      </c>
      <c r="B385" s="7">
        <v>24</v>
      </c>
      <c r="C385" s="9">
        <v>0.99</v>
      </c>
    </row>
    <row r="386" spans="1:3" ht="14.25" customHeight="1" x14ac:dyDescent="0.2">
      <c r="A386" s="7">
        <v>385</v>
      </c>
      <c r="B386" s="7">
        <v>25</v>
      </c>
      <c r="C386" s="9">
        <v>1.98</v>
      </c>
    </row>
    <row r="387" spans="1:3" ht="14.25" customHeight="1" x14ac:dyDescent="0.2">
      <c r="A387" s="7">
        <v>386</v>
      </c>
      <c r="B387" s="7">
        <v>27</v>
      </c>
      <c r="C387" s="9">
        <v>1.98</v>
      </c>
    </row>
    <row r="388" spans="1:3" ht="14.25" customHeight="1" x14ac:dyDescent="0.2">
      <c r="A388" s="7">
        <v>387</v>
      </c>
      <c r="B388" s="7">
        <v>29</v>
      </c>
      <c r="C388" s="9">
        <v>3.96</v>
      </c>
    </row>
    <row r="389" spans="1:3" ht="14.25" customHeight="1" x14ac:dyDescent="0.2">
      <c r="A389" s="7">
        <v>388</v>
      </c>
      <c r="B389" s="7">
        <v>33</v>
      </c>
      <c r="C389" s="9">
        <v>5.94</v>
      </c>
    </row>
    <row r="390" spans="1:3" ht="14.25" customHeight="1" x14ac:dyDescent="0.2">
      <c r="A390" s="7">
        <v>389</v>
      </c>
      <c r="B390" s="7">
        <v>39</v>
      </c>
      <c r="C390" s="9">
        <v>8.91</v>
      </c>
    </row>
    <row r="391" spans="1:3" ht="14.25" customHeight="1" x14ac:dyDescent="0.2">
      <c r="A391" s="7">
        <v>390</v>
      </c>
      <c r="B391" s="7">
        <v>48</v>
      </c>
      <c r="C391" s="9">
        <v>13.86</v>
      </c>
    </row>
    <row r="392" spans="1:3" ht="14.25" customHeight="1" x14ac:dyDescent="0.2">
      <c r="A392" s="7">
        <v>391</v>
      </c>
      <c r="B392" s="7">
        <v>3</v>
      </c>
      <c r="C392" s="9">
        <v>0.99</v>
      </c>
    </row>
    <row r="393" spans="1:3" ht="14.25" customHeight="1" x14ac:dyDescent="0.2">
      <c r="A393" s="7">
        <v>392</v>
      </c>
      <c r="B393" s="7">
        <v>4</v>
      </c>
      <c r="C393" s="9">
        <v>1.98</v>
      </c>
    </row>
    <row r="394" spans="1:3" ht="14.25" customHeight="1" x14ac:dyDescent="0.2">
      <c r="A394" s="7">
        <v>393</v>
      </c>
      <c r="B394" s="7">
        <v>6</v>
      </c>
      <c r="C394" s="9">
        <v>1.98</v>
      </c>
    </row>
    <row r="395" spans="1:3" ht="14.25" customHeight="1" x14ac:dyDescent="0.2">
      <c r="A395" s="7">
        <v>394</v>
      </c>
      <c r="B395" s="7">
        <v>8</v>
      </c>
      <c r="C395" s="9">
        <v>3.96</v>
      </c>
    </row>
    <row r="396" spans="1:3" ht="14.25" customHeight="1" x14ac:dyDescent="0.2">
      <c r="A396" s="7">
        <v>395</v>
      </c>
      <c r="B396" s="7">
        <v>12</v>
      </c>
      <c r="C396" s="9">
        <v>5.94</v>
      </c>
    </row>
    <row r="397" spans="1:3" ht="14.25" customHeight="1" x14ac:dyDescent="0.2">
      <c r="A397" s="7">
        <v>396</v>
      </c>
      <c r="B397" s="7">
        <v>18</v>
      </c>
      <c r="C397" s="9">
        <v>8.91</v>
      </c>
    </row>
    <row r="398" spans="1:3" ht="14.25" customHeight="1" x14ac:dyDescent="0.2">
      <c r="A398" s="7">
        <v>397</v>
      </c>
      <c r="B398" s="7">
        <v>27</v>
      </c>
      <c r="C398" s="9">
        <v>13.86</v>
      </c>
    </row>
    <row r="399" spans="1:3" ht="14.25" customHeight="1" x14ac:dyDescent="0.2">
      <c r="A399" s="7">
        <v>398</v>
      </c>
      <c r="B399" s="7">
        <v>41</v>
      </c>
      <c r="C399" s="9">
        <v>0.99</v>
      </c>
    </row>
    <row r="400" spans="1:3" ht="14.25" customHeight="1" x14ac:dyDescent="0.2">
      <c r="A400" s="7">
        <v>399</v>
      </c>
      <c r="B400" s="7">
        <v>42</v>
      </c>
      <c r="C400" s="9">
        <v>1.98</v>
      </c>
    </row>
    <row r="401" spans="1:3" ht="14.25" customHeight="1" x14ac:dyDescent="0.2">
      <c r="A401" s="7">
        <v>400</v>
      </c>
      <c r="B401" s="7">
        <v>44</v>
      </c>
      <c r="C401" s="9">
        <v>1.98</v>
      </c>
    </row>
    <row r="402" spans="1:3" ht="14.25" customHeight="1" x14ac:dyDescent="0.2">
      <c r="A402" s="7">
        <v>401</v>
      </c>
      <c r="B402" s="7">
        <v>46</v>
      </c>
      <c r="C402" s="9">
        <v>3.96</v>
      </c>
    </row>
    <row r="403" spans="1:3" ht="14.25" customHeight="1" x14ac:dyDescent="0.2">
      <c r="A403" s="7">
        <v>402</v>
      </c>
      <c r="B403" s="7">
        <v>50</v>
      </c>
      <c r="C403" s="9">
        <v>5.94</v>
      </c>
    </row>
    <row r="404" spans="1:3" ht="14.25" customHeight="1" x14ac:dyDescent="0.2">
      <c r="A404" s="7">
        <v>403</v>
      </c>
      <c r="B404" s="7">
        <v>56</v>
      </c>
      <c r="C404" s="9">
        <v>8.91</v>
      </c>
    </row>
    <row r="405" spans="1:3" ht="14.25" customHeight="1" x14ac:dyDescent="0.2">
      <c r="A405" s="7">
        <v>404</v>
      </c>
      <c r="B405" s="7">
        <v>6</v>
      </c>
      <c r="C405" s="9">
        <v>25.86</v>
      </c>
    </row>
    <row r="406" spans="1:3" ht="14.25" customHeight="1" x14ac:dyDescent="0.2">
      <c r="A406" s="7">
        <v>405</v>
      </c>
      <c r="B406" s="7">
        <v>20</v>
      </c>
      <c r="C406" s="9">
        <v>0.99</v>
      </c>
    </row>
    <row r="407" spans="1:3" ht="14.25" customHeight="1" x14ac:dyDescent="0.2">
      <c r="A407" s="7">
        <v>406</v>
      </c>
      <c r="B407" s="7">
        <v>21</v>
      </c>
      <c r="C407" s="9">
        <v>1.98</v>
      </c>
    </row>
    <row r="408" spans="1:3" ht="14.25" customHeight="1" x14ac:dyDescent="0.2">
      <c r="A408" s="7">
        <v>407</v>
      </c>
      <c r="B408" s="7">
        <v>23</v>
      </c>
      <c r="C408" s="9">
        <v>1.98</v>
      </c>
    </row>
    <row r="409" spans="1:3" ht="14.25" customHeight="1" x14ac:dyDescent="0.2">
      <c r="A409" s="7">
        <v>408</v>
      </c>
      <c r="B409" s="7">
        <v>25</v>
      </c>
      <c r="C409" s="9">
        <v>3.96</v>
      </c>
    </row>
    <row r="410" spans="1:3" ht="14.25" customHeight="1" x14ac:dyDescent="0.2">
      <c r="A410" s="7">
        <v>409</v>
      </c>
      <c r="B410" s="7">
        <v>29</v>
      </c>
      <c r="C410" s="9">
        <v>5.94</v>
      </c>
    </row>
    <row r="411" spans="1:3" ht="14.25" customHeight="1" x14ac:dyDescent="0.2">
      <c r="A411" s="7">
        <v>410</v>
      </c>
      <c r="B411" s="7">
        <v>35</v>
      </c>
      <c r="C411" s="9">
        <v>8.91</v>
      </c>
    </row>
    <row r="412" spans="1:3" ht="14.25" customHeight="1" x14ac:dyDescent="0.2">
      <c r="A412" s="7">
        <v>411</v>
      </c>
      <c r="B412" s="7">
        <v>44</v>
      </c>
      <c r="C412" s="9">
        <v>13.86</v>
      </c>
    </row>
    <row r="413" spans="1:3" ht="14.25" customHeight="1" x14ac:dyDescent="0.2">
      <c r="A413" s="7">
        <v>412</v>
      </c>
      <c r="B413" s="7">
        <v>58</v>
      </c>
      <c r="C413" s="9">
        <v>1.99</v>
      </c>
    </row>
    <row r="414" spans="1:3" ht="14.25" customHeight="1" x14ac:dyDescent="0.2"/>
    <row r="415" spans="1:3" ht="14.25" customHeight="1" x14ac:dyDescent="0.2"/>
    <row r="416" spans="1:3"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E7:F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J1" sqref="J1"/>
    </sheetView>
  </sheetViews>
  <sheetFormatPr baseColWidth="10" defaultColWidth="14.5" defaultRowHeight="15" customHeight="1" x14ac:dyDescent="0.2"/>
  <cols>
    <col min="1" max="26" width="16.83203125" customWidth="1"/>
  </cols>
  <sheetData>
    <row r="1" spans="1:26" ht="14.25" customHeight="1" x14ac:dyDescent="0.2">
      <c r="A1" s="23" t="s">
        <v>15</v>
      </c>
      <c r="B1" s="23" t="s">
        <v>31</v>
      </c>
      <c r="C1" s="23" t="s">
        <v>32</v>
      </c>
      <c r="D1" s="23" t="s">
        <v>33</v>
      </c>
      <c r="E1" s="23" t="s">
        <v>34</v>
      </c>
      <c r="F1" s="23" t="s">
        <v>35</v>
      </c>
      <c r="G1" s="23" t="s">
        <v>36</v>
      </c>
      <c r="H1" s="23" t="s">
        <v>37</v>
      </c>
      <c r="I1" s="23" t="s">
        <v>17</v>
      </c>
      <c r="J1" s="24"/>
      <c r="K1" s="24"/>
      <c r="L1" s="24"/>
      <c r="M1" s="24"/>
      <c r="N1" s="24"/>
      <c r="O1" s="24"/>
      <c r="P1" s="24"/>
      <c r="Q1" s="24"/>
      <c r="R1" s="24"/>
      <c r="S1" s="24"/>
      <c r="T1" s="24"/>
      <c r="U1" s="24"/>
      <c r="V1" s="24"/>
      <c r="W1" s="24"/>
      <c r="X1" s="24"/>
      <c r="Y1" s="24"/>
      <c r="Z1" s="24"/>
    </row>
    <row r="2" spans="1:26" ht="14.25" customHeight="1" x14ac:dyDescent="0.2">
      <c r="A2" s="7">
        <v>1</v>
      </c>
      <c r="B2" s="7">
        <v>2</v>
      </c>
      <c r="C2" s="25">
        <f t="shared" ref="C2:C256" si="0">D2</f>
        <v>39814</v>
      </c>
      <c r="D2" s="26">
        <v>39814</v>
      </c>
      <c r="E2" s="7" t="s">
        <v>38</v>
      </c>
      <c r="F2" s="7" t="s">
        <v>39</v>
      </c>
      <c r="H2" s="7" t="s">
        <v>40</v>
      </c>
      <c r="I2" s="7">
        <v>1.98</v>
      </c>
    </row>
    <row r="3" spans="1:26" ht="14.25" customHeight="1" x14ac:dyDescent="0.2">
      <c r="A3" s="7">
        <v>2</v>
      </c>
      <c r="B3" s="7">
        <v>4</v>
      </c>
      <c r="C3" s="25">
        <f t="shared" si="0"/>
        <v>39815</v>
      </c>
      <c r="D3" s="26">
        <v>39815</v>
      </c>
      <c r="E3" s="7" t="s">
        <v>41</v>
      </c>
      <c r="F3" s="7" t="s">
        <v>42</v>
      </c>
      <c r="H3" s="7" t="s">
        <v>43</v>
      </c>
      <c r="I3" s="7">
        <v>3.96</v>
      </c>
    </row>
    <row r="4" spans="1:26" ht="14.25" customHeight="1" x14ac:dyDescent="0.2">
      <c r="A4" s="7">
        <v>3</v>
      </c>
      <c r="B4" s="7">
        <v>8</v>
      </c>
      <c r="C4" s="25">
        <f t="shared" si="0"/>
        <v>39816</v>
      </c>
      <c r="D4" s="26">
        <v>39816</v>
      </c>
      <c r="E4" s="7" t="s">
        <v>44</v>
      </c>
      <c r="F4" s="7" t="s">
        <v>45</v>
      </c>
      <c r="H4" s="7" t="s">
        <v>46</v>
      </c>
      <c r="I4" s="7">
        <v>5.94</v>
      </c>
    </row>
    <row r="5" spans="1:26" ht="14.25" customHeight="1" x14ac:dyDescent="0.2">
      <c r="A5" s="7">
        <v>4</v>
      </c>
      <c r="B5" s="7">
        <v>14</v>
      </c>
      <c r="C5" s="25">
        <f t="shared" si="0"/>
        <v>39819</v>
      </c>
      <c r="D5" s="26">
        <v>39819</v>
      </c>
      <c r="E5" s="7" t="s">
        <v>47</v>
      </c>
      <c r="F5" s="7" t="s">
        <v>48</v>
      </c>
      <c r="G5" s="7" t="s">
        <v>49</v>
      </c>
      <c r="H5" s="7" t="s">
        <v>50</v>
      </c>
      <c r="I5" s="7">
        <v>8.91</v>
      </c>
    </row>
    <row r="6" spans="1:26" ht="14.25" customHeight="1" x14ac:dyDescent="0.2">
      <c r="A6" s="7">
        <v>5</v>
      </c>
      <c r="B6" s="7">
        <v>23</v>
      </c>
      <c r="C6" s="25">
        <f t="shared" si="0"/>
        <v>39824</v>
      </c>
      <c r="D6" s="26">
        <v>39824</v>
      </c>
      <c r="E6" s="7" t="s">
        <v>51</v>
      </c>
      <c r="F6" s="7" t="s">
        <v>52</v>
      </c>
      <c r="G6" s="7" t="s">
        <v>53</v>
      </c>
      <c r="H6" s="7" t="s">
        <v>4790</v>
      </c>
      <c r="I6" s="7">
        <v>13.86</v>
      </c>
    </row>
    <row r="7" spans="1:26" ht="14.25" customHeight="1" x14ac:dyDescent="0.2">
      <c r="A7" s="7">
        <v>6</v>
      </c>
      <c r="B7" s="7">
        <v>37</v>
      </c>
      <c r="C7" s="25">
        <f t="shared" si="0"/>
        <v>39832</v>
      </c>
      <c r="D7" s="26">
        <v>39832</v>
      </c>
      <c r="E7" s="7" t="s">
        <v>54</v>
      </c>
      <c r="F7" s="7" t="s">
        <v>55</v>
      </c>
      <c r="H7" s="7" t="s">
        <v>40</v>
      </c>
      <c r="I7" s="7">
        <v>0.99</v>
      </c>
    </row>
    <row r="8" spans="1:26" ht="14.25" customHeight="1" x14ac:dyDescent="0.2">
      <c r="A8" s="7">
        <v>7</v>
      </c>
      <c r="B8" s="7">
        <v>38</v>
      </c>
      <c r="C8" s="25">
        <f t="shared" si="0"/>
        <v>39845</v>
      </c>
      <c r="D8" s="26">
        <v>39845</v>
      </c>
      <c r="E8" s="7" t="s">
        <v>56</v>
      </c>
      <c r="F8" s="7" t="s">
        <v>57</v>
      </c>
      <c r="H8" s="7" t="s">
        <v>40</v>
      </c>
      <c r="I8" s="7">
        <v>1.98</v>
      </c>
    </row>
    <row r="9" spans="1:26" ht="14.25" customHeight="1" x14ac:dyDescent="0.2">
      <c r="A9" s="7">
        <v>8</v>
      </c>
      <c r="B9" s="7">
        <v>40</v>
      </c>
      <c r="C9" s="25">
        <f t="shared" si="0"/>
        <v>39845</v>
      </c>
      <c r="D9" s="26">
        <v>39845</v>
      </c>
      <c r="E9" s="7" t="s">
        <v>58</v>
      </c>
      <c r="F9" s="7" t="s">
        <v>59</v>
      </c>
      <c r="H9" s="7" t="s">
        <v>60</v>
      </c>
      <c r="I9" s="7">
        <v>1.98</v>
      </c>
    </row>
    <row r="10" spans="1:26" ht="14.25" customHeight="1" x14ac:dyDescent="0.2">
      <c r="A10" s="7">
        <v>9</v>
      </c>
      <c r="B10" s="7">
        <v>42</v>
      </c>
      <c r="C10" s="25">
        <f t="shared" si="0"/>
        <v>39846</v>
      </c>
      <c r="D10" s="26">
        <v>39846</v>
      </c>
      <c r="E10" s="7" t="s">
        <v>61</v>
      </c>
      <c r="F10" s="7" t="s">
        <v>62</v>
      </c>
      <c r="H10" s="7" t="s">
        <v>60</v>
      </c>
      <c r="I10" s="7">
        <v>3.96</v>
      </c>
    </row>
    <row r="11" spans="1:26" ht="14.25" customHeight="1" x14ac:dyDescent="0.2">
      <c r="A11" s="7">
        <v>10</v>
      </c>
      <c r="B11" s="7">
        <v>46</v>
      </c>
      <c r="C11" s="25">
        <f t="shared" si="0"/>
        <v>39847</v>
      </c>
      <c r="D11" s="26">
        <v>39847</v>
      </c>
      <c r="E11" s="7" t="s">
        <v>63</v>
      </c>
      <c r="F11" s="7" t="s">
        <v>64</v>
      </c>
      <c r="G11" s="7" t="s">
        <v>64</v>
      </c>
      <c r="H11" s="7" t="s">
        <v>65</v>
      </c>
      <c r="I11" s="7">
        <v>5.94</v>
      </c>
    </row>
    <row r="12" spans="1:26" ht="14.25" customHeight="1" x14ac:dyDescent="0.2">
      <c r="A12" s="7">
        <v>11</v>
      </c>
      <c r="B12" s="7">
        <v>52</v>
      </c>
      <c r="C12" s="25">
        <f t="shared" si="0"/>
        <v>39850</v>
      </c>
      <c r="D12" s="26">
        <v>39850</v>
      </c>
      <c r="E12" s="7" t="s">
        <v>66</v>
      </c>
      <c r="F12" s="7" t="s">
        <v>67</v>
      </c>
      <c r="H12" s="7" t="s">
        <v>4791</v>
      </c>
      <c r="I12" s="7">
        <v>8.91</v>
      </c>
    </row>
    <row r="13" spans="1:26" ht="14.25" customHeight="1" x14ac:dyDescent="0.2">
      <c r="A13" s="7">
        <v>12</v>
      </c>
      <c r="B13" s="7">
        <v>2</v>
      </c>
      <c r="C13" s="25">
        <f t="shared" si="0"/>
        <v>39855</v>
      </c>
      <c r="D13" s="26">
        <v>39855</v>
      </c>
      <c r="E13" s="7" t="s">
        <v>38</v>
      </c>
      <c r="F13" s="7" t="s">
        <v>39</v>
      </c>
      <c r="H13" s="7" t="s">
        <v>40</v>
      </c>
      <c r="I13" s="7">
        <v>13.86</v>
      </c>
    </row>
    <row r="14" spans="1:26" ht="14.25" customHeight="1" x14ac:dyDescent="0.2">
      <c r="A14" s="7">
        <v>13</v>
      </c>
      <c r="B14" s="7">
        <v>16</v>
      </c>
      <c r="C14" s="25">
        <f t="shared" si="0"/>
        <v>39863</v>
      </c>
      <c r="D14" s="26">
        <v>39863</v>
      </c>
      <c r="E14" s="7" t="s">
        <v>68</v>
      </c>
      <c r="F14" s="7" t="s">
        <v>69</v>
      </c>
      <c r="G14" s="7" t="s">
        <v>70</v>
      </c>
      <c r="H14" s="7" t="s">
        <v>4790</v>
      </c>
      <c r="I14" s="7">
        <v>0.99</v>
      </c>
    </row>
    <row r="15" spans="1:26" ht="14.25" customHeight="1" x14ac:dyDescent="0.2">
      <c r="A15" s="7">
        <v>14</v>
      </c>
      <c r="B15" s="7">
        <v>17</v>
      </c>
      <c r="C15" s="25">
        <f t="shared" si="0"/>
        <v>39876</v>
      </c>
      <c r="D15" s="26">
        <v>39876</v>
      </c>
      <c r="E15" s="7" t="s">
        <v>71</v>
      </c>
      <c r="F15" s="7" t="s">
        <v>72</v>
      </c>
      <c r="G15" s="7" t="s">
        <v>73</v>
      </c>
      <c r="H15" s="7" t="s">
        <v>4790</v>
      </c>
      <c r="I15" s="7">
        <v>1.98</v>
      </c>
    </row>
    <row r="16" spans="1:26" ht="14.25" customHeight="1" x14ac:dyDescent="0.2">
      <c r="A16" s="7">
        <v>15</v>
      </c>
      <c r="B16" s="7">
        <v>19</v>
      </c>
      <c r="C16" s="25">
        <f t="shared" si="0"/>
        <v>39876</v>
      </c>
      <c r="D16" s="26">
        <v>39876</v>
      </c>
      <c r="E16" s="7" t="s">
        <v>74</v>
      </c>
      <c r="F16" s="7" t="s">
        <v>75</v>
      </c>
      <c r="G16" s="7" t="s">
        <v>70</v>
      </c>
      <c r="H16" s="7" t="s">
        <v>4790</v>
      </c>
      <c r="I16" s="7">
        <v>1.98</v>
      </c>
    </row>
    <row r="17" spans="1:9" ht="14.25" customHeight="1" x14ac:dyDescent="0.2">
      <c r="A17" s="7">
        <v>16</v>
      </c>
      <c r="B17" s="7">
        <v>21</v>
      </c>
      <c r="C17" s="25">
        <f t="shared" si="0"/>
        <v>39877</v>
      </c>
      <c r="D17" s="26">
        <v>39877</v>
      </c>
      <c r="E17" s="7" t="s">
        <v>76</v>
      </c>
      <c r="F17" s="7" t="s">
        <v>77</v>
      </c>
      <c r="G17" s="7" t="s">
        <v>78</v>
      </c>
      <c r="H17" s="7" t="s">
        <v>4790</v>
      </c>
      <c r="I17" s="7">
        <v>3.96</v>
      </c>
    </row>
    <row r="18" spans="1:9" ht="14.25" customHeight="1" x14ac:dyDescent="0.2">
      <c r="A18" s="7">
        <v>17</v>
      </c>
      <c r="B18" s="7">
        <v>25</v>
      </c>
      <c r="C18" s="25">
        <f t="shared" si="0"/>
        <v>39878</v>
      </c>
      <c r="D18" s="26">
        <v>39878</v>
      </c>
      <c r="E18" s="7" t="s">
        <v>79</v>
      </c>
      <c r="F18" s="7" t="s">
        <v>80</v>
      </c>
      <c r="G18" s="7" t="s">
        <v>81</v>
      </c>
      <c r="H18" s="7" t="s">
        <v>4790</v>
      </c>
      <c r="I18" s="7">
        <v>5.94</v>
      </c>
    </row>
    <row r="19" spans="1:9" ht="14.25" customHeight="1" x14ac:dyDescent="0.2">
      <c r="A19" s="7">
        <v>18</v>
      </c>
      <c r="B19" s="7">
        <v>31</v>
      </c>
      <c r="C19" s="25">
        <f t="shared" si="0"/>
        <v>39881</v>
      </c>
      <c r="D19" s="26">
        <v>39881</v>
      </c>
      <c r="E19" s="7" t="s">
        <v>82</v>
      </c>
      <c r="F19" s="7" t="s">
        <v>83</v>
      </c>
      <c r="G19" s="7" t="s">
        <v>84</v>
      </c>
      <c r="H19" s="7" t="s">
        <v>50</v>
      </c>
      <c r="I19" s="7">
        <v>8.91</v>
      </c>
    </row>
    <row r="20" spans="1:9" ht="14.25" customHeight="1" x14ac:dyDescent="0.2">
      <c r="A20" s="7">
        <v>19</v>
      </c>
      <c r="B20" s="7">
        <v>40</v>
      </c>
      <c r="C20" s="25">
        <f t="shared" si="0"/>
        <v>39886</v>
      </c>
      <c r="D20" s="26">
        <v>39886</v>
      </c>
      <c r="E20" s="7" t="s">
        <v>58</v>
      </c>
      <c r="F20" s="7" t="s">
        <v>59</v>
      </c>
      <c r="H20" s="7" t="s">
        <v>60</v>
      </c>
      <c r="I20" s="7">
        <v>13.86</v>
      </c>
    </row>
    <row r="21" spans="1:9" ht="14.25" customHeight="1" x14ac:dyDescent="0.2">
      <c r="A21" s="7">
        <v>20</v>
      </c>
      <c r="B21" s="7">
        <v>54</v>
      </c>
      <c r="C21" s="25">
        <f t="shared" si="0"/>
        <v>39894</v>
      </c>
      <c r="D21" s="26">
        <v>39894</v>
      </c>
      <c r="E21" s="7" t="s">
        <v>85</v>
      </c>
      <c r="F21" s="7" t="s">
        <v>86</v>
      </c>
      <c r="H21" s="7" t="s">
        <v>4791</v>
      </c>
      <c r="I21" s="7">
        <v>0.99</v>
      </c>
    </row>
    <row r="22" spans="1:9" ht="14.25" customHeight="1" x14ac:dyDescent="0.2">
      <c r="A22" s="7">
        <v>21</v>
      </c>
      <c r="B22" s="7">
        <v>55</v>
      </c>
      <c r="C22" s="25">
        <f t="shared" si="0"/>
        <v>39907</v>
      </c>
      <c r="D22" s="26">
        <v>39907</v>
      </c>
      <c r="E22" s="7" t="s">
        <v>87</v>
      </c>
      <c r="F22" s="7" t="s">
        <v>88</v>
      </c>
      <c r="G22" s="7" t="s">
        <v>89</v>
      </c>
      <c r="H22" s="7" t="s">
        <v>90</v>
      </c>
      <c r="I22" s="7">
        <v>1.98</v>
      </c>
    </row>
    <row r="23" spans="1:9" ht="14.25" customHeight="1" x14ac:dyDescent="0.2">
      <c r="A23" s="7">
        <v>22</v>
      </c>
      <c r="B23" s="7">
        <v>57</v>
      </c>
      <c r="C23" s="25">
        <f t="shared" si="0"/>
        <v>39907</v>
      </c>
      <c r="D23" s="26">
        <v>39907</v>
      </c>
      <c r="E23" s="7" t="s">
        <v>91</v>
      </c>
      <c r="F23" s="7" t="s">
        <v>92</v>
      </c>
      <c r="H23" s="7" t="s">
        <v>93</v>
      </c>
      <c r="I23" s="7">
        <v>1.98</v>
      </c>
    </row>
    <row r="24" spans="1:9" ht="14.25" customHeight="1" x14ac:dyDescent="0.2">
      <c r="A24" s="7">
        <v>23</v>
      </c>
      <c r="B24" s="7">
        <v>59</v>
      </c>
      <c r="C24" s="25">
        <f t="shared" si="0"/>
        <v>39908</v>
      </c>
      <c r="D24" s="26">
        <v>39908</v>
      </c>
      <c r="E24" s="7" t="s">
        <v>94</v>
      </c>
      <c r="F24" s="7" t="s">
        <v>95</v>
      </c>
      <c r="H24" s="7" t="s">
        <v>96</v>
      </c>
      <c r="I24" s="7">
        <v>3.96</v>
      </c>
    </row>
    <row r="25" spans="1:9" ht="14.25" customHeight="1" x14ac:dyDescent="0.2">
      <c r="A25" s="7">
        <v>24</v>
      </c>
      <c r="B25" s="7">
        <v>4</v>
      </c>
      <c r="C25" s="25">
        <f t="shared" si="0"/>
        <v>39909</v>
      </c>
      <c r="D25" s="26">
        <v>39909</v>
      </c>
      <c r="E25" s="7" t="s">
        <v>41</v>
      </c>
      <c r="F25" s="7" t="s">
        <v>42</v>
      </c>
      <c r="H25" s="7" t="s">
        <v>43</v>
      </c>
      <c r="I25" s="7">
        <v>5.94</v>
      </c>
    </row>
    <row r="26" spans="1:9" ht="14.25" customHeight="1" x14ac:dyDescent="0.2">
      <c r="A26" s="7">
        <v>25</v>
      </c>
      <c r="B26" s="7">
        <v>10</v>
      </c>
      <c r="C26" s="25">
        <f t="shared" si="0"/>
        <v>39912</v>
      </c>
      <c r="D26" s="26">
        <v>39912</v>
      </c>
      <c r="E26" s="7" t="s">
        <v>97</v>
      </c>
      <c r="F26" s="7" t="s">
        <v>98</v>
      </c>
      <c r="G26" s="7" t="s">
        <v>99</v>
      </c>
      <c r="H26" s="7" t="s">
        <v>100</v>
      </c>
      <c r="I26" s="7">
        <v>8.91</v>
      </c>
    </row>
    <row r="27" spans="1:9" ht="14.25" customHeight="1" x14ac:dyDescent="0.2">
      <c r="A27" s="7">
        <v>26</v>
      </c>
      <c r="B27" s="7">
        <v>19</v>
      </c>
      <c r="C27" s="25">
        <f t="shared" si="0"/>
        <v>39917</v>
      </c>
      <c r="D27" s="26">
        <v>39917</v>
      </c>
      <c r="E27" s="7" t="s">
        <v>74</v>
      </c>
      <c r="F27" s="7" t="s">
        <v>75</v>
      </c>
      <c r="G27" s="7" t="s">
        <v>70</v>
      </c>
      <c r="H27" s="7" t="s">
        <v>4790</v>
      </c>
      <c r="I27" s="7">
        <v>13.86</v>
      </c>
    </row>
    <row r="28" spans="1:9" ht="14.25" customHeight="1" x14ac:dyDescent="0.2">
      <c r="A28" s="7">
        <v>27</v>
      </c>
      <c r="B28" s="7">
        <v>33</v>
      </c>
      <c r="C28" s="25">
        <f t="shared" si="0"/>
        <v>39925</v>
      </c>
      <c r="D28" s="26">
        <v>39925</v>
      </c>
      <c r="E28" s="7" t="s">
        <v>101</v>
      </c>
      <c r="F28" s="7" t="s">
        <v>102</v>
      </c>
      <c r="G28" s="7" t="s">
        <v>103</v>
      </c>
      <c r="H28" s="7" t="s">
        <v>50</v>
      </c>
      <c r="I28" s="7">
        <v>0.99</v>
      </c>
    </row>
    <row r="29" spans="1:9" ht="14.25" customHeight="1" x14ac:dyDescent="0.2">
      <c r="A29" s="7">
        <v>28</v>
      </c>
      <c r="B29" s="7">
        <v>34</v>
      </c>
      <c r="C29" s="25">
        <f t="shared" si="0"/>
        <v>39938</v>
      </c>
      <c r="D29" s="26">
        <v>39938</v>
      </c>
      <c r="E29" s="7" t="s">
        <v>104</v>
      </c>
      <c r="F29" s="7" t="s">
        <v>105</v>
      </c>
      <c r="H29" s="7" t="s">
        <v>106</v>
      </c>
      <c r="I29" s="7">
        <v>1.98</v>
      </c>
    </row>
    <row r="30" spans="1:9" ht="14.25" customHeight="1" x14ac:dyDescent="0.2">
      <c r="A30" s="7">
        <v>29</v>
      </c>
      <c r="B30" s="7">
        <v>36</v>
      </c>
      <c r="C30" s="25">
        <f t="shared" si="0"/>
        <v>39938</v>
      </c>
      <c r="D30" s="26">
        <v>39938</v>
      </c>
      <c r="E30" s="7" t="s">
        <v>107</v>
      </c>
      <c r="F30" s="7" t="s">
        <v>57</v>
      </c>
      <c r="H30" s="7" t="s">
        <v>40</v>
      </c>
      <c r="I30" s="7">
        <v>1.98</v>
      </c>
    </row>
    <row r="31" spans="1:9" ht="14.25" customHeight="1" x14ac:dyDescent="0.2">
      <c r="A31" s="7">
        <v>30</v>
      </c>
      <c r="B31" s="7">
        <v>38</v>
      </c>
      <c r="C31" s="25">
        <f t="shared" si="0"/>
        <v>39939</v>
      </c>
      <c r="D31" s="26">
        <v>39939</v>
      </c>
      <c r="E31" s="7" t="s">
        <v>56</v>
      </c>
      <c r="F31" s="7" t="s">
        <v>57</v>
      </c>
      <c r="H31" s="7" t="s">
        <v>40</v>
      </c>
      <c r="I31" s="7">
        <v>3.96</v>
      </c>
    </row>
    <row r="32" spans="1:9" ht="14.25" customHeight="1" x14ac:dyDescent="0.2">
      <c r="A32" s="7">
        <v>31</v>
      </c>
      <c r="B32" s="7">
        <v>42</v>
      </c>
      <c r="C32" s="25">
        <f t="shared" si="0"/>
        <v>39940</v>
      </c>
      <c r="D32" s="26">
        <v>39940</v>
      </c>
      <c r="E32" s="7" t="s">
        <v>61</v>
      </c>
      <c r="F32" s="7" t="s">
        <v>62</v>
      </c>
      <c r="H32" s="7" t="s">
        <v>60</v>
      </c>
      <c r="I32" s="7">
        <v>5.94</v>
      </c>
    </row>
    <row r="33" spans="1:9" ht="14.25" customHeight="1" x14ac:dyDescent="0.2">
      <c r="A33" s="7">
        <v>32</v>
      </c>
      <c r="B33" s="7">
        <v>48</v>
      </c>
      <c r="C33" s="25">
        <f t="shared" si="0"/>
        <v>39943</v>
      </c>
      <c r="D33" s="26">
        <v>39943</v>
      </c>
      <c r="E33" s="7" t="s">
        <v>108</v>
      </c>
      <c r="F33" s="7" t="s">
        <v>109</v>
      </c>
      <c r="G33" s="7" t="s">
        <v>110</v>
      </c>
      <c r="H33" s="7" t="s">
        <v>111</v>
      </c>
      <c r="I33" s="7">
        <v>8.91</v>
      </c>
    </row>
    <row r="34" spans="1:9" ht="14.25" customHeight="1" x14ac:dyDescent="0.2">
      <c r="A34" s="7">
        <v>33</v>
      </c>
      <c r="B34" s="7">
        <v>57</v>
      </c>
      <c r="C34" s="25">
        <f t="shared" si="0"/>
        <v>39948</v>
      </c>
      <c r="D34" s="26">
        <v>39948</v>
      </c>
      <c r="E34" s="7" t="s">
        <v>91</v>
      </c>
      <c r="F34" s="7" t="s">
        <v>92</v>
      </c>
      <c r="H34" s="7" t="s">
        <v>93</v>
      </c>
      <c r="I34" s="7">
        <v>13.86</v>
      </c>
    </row>
    <row r="35" spans="1:9" ht="14.25" customHeight="1" x14ac:dyDescent="0.2">
      <c r="A35" s="7">
        <v>34</v>
      </c>
      <c r="B35" s="7">
        <v>12</v>
      </c>
      <c r="C35" s="25">
        <f t="shared" si="0"/>
        <v>39956</v>
      </c>
      <c r="D35" s="26">
        <v>39956</v>
      </c>
      <c r="E35" s="7" t="s">
        <v>112</v>
      </c>
      <c r="F35" s="7" t="s">
        <v>113</v>
      </c>
      <c r="G35" s="7" t="s">
        <v>114</v>
      </c>
      <c r="H35" s="7" t="s">
        <v>100</v>
      </c>
      <c r="I35" s="7">
        <v>0.99</v>
      </c>
    </row>
    <row r="36" spans="1:9" ht="14.25" customHeight="1" x14ac:dyDescent="0.2">
      <c r="A36" s="7">
        <v>35</v>
      </c>
      <c r="B36" s="7">
        <v>13</v>
      </c>
      <c r="C36" s="25">
        <f t="shared" si="0"/>
        <v>39969</v>
      </c>
      <c r="D36" s="26">
        <v>39969</v>
      </c>
      <c r="E36" s="7" t="s">
        <v>115</v>
      </c>
      <c r="F36" s="7" t="s">
        <v>116</v>
      </c>
      <c r="G36" s="7" t="s">
        <v>117</v>
      </c>
      <c r="H36" s="7" t="s">
        <v>100</v>
      </c>
      <c r="I36" s="7">
        <v>1.98</v>
      </c>
    </row>
    <row r="37" spans="1:9" ht="14.25" customHeight="1" x14ac:dyDescent="0.2">
      <c r="A37" s="7">
        <v>36</v>
      </c>
      <c r="B37" s="7">
        <v>15</v>
      </c>
      <c r="C37" s="25">
        <f t="shared" si="0"/>
        <v>39969</v>
      </c>
      <c r="D37" s="26">
        <v>39969</v>
      </c>
      <c r="E37" s="7" t="s">
        <v>118</v>
      </c>
      <c r="F37" s="7" t="s">
        <v>119</v>
      </c>
      <c r="G37" s="7" t="s">
        <v>120</v>
      </c>
      <c r="H37" s="7" t="s">
        <v>50</v>
      </c>
      <c r="I37" s="7">
        <v>1.98</v>
      </c>
    </row>
    <row r="38" spans="1:9" ht="14.25" customHeight="1" x14ac:dyDescent="0.2">
      <c r="A38" s="7">
        <v>37</v>
      </c>
      <c r="B38" s="7">
        <v>17</v>
      </c>
      <c r="C38" s="25">
        <f t="shared" si="0"/>
        <v>39970</v>
      </c>
      <c r="D38" s="26">
        <v>39970</v>
      </c>
      <c r="E38" s="7" t="s">
        <v>71</v>
      </c>
      <c r="F38" s="7" t="s">
        <v>72</v>
      </c>
      <c r="G38" s="7" t="s">
        <v>73</v>
      </c>
      <c r="H38" s="7" t="s">
        <v>4790</v>
      </c>
      <c r="I38" s="7">
        <v>3.96</v>
      </c>
    </row>
    <row r="39" spans="1:9" ht="14.25" customHeight="1" x14ac:dyDescent="0.2">
      <c r="A39" s="7">
        <v>38</v>
      </c>
      <c r="B39" s="7">
        <v>21</v>
      </c>
      <c r="C39" s="25">
        <f t="shared" si="0"/>
        <v>39971</v>
      </c>
      <c r="D39" s="26">
        <v>39971</v>
      </c>
      <c r="E39" s="7" t="s">
        <v>76</v>
      </c>
      <c r="F39" s="7" t="s">
        <v>77</v>
      </c>
      <c r="G39" s="7" t="s">
        <v>78</v>
      </c>
      <c r="H39" s="7" t="s">
        <v>4790</v>
      </c>
      <c r="I39" s="7">
        <v>5.94</v>
      </c>
    </row>
    <row r="40" spans="1:9" ht="14.25" customHeight="1" x14ac:dyDescent="0.2">
      <c r="A40" s="7">
        <v>39</v>
      </c>
      <c r="B40" s="7">
        <v>27</v>
      </c>
      <c r="C40" s="25">
        <f t="shared" si="0"/>
        <v>39974</v>
      </c>
      <c r="D40" s="26">
        <v>39974</v>
      </c>
      <c r="E40" s="7" t="s">
        <v>121</v>
      </c>
      <c r="F40" s="7" t="s">
        <v>122</v>
      </c>
      <c r="G40" s="7" t="s">
        <v>123</v>
      </c>
      <c r="H40" s="7" t="s">
        <v>4790</v>
      </c>
      <c r="I40" s="7">
        <v>8.91</v>
      </c>
    </row>
    <row r="41" spans="1:9" ht="14.25" customHeight="1" x14ac:dyDescent="0.2">
      <c r="A41" s="7">
        <v>40</v>
      </c>
      <c r="B41" s="7">
        <v>36</v>
      </c>
      <c r="C41" s="25">
        <f t="shared" si="0"/>
        <v>39979</v>
      </c>
      <c r="D41" s="26">
        <v>39979</v>
      </c>
      <c r="E41" s="7" t="s">
        <v>107</v>
      </c>
      <c r="F41" s="7" t="s">
        <v>57</v>
      </c>
      <c r="H41" s="7" t="s">
        <v>40</v>
      </c>
      <c r="I41" s="7">
        <v>13.86</v>
      </c>
    </row>
    <row r="42" spans="1:9" ht="14.25" customHeight="1" x14ac:dyDescent="0.2">
      <c r="A42" s="7">
        <v>41</v>
      </c>
      <c r="B42" s="7">
        <v>50</v>
      </c>
      <c r="C42" s="25">
        <f t="shared" si="0"/>
        <v>39987</v>
      </c>
      <c r="D42" s="26">
        <v>39987</v>
      </c>
      <c r="E42" s="7" t="s">
        <v>124</v>
      </c>
      <c r="F42" s="7" t="s">
        <v>125</v>
      </c>
      <c r="H42" s="7" t="s">
        <v>126</v>
      </c>
      <c r="I42" s="7">
        <v>0.99</v>
      </c>
    </row>
    <row r="43" spans="1:9" ht="14.25" customHeight="1" x14ac:dyDescent="0.2">
      <c r="A43" s="7">
        <v>42</v>
      </c>
      <c r="B43" s="7">
        <v>51</v>
      </c>
      <c r="C43" s="25">
        <f t="shared" si="0"/>
        <v>40000</v>
      </c>
      <c r="D43" s="26">
        <v>40000</v>
      </c>
      <c r="E43" s="7" t="s">
        <v>127</v>
      </c>
      <c r="F43" s="7" t="s">
        <v>128</v>
      </c>
      <c r="H43" s="7" t="s">
        <v>129</v>
      </c>
      <c r="I43" s="7">
        <v>1.98</v>
      </c>
    </row>
    <row r="44" spans="1:9" ht="14.25" customHeight="1" x14ac:dyDescent="0.2">
      <c r="A44" s="7">
        <v>43</v>
      </c>
      <c r="B44" s="7">
        <v>53</v>
      </c>
      <c r="C44" s="25">
        <f t="shared" si="0"/>
        <v>40000</v>
      </c>
      <c r="D44" s="26">
        <v>40000</v>
      </c>
      <c r="E44" s="7" t="s">
        <v>130</v>
      </c>
      <c r="F44" s="7" t="s">
        <v>67</v>
      </c>
      <c r="H44" s="7" t="s">
        <v>4791</v>
      </c>
      <c r="I44" s="7">
        <v>1.98</v>
      </c>
    </row>
    <row r="45" spans="1:9" ht="14.25" customHeight="1" x14ac:dyDescent="0.2">
      <c r="A45" s="7">
        <v>44</v>
      </c>
      <c r="B45" s="7">
        <v>55</v>
      </c>
      <c r="C45" s="25">
        <f t="shared" si="0"/>
        <v>40001</v>
      </c>
      <c r="D45" s="26">
        <v>40001</v>
      </c>
      <c r="E45" s="7" t="s">
        <v>87</v>
      </c>
      <c r="F45" s="7" t="s">
        <v>88</v>
      </c>
      <c r="G45" s="7" t="s">
        <v>89</v>
      </c>
      <c r="H45" s="7" t="s">
        <v>90</v>
      </c>
      <c r="I45" s="7">
        <v>3.96</v>
      </c>
    </row>
    <row r="46" spans="1:9" ht="14.25" customHeight="1" x14ac:dyDescent="0.2">
      <c r="A46" s="7">
        <v>45</v>
      </c>
      <c r="B46" s="7">
        <v>59</v>
      </c>
      <c r="C46" s="25">
        <f t="shared" si="0"/>
        <v>40002</v>
      </c>
      <c r="D46" s="26">
        <v>40002</v>
      </c>
      <c r="E46" s="7" t="s">
        <v>94</v>
      </c>
      <c r="F46" s="7" t="s">
        <v>95</v>
      </c>
      <c r="H46" s="7" t="s">
        <v>96</v>
      </c>
      <c r="I46" s="7">
        <v>5.94</v>
      </c>
    </row>
    <row r="47" spans="1:9" ht="14.25" customHeight="1" x14ac:dyDescent="0.2">
      <c r="A47" s="7">
        <v>46</v>
      </c>
      <c r="B47" s="7">
        <v>6</v>
      </c>
      <c r="C47" s="25">
        <f t="shared" si="0"/>
        <v>40005</v>
      </c>
      <c r="D47" s="26">
        <v>40005</v>
      </c>
      <c r="E47" s="7" t="s">
        <v>131</v>
      </c>
      <c r="F47" s="7" t="s">
        <v>132</v>
      </c>
      <c r="H47" s="7" t="s">
        <v>133</v>
      </c>
      <c r="I47" s="7">
        <v>8.91</v>
      </c>
    </row>
    <row r="48" spans="1:9" ht="14.25" customHeight="1" x14ac:dyDescent="0.2">
      <c r="A48" s="7">
        <v>47</v>
      </c>
      <c r="B48" s="7">
        <v>15</v>
      </c>
      <c r="C48" s="25">
        <f t="shared" si="0"/>
        <v>40010</v>
      </c>
      <c r="D48" s="26">
        <v>40010</v>
      </c>
      <c r="E48" s="7" t="s">
        <v>118</v>
      </c>
      <c r="F48" s="7" t="s">
        <v>119</v>
      </c>
      <c r="G48" s="7" t="s">
        <v>120</v>
      </c>
      <c r="H48" s="7" t="s">
        <v>50</v>
      </c>
      <c r="I48" s="7">
        <v>13.86</v>
      </c>
    </row>
    <row r="49" spans="1:9" ht="14.25" customHeight="1" x14ac:dyDescent="0.2">
      <c r="A49" s="7">
        <v>48</v>
      </c>
      <c r="B49" s="7">
        <v>29</v>
      </c>
      <c r="C49" s="25">
        <f t="shared" si="0"/>
        <v>40018</v>
      </c>
      <c r="D49" s="26">
        <v>40018</v>
      </c>
      <c r="E49" s="7" t="s">
        <v>134</v>
      </c>
      <c r="F49" s="7" t="s">
        <v>135</v>
      </c>
      <c r="G49" s="7" t="s">
        <v>136</v>
      </c>
      <c r="H49" s="7" t="s">
        <v>50</v>
      </c>
      <c r="I49" s="7">
        <v>0.99</v>
      </c>
    </row>
    <row r="50" spans="1:9" ht="14.25" customHeight="1" x14ac:dyDescent="0.2">
      <c r="A50" s="7">
        <v>49</v>
      </c>
      <c r="B50" s="7">
        <v>30</v>
      </c>
      <c r="C50" s="25">
        <f t="shared" si="0"/>
        <v>40031</v>
      </c>
      <c r="D50" s="26">
        <v>40031</v>
      </c>
      <c r="E50" s="7" t="s">
        <v>137</v>
      </c>
      <c r="F50" s="7" t="s">
        <v>138</v>
      </c>
      <c r="G50" s="7" t="s">
        <v>136</v>
      </c>
      <c r="H50" s="7" t="s">
        <v>50</v>
      </c>
      <c r="I50" s="7">
        <v>1.98</v>
      </c>
    </row>
    <row r="51" spans="1:9" ht="14.25" customHeight="1" x14ac:dyDescent="0.2">
      <c r="A51" s="7">
        <v>50</v>
      </c>
      <c r="B51" s="7">
        <v>32</v>
      </c>
      <c r="C51" s="25">
        <f t="shared" si="0"/>
        <v>40031</v>
      </c>
      <c r="D51" s="26">
        <v>40031</v>
      </c>
      <c r="E51" s="7" t="s">
        <v>139</v>
      </c>
      <c r="F51" s="7" t="s">
        <v>140</v>
      </c>
      <c r="G51" s="7" t="s">
        <v>141</v>
      </c>
      <c r="H51" s="7" t="s">
        <v>50</v>
      </c>
      <c r="I51" s="7">
        <v>1.98</v>
      </c>
    </row>
    <row r="52" spans="1:9" ht="14.25" customHeight="1" x14ac:dyDescent="0.2">
      <c r="A52" s="7">
        <v>51</v>
      </c>
      <c r="B52" s="7">
        <v>34</v>
      </c>
      <c r="C52" s="25">
        <f t="shared" si="0"/>
        <v>40032</v>
      </c>
      <c r="D52" s="26">
        <v>40032</v>
      </c>
      <c r="E52" s="7" t="s">
        <v>104</v>
      </c>
      <c r="F52" s="7" t="s">
        <v>105</v>
      </c>
      <c r="H52" s="7" t="s">
        <v>106</v>
      </c>
      <c r="I52" s="7">
        <v>3.96</v>
      </c>
    </row>
    <row r="53" spans="1:9" ht="14.25" customHeight="1" x14ac:dyDescent="0.2">
      <c r="A53" s="7">
        <v>52</v>
      </c>
      <c r="B53" s="7">
        <v>38</v>
      </c>
      <c r="C53" s="25">
        <f t="shared" si="0"/>
        <v>40033</v>
      </c>
      <c r="D53" s="26">
        <v>40033</v>
      </c>
      <c r="E53" s="7" t="s">
        <v>56</v>
      </c>
      <c r="F53" s="7" t="s">
        <v>57</v>
      </c>
      <c r="H53" s="7" t="s">
        <v>40</v>
      </c>
      <c r="I53" s="7">
        <v>5.94</v>
      </c>
    </row>
    <row r="54" spans="1:9" ht="14.25" customHeight="1" x14ac:dyDescent="0.2">
      <c r="A54" s="7">
        <v>53</v>
      </c>
      <c r="B54" s="7">
        <v>44</v>
      </c>
      <c r="C54" s="25">
        <f t="shared" si="0"/>
        <v>40036</v>
      </c>
      <c r="D54" s="26">
        <v>40036</v>
      </c>
      <c r="E54" s="7" t="s">
        <v>142</v>
      </c>
      <c r="F54" s="7" t="s">
        <v>143</v>
      </c>
      <c r="H54" s="7" t="s">
        <v>144</v>
      </c>
      <c r="I54" s="7">
        <v>8.91</v>
      </c>
    </row>
    <row r="55" spans="1:9" ht="14.25" customHeight="1" x14ac:dyDescent="0.2">
      <c r="A55" s="7">
        <v>54</v>
      </c>
      <c r="B55" s="7">
        <v>53</v>
      </c>
      <c r="C55" s="25">
        <f t="shared" si="0"/>
        <v>40041</v>
      </c>
      <c r="D55" s="26">
        <v>40041</v>
      </c>
      <c r="E55" s="7" t="s">
        <v>130</v>
      </c>
      <c r="F55" s="7" t="s">
        <v>67</v>
      </c>
      <c r="H55" s="7" t="s">
        <v>4791</v>
      </c>
      <c r="I55" s="7">
        <v>13.86</v>
      </c>
    </row>
    <row r="56" spans="1:9" ht="14.25" customHeight="1" x14ac:dyDescent="0.2">
      <c r="A56" s="7">
        <v>55</v>
      </c>
      <c r="B56" s="7">
        <v>8</v>
      </c>
      <c r="C56" s="25">
        <f t="shared" si="0"/>
        <v>40049</v>
      </c>
      <c r="D56" s="26">
        <v>40049</v>
      </c>
      <c r="E56" s="7" t="s">
        <v>44</v>
      </c>
      <c r="F56" s="7" t="s">
        <v>45</v>
      </c>
      <c r="H56" s="7" t="s">
        <v>46</v>
      </c>
      <c r="I56" s="7">
        <v>0.99</v>
      </c>
    </row>
    <row r="57" spans="1:9" ht="14.25" customHeight="1" x14ac:dyDescent="0.2">
      <c r="A57" s="7">
        <v>56</v>
      </c>
      <c r="B57" s="7">
        <v>9</v>
      </c>
      <c r="C57" s="25">
        <f t="shared" si="0"/>
        <v>40062</v>
      </c>
      <c r="D57" s="26">
        <v>40062</v>
      </c>
      <c r="E57" s="7" t="s">
        <v>145</v>
      </c>
      <c r="F57" s="7" t="s">
        <v>146</v>
      </c>
      <c r="H57" s="7" t="s">
        <v>147</v>
      </c>
      <c r="I57" s="7">
        <v>1.98</v>
      </c>
    </row>
    <row r="58" spans="1:9" ht="14.25" customHeight="1" x14ac:dyDescent="0.2">
      <c r="A58" s="7">
        <v>57</v>
      </c>
      <c r="B58" s="7">
        <v>11</v>
      </c>
      <c r="C58" s="25">
        <f t="shared" si="0"/>
        <v>40062</v>
      </c>
      <c r="D58" s="26">
        <v>40062</v>
      </c>
      <c r="E58" s="7" t="s">
        <v>148</v>
      </c>
      <c r="F58" s="7" t="s">
        <v>98</v>
      </c>
      <c r="G58" s="7" t="s">
        <v>99</v>
      </c>
      <c r="H58" s="7" t="s">
        <v>100</v>
      </c>
      <c r="I58" s="7">
        <v>1.98</v>
      </c>
    </row>
    <row r="59" spans="1:9" ht="14.25" customHeight="1" x14ac:dyDescent="0.2">
      <c r="A59" s="7">
        <v>58</v>
      </c>
      <c r="B59" s="7">
        <v>13</v>
      </c>
      <c r="C59" s="25">
        <f t="shared" si="0"/>
        <v>40063</v>
      </c>
      <c r="D59" s="26">
        <v>40063</v>
      </c>
      <c r="E59" s="7" t="s">
        <v>115</v>
      </c>
      <c r="F59" s="7" t="s">
        <v>116</v>
      </c>
      <c r="G59" s="7" t="s">
        <v>117</v>
      </c>
      <c r="H59" s="7" t="s">
        <v>100</v>
      </c>
      <c r="I59" s="7">
        <v>3.96</v>
      </c>
    </row>
    <row r="60" spans="1:9" ht="14.25" customHeight="1" x14ac:dyDescent="0.2">
      <c r="A60" s="7">
        <v>59</v>
      </c>
      <c r="B60" s="7">
        <v>17</v>
      </c>
      <c r="C60" s="25">
        <f t="shared" si="0"/>
        <v>40064</v>
      </c>
      <c r="D60" s="26">
        <v>40064</v>
      </c>
      <c r="E60" s="7" t="s">
        <v>71</v>
      </c>
      <c r="F60" s="7" t="s">
        <v>72</v>
      </c>
      <c r="G60" s="7" t="s">
        <v>73</v>
      </c>
      <c r="H60" s="7" t="s">
        <v>4790</v>
      </c>
      <c r="I60" s="7">
        <v>5.94</v>
      </c>
    </row>
    <row r="61" spans="1:9" ht="14.25" customHeight="1" x14ac:dyDescent="0.2">
      <c r="A61" s="7">
        <v>60</v>
      </c>
      <c r="B61" s="7">
        <v>23</v>
      </c>
      <c r="C61" s="25">
        <f t="shared" si="0"/>
        <v>40067</v>
      </c>
      <c r="D61" s="26">
        <v>40067</v>
      </c>
      <c r="E61" s="7" t="s">
        <v>51</v>
      </c>
      <c r="F61" s="7" t="s">
        <v>52</v>
      </c>
      <c r="G61" s="7" t="s">
        <v>53</v>
      </c>
      <c r="H61" s="7" t="s">
        <v>4790</v>
      </c>
      <c r="I61" s="7">
        <v>8.91</v>
      </c>
    </row>
    <row r="62" spans="1:9" ht="14.25" customHeight="1" x14ac:dyDescent="0.2">
      <c r="A62" s="7">
        <v>61</v>
      </c>
      <c r="B62" s="7">
        <v>32</v>
      </c>
      <c r="C62" s="25">
        <f t="shared" si="0"/>
        <v>40072</v>
      </c>
      <c r="D62" s="26">
        <v>40072</v>
      </c>
      <c r="E62" s="7" t="s">
        <v>139</v>
      </c>
      <c r="F62" s="7" t="s">
        <v>140</v>
      </c>
      <c r="G62" s="7" t="s">
        <v>141</v>
      </c>
      <c r="H62" s="7" t="s">
        <v>50</v>
      </c>
      <c r="I62" s="7">
        <v>13.86</v>
      </c>
    </row>
    <row r="63" spans="1:9" ht="14.25" customHeight="1" x14ac:dyDescent="0.2">
      <c r="A63" s="7">
        <v>62</v>
      </c>
      <c r="B63" s="7">
        <v>46</v>
      </c>
      <c r="C63" s="25">
        <f t="shared" si="0"/>
        <v>40080</v>
      </c>
      <c r="D63" s="26">
        <v>40080</v>
      </c>
      <c r="E63" s="7" t="s">
        <v>63</v>
      </c>
      <c r="F63" s="7" t="s">
        <v>64</v>
      </c>
      <c r="G63" s="7" t="s">
        <v>64</v>
      </c>
      <c r="H63" s="7" t="s">
        <v>65</v>
      </c>
      <c r="I63" s="7">
        <v>0.99</v>
      </c>
    </row>
    <row r="64" spans="1:9" ht="14.25" customHeight="1" x14ac:dyDescent="0.2">
      <c r="A64" s="7">
        <v>63</v>
      </c>
      <c r="B64" s="7">
        <v>47</v>
      </c>
      <c r="C64" s="25">
        <f t="shared" si="0"/>
        <v>40093</v>
      </c>
      <c r="D64" s="26">
        <v>40093</v>
      </c>
      <c r="E64" s="7" t="s">
        <v>149</v>
      </c>
      <c r="F64" s="7" t="s">
        <v>150</v>
      </c>
      <c r="G64" s="7" t="s">
        <v>151</v>
      </c>
      <c r="H64" s="7" t="s">
        <v>152</v>
      </c>
      <c r="I64" s="7">
        <v>1.98</v>
      </c>
    </row>
    <row r="65" spans="1:9" ht="14.25" customHeight="1" x14ac:dyDescent="0.2">
      <c r="A65" s="7">
        <v>64</v>
      </c>
      <c r="B65" s="7">
        <v>49</v>
      </c>
      <c r="C65" s="25">
        <f t="shared" si="0"/>
        <v>40093</v>
      </c>
      <c r="D65" s="26">
        <v>40093</v>
      </c>
      <c r="E65" s="7" t="s">
        <v>153</v>
      </c>
      <c r="F65" s="7" t="s">
        <v>154</v>
      </c>
      <c r="H65" s="7" t="s">
        <v>155</v>
      </c>
      <c r="I65" s="7">
        <v>1.98</v>
      </c>
    </row>
    <row r="66" spans="1:9" ht="14.25" customHeight="1" x14ac:dyDescent="0.2">
      <c r="A66" s="7">
        <v>65</v>
      </c>
      <c r="B66" s="7">
        <v>51</v>
      </c>
      <c r="C66" s="25">
        <f t="shared" si="0"/>
        <v>40094</v>
      </c>
      <c r="D66" s="26">
        <v>40094</v>
      </c>
      <c r="E66" s="7" t="s">
        <v>127</v>
      </c>
      <c r="F66" s="7" t="s">
        <v>128</v>
      </c>
      <c r="H66" s="7" t="s">
        <v>129</v>
      </c>
      <c r="I66" s="7">
        <v>3.96</v>
      </c>
    </row>
    <row r="67" spans="1:9" ht="14.25" customHeight="1" x14ac:dyDescent="0.2">
      <c r="A67" s="7">
        <v>66</v>
      </c>
      <c r="B67" s="7">
        <v>55</v>
      </c>
      <c r="C67" s="25">
        <f t="shared" si="0"/>
        <v>40095</v>
      </c>
      <c r="D67" s="26">
        <v>40095</v>
      </c>
      <c r="E67" s="7" t="s">
        <v>87</v>
      </c>
      <c r="F67" s="7" t="s">
        <v>88</v>
      </c>
      <c r="G67" s="7" t="s">
        <v>89</v>
      </c>
      <c r="H67" s="7" t="s">
        <v>90</v>
      </c>
      <c r="I67" s="7">
        <v>5.94</v>
      </c>
    </row>
    <row r="68" spans="1:9" ht="14.25" customHeight="1" x14ac:dyDescent="0.2">
      <c r="A68" s="7">
        <v>67</v>
      </c>
      <c r="B68" s="7">
        <v>2</v>
      </c>
      <c r="C68" s="25">
        <f t="shared" si="0"/>
        <v>40098</v>
      </c>
      <c r="D68" s="26">
        <v>40098</v>
      </c>
      <c r="E68" s="7" t="s">
        <v>38</v>
      </c>
      <c r="F68" s="7" t="s">
        <v>39</v>
      </c>
      <c r="H68" s="7" t="s">
        <v>40</v>
      </c>
      <c r="I68" s="7">
        <v>8.91</v>
      </c>
    </row>
    <row r="69" spans="1:9" ht="14.25" customHeight="1" x14ac:dyDescent="0.2">
      <c r="A69" s="7">
        <v>68</v>
      </c>
      <c r="B69" s="7">
        <v>11</v>
      </c>
      <c r="C69" s="25">
        <f t="shared" si="0"/>
        <v>40103</v>
      </c>
      <c r="D69" s="26">
        <v>40103</v>
      </c>
      <c r="E69" s="7" t="s">
        <v>148</v>
      </c>
      <c r="F69" s="7" t="s">
        <v>98</v>
      </c>
      <c r="G69" s="7" t="s">
        <v>99</v>
      </c>
      <c r="H69" s="7" t="s">
        <v>100</v>
      </c>
      <c r="I69" s="7">
        <v>13.86</v>
      </c>
    </row>
    <row r="70" spans="1:9" ht="14.25" customHeight="1" x14ac:dyDescent="0.2">
      <c r="A70" s="7">
        <v>69</v>
      </c>
      <c r="B70" s="7">
        <v>25</v>
      </c>
      <c r="C70" s="25">
        <f t="shared" si="0"/>
        <v>40111</v>
      </c>
      <c r="D70" s="26">
        <v>40111</v>
      </c>
      <c r="E70" s="7" t="s">
        <v>79</v>
      </c>
      <c r="F70" s="7" t="s">
        <v>80</v>
      </c>
      <c r="G70" s="7" t="s">
        <v>81</v>
      </c>
      <c r="H70" s="7" t="s">
        <v>4790</v>
      </c>
      <c r="I70" s="7">
        <v>0.99</v>
      </c>
    </row>
    <row r="71" spans="1:9" ht="14.25" customHeight="1" x14ac:dyDescent="0.2">
      <c r="A71" s="7">
        <v>70</v>
      </c>
      <c r="B71" s="7">
        <v>26</v>
      </c>
      <c r="C71" s="25">
        <f t="shared" si="0"/>
        <v>40124</v>
      </c>
      <c r="D71" s="26">
        <v>40124</v>
      </c>
      <c r="E71" s="7" t="s">
        <v>156</v>
      </c>
      <c r="F71" s="7" t="s">
        <v>157</v>
      </c>
      <c r="G71" s="7" t="s">
        <v>158</v>
      </c>
      <c r="H71" s="7" t="s">
        <v>4790</v>
      </c>
      <c r="I71" s="7">
        <v>1.98</v>
      </c>
    </row>
    <row r="72" spans="1:9" ht="14.25" customHeight="1" x14ac:dyDescent="0.2">
      <c r="A72" s="7">
        <v>71</v>
      </c>
      <c r="B72" s="7">
        <v>28</v>
      </c>
      <c r="C72" s="25">
        <f t="shared" si="0"/>
        <v>40124</v>
      </c>
      <c r="D72" s="26">
        <v>40124</v>
      </c>
      <c r="E72" s="7" t="s">
        <v>159</v>
      </c>
      <c r="F72" s="7" t="s">
        <v>160</v>
      </c>
      <c r="G72" s="7" t="s">
        <v>161</v>
      </c>
      <c r="H72" s="7" t="s">
        <v>4790</v>
      </c>
      <c r="I72" s="7">
        <v>1.98</v>
      </c>
    </row>
    <row r="73" spans="1:9" ht="14.25" customHeight="1" x14ac:dyDescent="0.2">
      <c r="A73" s="7">
        <v>72</v>
      </c>
      <c r="B73" s="7">
        <v>30</v>
      </c>
      <c r="C73" s="25">
        <f t="shared" si="0"/>
        <v>40125</v>
      </c>
      <c r="D73" s="26">
        <v>40125</v>
      </c>
      <c r="E73" s="7" t="s">
        <v>137</v>
      </c>
      <c r="F73" s="7" t="s">
        <v>138</v>
      </c>
      <c r="G73" s="7" t="s">
        <v>136</v>
      </c>
      <c r="H73" s="7" t="s">
        <v>50</v>
      </c>
      <c r="I73" s="7">
        <v>3.96</v>
      </c>
    </row>
    <row r="74" spans="1:9" ht="14.25" customHeight="1" x14ac:dyDescent="0.2">
      <c r="A74" s="7">
        <v>73</v>
      </c>
      <c r="B74" s="7">
        <v>34</v>
      </c>
      <c r="C74" s="25">
        <f t="shared" si="0"/>
        <v>40126</v>
      </c>
      <c r="D74" s="26">
        <v>40126</v>
      </c>
      <c r="E74" s="7" t="s">
        <v>104</v>
      </c>
      <c r="F74" s="7" t="s">
        <v>105</v>
      </c>
      <c r="H74" s="7" t="s">
        <v>106</v>
      </c>
      <c r="I74" s="7">
        <v>5.94</v>
      </c>
    </row>
    <row r="75" spans="1:9" ht="14.25" customHeight="1" x14ac:dyDescent="0.2">
      <c r="A75" s="7">
        <v>74</v>
      </c>
      <c r="B75" s="7">
        <v>40</v>
      </c>
      <c r="C75" s="25">
        <f t="shared" si="0"/>
        <v>40129</v>
      </c>
      <c r="D75" s="26">
        <v>40129</v>
      </c>
      <c r="E75" s="7" t="s">
        <v>58</v>
      </c>
      <c r="F75" s="7" t="s">
        <v>59</v>
      </c>
      <c r="H75" s="7" t="s">
        <v>60</v>
      </c>
      <c r="I75" s="7">
        <v>8.91</v>
      </c>
    </row>
    <row r="76" spans="1:9" ht="14.25" customHeight="1" x14ac:dyDescent="0.2">
      <c r="A76" s="7">
        <v>75</v>
      </c>
      <c r="B76" s="7">
        <v>49</v>
      </c>
      <c r="C76" s="25">
        <f t="shared" si="0"/>
        <v>40134</v>
      </c>
      <c r="D76" s="26">
        <v>40134</v>
      </c>
      <c r="E76" s="7" t="s">
        <v>153</v>
      </c>
      <c r="F76" s="7" t="s">
        <v>154</v>
      </c>
      <c r="H76" s="7" t="s">
        <v>155</v>
      </c>
      <c r="I76" s="7">
        <v>13.86</v>
      </c>
    </row>
    <row r="77" spans="1:9" ht="14.25" customHeight="1" x14ac:dyDescent="0.2">
      <c r="A77" s="7">
        <v>76</v>
      </c>
      <c r="B77" s="7">
        <v>4</v>
      </c>
      <c r="C77" s="25">
        <f t="shared" si="0"/>
        <v>40142</v>
      </c>
      <c r="D77" s="26">
        <v>40142</v>
      </c>
      <c r="E77" s="7" t="s">
        <v>41</v>
      </c>
      <c r="F77" s="7" t="s">
        <v>42</v>
      </c>
      <c r="H77" s="7" t="s">
        <v>43</v>
      </c>
      <c r="I77" s="7">
        <v>0.99</v>
      </c>
    </row>
    <row r="78" spans="1:9" ht="14.25" customHeight="1" x14ac:dyDescent="0.2">
      <c r="A78" s="7">
        <v>77</v>
      </c>
      <c r="B78" s="7">
        <v>5</v>
      </c>
      <c r="C78" s="25">
        <f t="shared" si="0"/>
        <v>40155</v>
      </c>
      <c r="D78" s="26">
        <v>40155</v>
      </c>
      <c r="E78" s="7" t="s">
        <v>162</v>
      </c>
      <c r="F78" s="7" t="s">
        <v>132</v>
      </c>
      <c r="H78" s="7" t="s">
        <v>133</v>
      </c>
      <c r="I78" s="7">
        <v>1.98</v>
      </c>
    </row>
    <row r="79" spans="1:9" ht="14.25" customHeight="1" x14ac:dyDescent="0.2">
      <c r="A79" s="7">
        <v>78</v>
      </c>
      <c r="B79" s="7">
        <v>7</v>
      </c>
      <c r="C79" s="25">
        <f t="shared" si="0"/>
        <v>40155</v>
      </c>
      <c r="D79" s="26">
        <v>40155</v>
      </c>
      <c r="E79" s="7" t="s">
        <v>163</v>
      </c>
      <c r="F79" s="7" t="s">
        <v>164</v>
      </c>
      <c r="H79" s="7" t="s">
        <v>165</v>
      </c>
      <c r="I79" s="7">
        <v>1.98</v>
      </c>
    </row>
    <row r="80" spans="1:9" ht="14.25" customHeight="1" x14ac:dyDescent="0.2">
      <c r="A80" s="7">
        <v>79</v>
      </c>
      <c r="B80" s="7">
        <v>9</v>
      </c>
      <c r="C80" s="25">
        <f t="shared" si="0"/>
        <v>40156</v>
      </c>
      <c r="D80" s="26">
        <v>40156</v>
      </c>
      <c r="E80" s="7" t="s">
        <v>145</v>
      </c>
      <c r="F80" s="7" t="s">
        <v>146</v>
      </c>
      <c r="H80" s="7" t="s">
        <v>147</v>
      </c>
      <c r="I80" s="7">
        <v>3.96</v>
      </c>
    </row>
    <row r="81" spans="1:9" ht="14.25" customHeight="1" x14ac:dyDescent="0.2">
      <c r="A81" s="7">
        <v>80</v>
      </c>
      <c r="B81" s="7">
        <v>13</v>
      </c>
      <c r="C81" s="25">
        <f t="shared" si="0"/>
        <v>40157</v>
      </c>
      <c r="D81" s="26">
        <v>40157</v>
      </c>
      <c r="E81" s="7" t="s">
        <v>115</v>
      </c>
      <c r="F81" s="7" t="s">
        <v>116</v>
      </c>
      <c r="G81" s="7" t="s">
        <v>117</v>
      </c>
      <c r="H81" s="7" t="s">
        <v>100</v>
      </c>
      <c r="I81" s="7">
        <v>5.94</v>
      </c>
    </row>
    <row r="82" spans="1:9" ht="14.25" customHeight="1" x14ac:dyDescent="0.2">
      <c r="A82" s="7">
        <v>81</v>
      </c>
      <c r="B82" s="7">
        <v>19</v>
      </c>
      <c r="C82" s="25">
        <f t="shared" si="0"/>
        <v>40160</v>
      </c>
      <c r="D82" s="26">
        <v>40160</v>
      </c>
      <c r="E82" s="7" t="s">
        <v>74</v>
      </c>
      <c r="F82" s="7" t="s">
        <v>75</v>
      </c>
      <c r="G82" s="7" t="s">
        <v>70</v>
      </c>
      <c r="H82" s="7" t="s">
        <v>4790</v>
      </c>
      <c r="I82" s="7">
        <v>8.91</v>
      </c>
    </row>
    <row r="83" spans="1:9" ht="14.25" customHeight="1" x14ac:dyDescent="0.2">
      <c r="A83" s="7">
        <v>82</v>
      </c>
      <c r="B83" s="7">
        <v>28</v>
      </c>
      <c r="C83" s="25">
        <f t="shared" si="0"/>
        <v>40165</v>
      </c>
      <c r="D83" s="26">
        <v>40165</v>
      </c>
      <c r="E83" s="7" t="s">
        <v>159</v>
      </c>
      <c r="F83" s="7" t="s">
        <v>160</v>
      </c>
      <c r="G83" s="7" t="s">
        <v>161</v>
      </c>
      <c r="H83" s="7" t="s">
        <v>4790</v>
      </c>
      <c r="I83" s="7">
        <v>13.86</v>
      </c>
    </row>
    <row r="84" spans="1:9" ht="14.25" customHeight="1" x14ac:dyDescent="0.2">
      <c r="A84" s="7">
        <v>83</v>
      </c>
      <c r="B84" s="7">
        <v>42</v>
      </c>
      <c r="C84" s="25">
        <f t="shared" si="0"/>
        <v>40173</v>
      </c>
      <c r="D84" s="26">
        <v>40173</v>
      </c>
      <c r="E84" s="7" t="s">
        <v>61</v>
      </c>
      <c r="F84" s="7" t="s">
        <v>62</v>
      </c>
      <c r="H84" s="7" t="s">
        <v>60</v>
      </c>
      <c r="I84" s="7">
        <v>0.99</v>
      </c>
    </row>
    <row r="85" spans="1:9" ht="14.25" customHeight="1" x14ac:dyDescent="0.2">
      <c r="A85" s="7">
        <v>84</v>
      </c>
      <c r="B85" s="7">
        <v>43</v>
      </c>
      <c r="C85" s="25">
        <f t="shared" si="0"/>
        <v>40186</v>
      </c>
      <c r="D85" s="26">
        <v>40186</v>
      </c>
      <c r="E85" s="7" t="s">
        <v>166</v>
      </c>
      <c r="F85" s="7" t="s">
        <v>167</v>
      </c>
      <c r="H85" s="7" t="s">
        <v>60</v>
      </c>
      <c r="I85" s="7">
        <v>1.98</v>
      </c>
    </row>
    <row r="86" spans="1:9" ht="14.25" customHeight="1" x14ac:dyDescent="0.2">
      <c r="A86" s="7">
        <v>85</v>
      </c>
      <c r="B86" s="7">
        <v>45</v>
      </c>
      <c r="C86" s="25">
        <f t="shared" si="0"/>
        <v>40186</v>
      </c>
      <c r="D86" s="26">
        <v>40186</v>
      </c>
      <c r="E86" s="7" t="s">
        <v>168</v>
      </c>
      <c r="F86" s="7" t="s">
        <v>169</v>
      </c>
      <c r="H86" s="7" t="s">
        <v>170</v>
      </c>
      <c r="I86" s="7">
        <v>1.98</v>
      </c>
    </row>
    <row r="87" spans="1:9" ht="14.25" customHeight="1" x14ac:dyDescent="0.2">
      <c r="A87" s="7">
        <v>86</v>
      </c>
      <c r="B87" s="7">
        <v>47</v>
      </c>
      <c r="C87" s="25">
        <f t="shared" si="0"/>
        <v>40187</v>
      </c>
      <c r="D87" s="26">
        <v>40187</v>
      </c>
      <c r="E87" s="7" t="s">
        <v>149</v>
      </c>
      <c r="F87" s="7" t="s">
        <v>150</v>
      </c>
      <c r="G87" s="7" t="s">
        <v>151</v>
      </c>
      <c r="H87" s="7" t="s">
        <v>152</v>
      </c>
      <c r="I87" s="7">
        <v>3.96</v>
      </c>
    </row>
    <row r="88" spans="1:9" ht="14.25" customHeight="1" x14ac:dyDescent="0.2">
      <c r="A88" s="7">
        <v>87</v>
      </c>
      <c r="B88" s="7">
        <v>51</v>
      </c>
      <c r="C88" s="25">
        <f t="shared" si="0"/>
        <v>40188</v>
      </c>
      <c r="D88" s="26">
        <v>40188</v>
      </c>
      <c r="E88" s="7" t="s">
        <v>127</v>
      </c>
      <c r="F88" s="7" t="s">
        <v>128</v>
      </c>
      <c r="H88" s="7" t="s">
        <v>129</v>
      </c>
      <c r="I88" s="7">
        <v>6.94</v>
      </c>
    </row>
    <row r="89" spans="1:9" ht="14.25" customHeight="1" x14ac:dyDescent="0.2">
      <c r="A89" s="7">
        <v>88</v>
      </c>
      <c r="B89" s="7">
        <v>57</v>
      </c>
      <c r="C89" s="25">
        <f t="shared" si="0"/>
        <v>40191</v>
      </c>
      <c r="D89" s="26">
        <v>40191</v>
      </c>
      <c r="E89" s="7" t="s">
        <v>91</v>
      </c>
      <c r="F89" s="7" t="s">
        <v>92</v>
      </c>
      <c r="H89" s="7" t="s">
        <v>93</v>
      </c>
      <c r="I89" s="7">
        <v>17.91</v>
      </c>
    </row>
    <row r="90" spans="1:9" ht="14.25" customHeight="1" x14ac:dyDescent="0.2">
      <c r="A90" s="7">
        <v>89</v>
      </c>
      <c r="B90" s="7">
        <v>7</v>
      </c>
      <c r="C90" s="25">
        <f t="shared" si="0"/>
        <v>40196</v>
      </c>
      <c r="D90" s="26">
        <v>40196</v>
      </c>
      <c r="E90" s="7" t="s">
        <v>163</v>
      </c>
      <c r="F90" s="7" t="s">
        <v>164</v>
      </c>
      <c r="H90" s="7" t="s">
        <v>165</v>
      </c>
      <c r="I90" s="7">
        <v>18.86</v>
      </c>
    </row>
    <row r="91" spans="1:9" ht="14.25" customHeight="1" x14ac:dyDescent="0.2">
      <c r="A91" s="7">
        <v>90</v>
      </c>
      <c r="B91" s="7">
        <v>21</v>
      </c>
      <c r="C91" s="25">
        <f t="shared" si="0"/>
        <v>40204</v>
      </c>
      <c r="D91" s="26">
        <v>40204</v>
      </c>
      <c r="E91" s="7" t="s">
        <v>76</v>
      </c>
      <c r="F91" s="7" t="s">
        <v>77</v>
      </c>
      <c r="G91" s="7" t="s">
        <v>78</v>
      </c>
      <c r="H91" s="7" t="s">
        <v>4790</v>
      </c>
      <c r="I91" s="7">
        <v>0.99</v>
      </c>
    </row>
    <row r="92" spans="1:9" ht="14.25" customHeight="1" x14ac:dyDescent="0.2">
      <c r="A92" s="7">
        <v>91</v>
      </c>
      <c r="B92" s="7">
        <v>22</v>
      </c>
      <c r="C92" s="25">
        <f t="shared" si="0"/>
        <v>40217</v>
      </c>
      <c r="D92" s="26">
        <v>40217</v>
      </c>
      <c r="E92" s="7" t="s">
        <v>171</v>
      </c>
      <c r="F92" s="7" t="s">
        <v>172</v>
      </c>
      <c r="G92" s="7" t="s">
        <v>173</v>
      </c>
      <c r="H92" s="7" t="s">
        <v>4790</v>
      </c>
      <c r="I92" s="7">
        <v>1.98</v>
      </c>
    </row>
    <row r="93" spans="1:9" ht="14.25" customHeight="1" x14ac:dyDescent="0.2">
      <c r="A93" s="7">
        <v>92</v>
      </c>
      <c r="B93" s="7">
        <v>24</v>
      </c>
      <c r="C93" s="25">
        <f t="shared" si="0"/>
        <v>40217</v>
      </c>
      <c r="D93" s="26">
        <v>40217</v>
      </c>
      <c r="E93" s="7" t="s">
        <v>174</v>
      </c>
      <c r="F93" s="7" t="s">
        <v>175</v>
      </c>
      <c r="G93" s="7" t="s">
        <v>176</v>
      </c>
      <c r="H93" s="7" t="s">
        <v>4790</v>
      </c>
      <c r="I93" s="7">
        <v>1.98</v>
      </c>
    </row>
    <row r="94" spans="1:9" ht="14.25" customHeight="1" x14ac:dyDescent="0.2">
      <c r="A94" s="7">
        <v>93</v>
      </c>
      <c r="B94" s="7">
        <v>26</v>
      </c>
      <c r="C94" s="25">
        <f t="shared" si="0"/>
        <v>40218</v>
      </c>
      <c r="D94" s="26">
        <v>40218</v>
      </c>
      <c r="E94" s="7" t="s">
        <v>156</v>
      </c>
      <c r="F94" s="7" t="s">
        <v>157</v>
      </c>
      <c r="G94" s="7" t="s">
        <v>158</v>
      </c>
      <c r="H94" s="7" t="s">
        <v>4790</v>
      </c>
      <c r="I94" s="7">
        <v>3.96</v>
      </c>
    </row>
    <row r="95" spans="1:9" ht="14.25" customHeight="1" x14ac:dyDescent="0.2">
      <c r="A95" s="7">
        <v>94</v>
      </c>
      <c r="B95" s="7">
        <v>30</v>
      </c>
      <c r="C95" s="25">
        <f t="shared" si="0"/>
        <v>40219</v>
      </c>
      <c r="D95" s="26">
        <v>40219</v>
      </c>
      <c r="E95" s="7" t="s">
        <v>137</v>
      </c>
      <c r="F95" s="7" t="s">
        <v>138</v>
      </c>
      <c r="G95" s="7" t="s">
        <v>136</v>
      </c>
      <c r="H95" s="7" t="s">
        <v>50</v>
      </c>
      <c r="I95" s="7">
        <v>5.94</v>
      </c>
    </row>
    <row r="96" spans="1:9" ht="14.25" customHeight="1" x14ac:dyDescent="0.2">
      <c r="A96" s="7">
        <v>95</v>
      </c>
      <c r="B96" s="7">
        <v>36</v>
      </c>
      <c r="C96" s="25">
        <f t="shared" si="0"/>
        <v>40222</v>
      </c>
      <c r="D96" s="26">
        <v>40222</v>
      </c>
      <c r="E96" s="7" t="s">
        <v>107</v>
      </c>
      <c r="F96" s="7" t="s">
        <v>57</v>
      </c>
      <c r="H96" s="7" t="s">
        <v>40</v>
      </c>
      <c r="I96" s="7">
        <v>8.91</v>
      </c>
    </row>
    <row r="97" spans="1:9" ht="14.25" customHeight="1" x14ac:dyDescent="0.2">
      <c r="A97" s="7">
        <v>96</v>
      </c>
      <c r="B97" s="7">
        <v>45</v>
      </c>
      <c r="C97" s="25">
        <f t="shared" si="0"/>
        <v>40227</v>
      </c>
      <c r="D97" s="26">
        <v>40227</v>
      </c>
      <c r="E97" s="7" t="s">
        <v>168</v>
      </c>
      <c r="F97" s="7" t="s">
        <v>169</v>
      </c>
      <c r="H97" s="7" t="s">
        <v>170</v>
      </c>
      <c r="I97" s="7">
        <v>21.86</v>
      </c>
    </row>
    <row r="98" spans="1:9" ht="14.25" customHeight="1" x14ac:dyDescent="0.2">
      <c r="A98" s="7">
        <v>97</v>
      </c>
      <c r="B98" s="7">
        <v>59</v>
      </c>
      <c r="C98" s="25">
        <f t="shared" si="0"/>
        <v>40235</v>
      </c>
      <c r="D98" s="26">
        <v>40235</v>
      </c>
      <c r="E98" s="7" t="s">
        <v>94</v>
      </c>
      <c r="F98" s="7" t="s">
        <v>95</v>
      </c>
      <c r="H98" s="7" t="s">
        <v>96</v>
      </c>
      <c r="I98" s="7">
        <v>1.99</v>
      </c>
    </row>
    <row r="99" spans="1:9" ht="14.25" customHeight="1" x14ac:dyDescent="0.2">
      <c r="A99" s="7">
        <v>98</v>
      </c>
      <c r="B99" s="7">
        <v>1</v>
      </c>
      <c r="C99" s="25">
        <f t="shared" si="0"/>
        <v>40248</v>
      </c>
      <c r="D99" s="26">
        <v>40248</v>
      </c>
      <c r="E99" s="7" t="s">
        <v>177</v>
      </c>
      <c r="F99" s="7" t="s">
        <v>178</v>
      </c>
      <c r="G99" s="7" t="s">
        <v>99</v>
      </c>
      <c r="H99" s="7" t="s">
        <v>100</v>
      </c>
      <c r="I99" s="7">
        <v>3.98</v>
      </c>
    </row>
    <row r="100" spans="1:9" ht="14.25" customHeight="1" x14ac:dyDescent="0.2">
      <c r="A100" s="7">
        <v>99</v>
      </c>
      <c r="B100" s="7">
        <v>3</v>
      </c>
      <c r="C100" s="25">
        <f t="shared" si="0"/>
        <v>40248</v>
      </c>
      <c r="D100" s="26">
        <v>40248</v>
      </c>
      <c r="E100" s="7" t="s">
        <v>179</v>
      </c>
      <c r="F100" s="7" t="s">
        <v>180</v>
      </c>
      <c r="G100" s="7" t="s">
        <v>181</v>
      </c>
      <c r="H100" s="7" t="s">
        <v>50</v>
      </c>
      <c r="I100" s="7">
        <v>3.98</v>
      </c>
    </row>
    <row r="101" spans="1:9" ht="14.25" customHeight="1" x14ac:dyDescent="0.2">
      <c r="A101" s="7">
        <v>100</v>
      </c>
      <c r="B101" s="7">
        <v>5</v>
      </c>
      <c r="C101" s="25">
        <f t="shared" si="0"/>
        <v>40249</v>
      </c>
      <c r="D101" s="26">
        <v>40249</v>
      </c>
      <c r="E101" s="7" t="s">
        <v>162</v>
      </c>
      <c r="F101" s="7" t="s">
        <v>132</v>
      </c>
      <c r="H101" s="7" t="s">
        <v>133</v>
      </c>
      <c r="I101" s="7">
        <v>3.96</v>
      </c>
    </row>
    <row r="102" spans="1:9" ht="14.25" customHeight="1" x14ac:dyDescent="0.2">
      <c r="A102" s="7">
        <v>101</v>
      </c>
      <c r="B102" s="7">
        <v>9</v>
      </c>
      <c r="C102" s="25">
        <f t="shared" si="0"/>
        <v>40250</v>
      </c>
      <c r="D102" s="26">
        <v>40250</v>
      </c>
      <c r="E102" s="7" t="s">
        <v>145</v>
      </c>
      <c r="F102" s="7" t="s">
        <v>146</v>
      </c>
      <c r="H102" s="7" t="s">
        <v>147</v>
      </c>
      <c r="I102" s="7">
        <v>5.94</v>
      </c>
    </row>
    <row r="103" spans="1:9" ht="14.25" customHeight="1" x14ac:dyDescent="0.2">
      <c r="A103" s="7">
        <v>102</v>
      </c>
      <c r="B103" s="7">
        <v>15</v>
      </c>
      <c r="C103" s="25">
        <f t="shared" si="0"/>
        <v>40253</v>
      </c>
      <c r="D103" s="26">
        <v>40253</v>
      </c>
      <c r="E103" s="7" t="s">
        <v>118</v>
      </c>
      <c r="F103" s="7" t="s">
        <v>119</v>
      </c>
      <c r="G103" s="7" t="s">
        <v>120</v>
      </c>
      <c r="H103" s="7" t="s">
        <v>50</v>
      </c>
      <c r="I103" s="7">
        <v>9.91</v>
      </c>
    </row>
    <row r="104" spans="1:9" ht="14.25" customHeight="1" x14ac:dyDescent="0.2">
      <c r="A104" s="7">
        <v>103</v>
      </c>
      <c r="B104" s="7">
        <v>24</v>
      </c>
      <c r="C104" s="25">
        <f t="shared" si="0"/>
        <v>40258</v>
      </c>
      <c r="D104" s="26">
        <v>40258</v>
      </c>
      <c r="E104" s="7" t="s">
        <v>174</v>
      </c>
      <c r="F104" s="7" t="s">
        <v>175</v>
      </c>
      <c r="G104" s="7" t="s">
        <v>176</v>
      </c>
      <c r="H104" s="7" t="s">
        <v>4790</v>
      </c>
      <c r="I104" s="7">
        <v>15.86</v>
      </c>
    </row>
    <row r="105" spans="1:9" ht="14.25" customHeight="1" x14ac:dyDescent="0.2">
      <c r="A105" s="7">
        <v>104</v>
      </c>
      <c r="B105" s="7">
        <v>38</v>
      </c>
      <c r="C105" s="25">
        <f t="shared" si="0"/>
        <v>40266</v>
      </c>
      <c r="D105" s="26">
        <v>40266</v>
      </c>
      <c r="E105" s="7" t="s">
        <v>56</v>
      </c>
      <c r="F105" s="7" t="s">
        <v>57</v>
      </c>
      <c r="H105" s="7" t="s">
        <v>40</v>
      </c>
      <c r="I105" s="7">
        <v>0.99</v>
      </c>
    </row>
    <row r="106" spans="1:9" ht="14.25" customHeight="1" x14ac:dyDescent="0.2">
      <c r="A106" s="7">
        <v>105</v>
      </c>
      <c r="B106" s="7">
        <v>39</v>
      </c>
      <c r="C106" s="25">
        <f t="shared" si="0"/>
        <v>40279</v>
      </c>
      <c r="D106" s="26">
        <v>40279</v>
      </c>
      <c r="E106" s="7" t="s">
        <v>182</v>
      </c>
      <c r="F106" s="7" t="s">
        <v>59</v>
      </c>
      <c r="H106" s="7" t="s">
        <v>60</v>
      </c>
      <c r="I106" s="7">
        <v>1.98</v>
      </c>
    </row>
    <row r="107" spans="1:9" ht="14.25" customHeight="1" x14ac:dyDescent="0.2">
      <c r="A107" s="7">
        <v>106</v>
      </c>
      <c r="B107" s="7">
        <v>41</v>
      </c>
      <c r="C107" s="25">
        <f t="shared" si="0"/>
        <v>40279</v>
      </c>
      <c r="D107" s="26">
        <v>40279</v>
      </c>
      <c r="E107" s="7" t="s">
        <v>183</v>
      </c>
      <c r="F107" s="7" t="s">
        <v>184</v>
      </c>
      <c r="H107" s="7" t="s">
        <v>60</v>
      </c>
      <c r="I107" s="7">
        <v>1.98</v>
      </c>
    </row>
    <row r="108" spans="1:9" ht="14.25" customHeight="1" x14ac:dyDescent="0.2">
      <c r="A108" s="7">
        <v>107</v>
      </c>
      <c r="B108" s="7">
        <v>43</v>
      </c>
      <c r="C108" s="25">
        <f t="shared" si="0"/>
        <v>40280</v>
      </c>
      <c r="D108" s="26">
        <v>40280</v>
      </c>
      <c r="E108" s="7" t="s">
        <v>166</v>
      </c>
      <c r="F108" s="7" t="s">
        <v>167</v>
      </c>
      <c r="H108" s="7" t="s">
        <v>60</v>
      </c>
      <c r="I108" s="7">
        <v>3.96</v>
      </c>
    </row>
    <row r="109" spans="1:9" ht="14.25" customHeight="1" x14ac:dyDescent="0.2">
      <c r="A109" s="7">
        <v>108</v>
      </c>
      <c r="B109" s="7">
        <v>47</v>
      </c>
      <c r="C109" s="25">
        <f t="shared" si="0"/>
        <v>40281</v>
      </c>
      <c r="D109" s="26">
        <v>40281</v>
      </c>
      <c r="E109" s="7" t="s">
        <v>149</v>
      </c>
      <c r="F109" s="7" t="s">
        <v>150</v>
      </c>
      <c r="G109" s="7" t="s">
        <v>151</v>
      </c>
      <c r="H109" s="7" t="s">
        <v>152</v>
      </c>
      <c r="I109" s="7">
        <v>5.94</v>
      </c>
    </row>
    <row r="110" spans="1:9" ht="14.25" customHeight="1" x14ac:dyDescent="0.2">
      <c r="A110" s="7">
        <v>109</v>
      </c>
      <c r="B110" s="7">
        <v>53</v>
      </c>
      <c r="C110" s="25">
        <f t="shared" si="0"/>
        <v>40284</v>
      </c>
      <c r="D110" s="26">
        <v>40284</v>
      </c>
      <c r="E110" s="7" t="s">
        <v>130</v>
      </c>
      <c r="F110" s="7" t="s">
        <v>67</v>
      </c>
      <c r="H110" s="7" t="s">
        <v>4791</v>
      </c>
      <c r="I110" s="7">
        <v>8.91</v>
      </c>
    </row>
    <row r="111" spans="1:9" ht="14.25" customHeight="1" x14ac:dyDescent="0.2">
      <c r="A111" s="7">
        <v>110</v>
      </c>
      <c r="B111" s="7">
        <v>3</v>
      </c>
      <c r="C111" s="25">
        <f t="shared" si="0"/>
        <v>40289</v>
      </c>
      <c r="D111" s="26">
        <v>40289</v>
      </c>
      <c r="E111" s="7" t="s">
        <v>179</v>
      </c>
      <c r="F111" s="7" t="s">
        <v>180</v>
      </c>
      <c r="G111" s="7" t="s">
        <v>181</v>
      </c>
      <c r="H111" s="7" t="s">
        <v>50</v>
      </c>
      <c r="I111" s="7">
        <v>13.86</v>
      </c>
    </row>
    <row r="112" spans="1:9" ht="14.25" customHeight="1" x14ac:dyDescent="0.2">
      <c r="A112" s="7">
        <v>111</v>
      </c>
      <c r="B112" s="7">
        <v>17</v>
      </c>
      <c r="C112" s="25">
        <f t="shared" si="0"/>
        <v>40297</v>
      </c>
      <c r="D112" s="26">
        <v>40297</v>
      </c>
      <c r="E112" s="7" t="s">
        <v>71</v>
      </c>
      <c r="F112" s="7" t="s">
        <v>72</v>
      </c>
      <c r="G112" s="7" t="s">
        <v>73</v>
      </c>
      <c r="H112" s="7" t="s">
        <v>4790</v>
      </c>
      <c r="I112" s="7">
        <v>0.99</v>
      </c>
    </row>
    <row r="113" spans="1:9" ht="14.25" customHeight="1" x14ac:dyDescent="0.2">
      <c r="A113" s="7">
        <v>112</v>
      </c>
      <c r="B113" s="7">
        <v>18</v>
      </c>
      <c r="C113" s="25">
        <f t="shared" si="0"/>
        <v>40310</v>
      </c>
      <c r="D113" s="26">
        <v>40310</v>
      </c>
      <c r="E113" s="7" t="s">
        <v>185</v>
      </c>
      <c r="F113" s="7" t="s">
        <v>186</v>
      </c>
      <c r="G113" s="7" t="s">
        <v>187</v>
      </c>
      <c r="H113" s="7" t="s">
        <v>4790</v>
      </c>
      <c r="I113" s="7">
        <v>1.98</v>
      </c>
    </row>
    <row r="114" spans="1:9" ht="14.25" customHeight="1" x14ac:dyDescent="0.2">
      <c r="A114" s="7">
        <v>113</v>
      </c>
      <c r="B114" s="7">
        <v>20</v>
      </c>
      <c r="C114" s="25">
        <f t="shared" si="0"/>
        <v>40310</v>
      </c>
      <c r="D114" s="26">
        <v>40310</v>
      </c>
      <c r="E114" s="7" t="s">
        <v>188</v>
      </c>
      <c r="F114" s="7" t="s">
        <v>69</v>
      </c>
      <c r="G114" s="7" t="s">
        <v>70</v>
      </c>
      <c r="H114" s="7" t="s">
        <v>4790</v>
      </c>
      <c r="I114" s="7">
        <v>1.98</v>
      </c>
    </row>
    <row r="115" spans="1:9" ht="14.25" customHeight="1" x14ac:dyDescent="0.2">
      <c r="A115" s="7">
        <v>114</v>
      </c>
      <c r="B115" s="7">
        <v>22</v>
      </c>
      <c r="C115" s="25">
        <f t="shared" si="0"/>
        <v>40311</v>
      </c>
      <c r="D115" s="26">
        <v>40311</v>
      </c>
      <c r="E115" s="7" t="s">
        <v>171</v>
      </c>
      <c r="F115" s="7" t="s">
        <v>172</v>
      </c>
      <c r="G115" s="7" t="s">
        <v>173</v>
      </c>
      <c r="H115" s="7" t="s">
        <v>4790</v>
      </c>
      <c r="I115" s="7">
        <v>3.96</v>
      </c>
    </row>
    <row r="116" spans="1:9" ht="14.25" customHeight="1" x14ac:dyDescent="0.2">
      <c r="A116" s="7">
        <v>115</v>
      </c>
      <c r="B116" s="7">
        <v>26</v>
      </c>
      <c r="C116" s="25">
        <f t="shared" si="0"/>
        <v>40312</v>
      </c>
      <c r="D116" s="26">
        <v>40312</v>
      </c>
      <c r="E116" s="7" t="s">
        <v>156</v>
      </c>
      <c r="F116" s="7" t="s">
        <v>157</v>
      </c>
      <c r="G116" s="7" t="s">
        <v>158</v>
      </c>
      <c r="H116" s="7" t="s">
        <v>4790</v>
      </c>
      <c r="I116" s="7">
        <v>5.94</v>
      </c>
    </row>
    <row r="117" spans="1:9" ht="14.25" customHeight="1" x14ac:dyDescent="0.2">
      <c r="A117" s="7">
        <v>116</v>
      </c>
      <c r="B117" s="7">
        <v>32</v>
      </c>
      <c r="C117" s="25">
        <f t="shared" si="0"/>
        <v>40315</v>
      </c>
      <c r="D117" s="26">
        <v>40315</v>
      </c>
      <c r="E117" s="7" t="s">
        <v>139</v>
      </c>
      <c r="F117" s="7" t="s">
        <v>140</v>
      </c>
      <c r="G117" s="7" t="s">
        <v>141</v>
      </c>
      <c r="H117" s="7" t="s">
        <v>50</v>
      </c>
      <c r="I117" s="7">
        <v>8.91</v>
      </c>
    </row>
    <row r="118" spans="1:9" ht="14.25" customHeight="1" x14ac:dyDescent="0.2">
      <c r="A118" s="7">
        <v>117</v>
      </c>
      <c r="B118" s="7">
        <v>41</v>
      </c>
      <c r="C118" s="25">
        <f t="shared" si="0"/>
        <v>40320</v>
      </c>
      <c r="D118" s="26">
        <v>40320</v>
      </c>
      <c r="E118" s="7" t="s">
        <v>183</v>
      </c>
      <c r="F118" s="7" t="s">
        <v>184</v>
      </c>
      <c r="H118" s="7" t="s">
        <v>60</v>
      </c>
      <c r="I118" s="7">
        <v>13.86</v>
      </c>
    </row>
    <row r="119" spans="1:9" ht="14.25" customHeight="1" x14ac:dyDescent="0.2">
      <c r="A119" s="7">
        <v>118</v>
      </c>
      <c r="B119" s="7">
        <v>55</v>
      </c>
      <c r="C119" s="25">
        <f t="shared" si="0"/>
        <v>40328</v>
      </c>
      <c r="D119" s="26">
        <v>40328</v>
      </c>
      <c r="E119" s="7" t="s">
        <v>87</v>
      </c>
      <c r="F119" s="7" t="s">
        <v>88</v>
      </c>
      <c r="G119" s="7" t="s">
        <v>89</v>
      </c>
      <c r="H119" s="7" t="s">
        <v>90</v>
      </c>
      <c r="I119" s="7">
        <v>0.99</v>
      </c>
    </row>
    <row r="120" spans="1:9" ht="14.25" customHeight="1" x14ac:dyDescent="0.2">
      <c r="A120" s="7">
        <v>119</v>
      </c>
      <c r="B120" s="7">
        <v>56</v>
      </c>
      <c r="C120" s="25">
        <f t="shared" si="0"/>
        <v>40341</v>
      </c>
      <c r="D120" s="26">
        <v>40341</v>
      </c>
      <c r="E120" s="7" t="s">
        <v>189</v>
      </c>
      <c r="F120" s="7" t="s">
        <v>190</v>
      </c>
      <c r="H120" s="7" t="s">
        <v>191</v>
      </c>
      <c r="I120" s="7">
        <v>1.98</v>
      </c>
    </row>
    <row r="121" spans="1:9" ht="14.25" customHeight="1" x14ac:dyDescent="0.2">
      <c r="A121" s="7">
        <v>120</v>
      </c>
      <c r="B121" s="7">
        <v>58</v>
      </c>
      <c r="C121" s="25">
        <f t="shared" si="0"/>
        <v>40341</v>
      </c>
      <c r="D121" s="26">
        <v>40341</v>
      </c>
      <c r="E121" s="7" t="s">
        <v>192</v>
      </c>
      <c r="F121" s="7" t="s">
        <v>193</v>
      </c>
      <c r="H121" s="7" t="s">
        <v>96</v>
      </c>
      <c r="I121" s="7">
        <v>1.98</v>
      </c>
    </row>
    <row r="122" spans="1:9" ht="14.25" customHeight="1" x14ac:dyDescent="0.2">
      <c r="A122" s="7">
        <v>121</v>
      </c>
      <c r="B122" s="7">
        <v>1</v>
      </c>
      <c r="C122" s="25">
        <f t="shared" si="0"/>
        <v>40342</v>
      </c>
      <c r="D122" s="26">
        <v>40342</v>
      </c>
      <c r="E122" s="7" t="s">
        <v>177</v>
      </c>
      <c r="F122" s="7" t="s">
        <v>178</v>
      </c>
      <c r="G122" s="7" t="s">
        <v>99</v>
      </c>
      <c r="H122" s="7" t="s">
        <v>100</v>
      </c>
      <c r="I122" s="7">
        <v>3.96</v>
      </c>
    </row>
    <row r="123" spans="1:9" ht="14.25" customHeight="1" x14ac:dyDescent="0.2">
      <c r="A123" s="7">
        <v>122</v>
      </c>
      <c r="B123" s="7">
        <v>5</v>
      </c>
      <c r="C123" s="25">
        <f t="shared" si="0"/>
        <v>40343</v>
      </c>
      <c r="D123" s="26">
        <v>40343</v>
      </c>
      <c r="E123" s="7" t="s">
        <v>162</v>
      </c>
      <c r="F123" s="7" t="s">
        <v>132</v>
      </c>
      <c r="H123" s="7" t="s">
        <v>133</v>
      </c>
      <c r="I123" s="7">
        <v>5.94</v>
      </c>
    </row>
    <row r="124" spans="1:9" ht="14.25" customHeight="1" x14ac:dyDescent="0.2">
      <c r="A124" s="7">
        <v>123</v>
      </c>
      <c r="B124" s="7">
        <v>11</v>
      </c>
      <c r="C124" s="25">
        <f t="shared" si="0"/>
        <v>40346</v>
      </c>
      <c r="D124" s="26">
        <v>40346</v>
      </c>
      <c r="E124" s="7" t="s">
        <v>148</v>
      </c>
      <c r="F124" s="7" t="s">
        <v>98</v>
      </c>
      <c r="G124" s="7" t="s">
        <v>99</v>
      </c>
      <c r="H124" s="7" t="s">
        <v>100</v>
      </c>
      <c r="I124" s="7">
        <v>8.91</v>
      </c>
    </row>
    <row r="125" spans="1:9" ht="14.25" customHeight="1" x14ac:dyDescent="0.2">
      <c r="A125" s="7">
        <v>124</v>
      </c>
      <c r="B125" s="7">
        <v>20</v>
      </c>
      <c r="C125" s="25">
        <f t="shared" si="0"/>
        <v>40351</v>
      </c>
      <c r="D125" s="26">
        <v>40351</v>
      </c>
      <c r="E125" s="7" t="s">
        <v>188</v>
      </c>
      <c r="F125" s="7" t="s">
        <v>69</v>
      </c>
      <c r="G125" s="7" t="s">
        <v>70</v>
      </c>
      <c r="H125" s="7" t="s">
        <v>4790</v>
      </c>
      <c r="I125" s="7">
        <v>13.86</v>
      </c>
    </row>
    <row r="126" spans="1:9" ht="14.25" customHeight="1" x14ac:dyDescent="0.2">
      <c r="A126" s="7">
        <v>125</v>
      </c>
      <c r="B126" s="7">
        <v>34</v>
      </c>
      <c r="C126" s="25">
        <f t="shared" si="0"/>
        <v>40359</v>
      </c>
      <c r="D126" s="26">
        <v>40359</v>
      </c>
      <c r="E126" s="7" t="s">
        <v>104</v>
      </c>
      <c r="F126" s="7" t="s">
        <v>105</v>
      </c>
      <c r="H126" s="7" t="s">
        <v>106</v>
      </c>
      <c r="I126" s="7">
        <v>0.99</v>
      </c>
    </row>
    <row r="127" spans="1:9" ht="14.25" customHeight="1" x14ac:dyDescent="0.2">
      <c r="A127" s="7">
        <v>126</v>
      </c>
      <c r="B127" s="7">
        <v>35</v>
      </c>
      <c r="C127" s="25">
        <f t="shared" si="0"/>
        <v>40372</v>
      </c>
      <c r="D127" s="26">
        <v>40372</v>
      </c>
      <c r="E127" s="7" t="s">
        <v>194</v>
      </c>
      <c r="F127" s="7" t="s">
        <v>195</v>
      </c>
      <c r="H127" s="7" t="s">
        <v>106</v>
      </c>
      <c r="I127" s="7">
        <v>1.98</v>
      </c>
    </row>
    <row r="128" spans="1:9" ht="14.25" customHeight="1" x14ac:dyDescent="0.2">
      <c r="A128" s="7">
        <v>127</v>
      </c>
      <c r="B128" s="7">
        <v>37</v>
      </c>
      <c r="C128" s="25">
        <f t="shared" si="0"/>
        <v>40372</v>
      </c>
      <c r="D128" s="26">
        <v>40372</v>
      </c>
      <c r="E128" s="7" t="s">
        <v>54</v>
      </c>
      <c r="F128" s="7" t="s">
        <v>55</v>
      </c>
      <c r="H128" s="7" t="s">
        <v>40</v>
      </c>
      <c r="I128" s="7">
        <v>1.98</v>
      </c>
    </row>
    <row r="129" spans="1:9" ht="14.25" customHeight="1" x14ac:dyDescent="0.2">
      <c r="A129" s="7">
        <v>128</v>
      </c>
      <c r="B129" s="7">
        <v>39</v>
      </c>
      <c r="C129" s="25">
        <f t="shared" si="0"/>
        <v>40373</v>
      </c>
      <c r="D129" s="26">
        <v>40373</v>
      </c>
      <c r="E129" s="7" t="s">
        <v>182</v>
      </c>
      <c r="F129" s="7" t="s">
        <v>59</v>
      </c>
      <c r="H129" s="7" t="s">
        <v>60</v>
      </c>
      <c r="I129" s="7">
        <v>3.96</v>
      </c>
    </row>
    <row r="130" spans="1:9" ht="14.25" customHeight="1" x14ac:dyDescent="0.2">
      <c r="A130" s="7">
        <v>129</v>
      </c>
      <c r="B130" s="7">
        <v>43</v>
      </c>
      <c r="C130" s="25">
        <f t="shared" si="0"/>
        <v>40374</v>
      </c>
      <c r="D130" s="26">
        <v>40374</v>
      </c>
      <c r="E130" s="7" t="s">
        <v>166</v>
      </c>
      <c r="F130" s="7" t="s">
        <v>167</v>
      </c>
      <c r="H130" s="7" t="s">
        <v>60</v>
      </c>
      <c r="I130" s="7">
        <v>5.94</v>
      </c>
    </row>
    <row r="131" spans="1:9" ht="14.25" customHeight="1" x14ac:dyDescent="0.2">
      <c r="A131" s="7">
        <v>130</v>
      </c>
      <c r="B131" s="7">
        <v>49</v>
      </c>
      <c r="C131" s="25">
        <f t="shared" si="0"/>
        <v>40377</v>
      </c>
      <c r="D131" s="26">
        <v>40377</v>
      </c>
      <c r="E131" s="7" t="s">
        <v>153</v>
      </c>
      <c r="F131" s="7" t="s">
        <v>154</v>
      </c>
      <c r="H131" s="7" t="s">
        <v>155</v>
      </c>
      <c r="I131" s="7">
        <v>8.91</v>
      </c>
    </row>
    <row r="132" spans="1:9" ht="14.25" customHeight="1" x14ac:dyDescent="0.2">
      <c r="A132" s="7">
        <v>131</v>
      </c>
      <c r="B132" s="7">
        <v>58</v>
      </c>
      <c r="C132" s="25">
        <f t="shared" si="0"/>
        <v>40382</v>
      </c>
      <c r="D132" s="26">
        <v>40382</v>
      </c>
      <c r="E132" s="7" t="s">
        <v>192</v>
      </c>
      <c r="F132" s="7" t="s">
        <v>193</v>
      </c>
      <c r="H132" s="7" t="s">
        <v>96</v>
      </c>
      <c r="I132" s="7">
        <v>13.86</v>
      </c>
    </row>
    <row r="133" spans="1:9" ht="14.25" customHeight="1" x14ac:dyDescent="0.2">
      <c r="A133" s="7">
        <v>132</v>
      </c>
      <c r="B133" s="7">
        <v>13</v>
      </c>
      <c r="C133" s="25">
        <f t="shared" si="0"/>
        <v>40390</v>
      </c>
      <c r="D133" s="26">
        <v>40390</v>
      </c>
      <c r="E133" s="7" t="s">
        <v>115</v>
      </c>
      <c r="F133" s="7" t="s">
        <v>116</v>
      </c>
      <c r="G133" s="7" t="s">
        <v>117</v>
      </c>
      <c r="H133" s="7" t="s">
        <v>100</v>
      </c>
      <c r="I133" s="7">
        <v>0.99</v>
      </c>
    </row>
    <row r="134" spans="1:9" ht="14.25" customHeight="1" x14ac:dyDescent="0.2">
      <c r="A134" s="7">
        <v>133</v>
      </c>
      <c r="B134" s="7">
        <v>14</v>
      </c>
      <c r="C134" s="25">
        <f t="shared" si="0"/>
        <v>40403</v>
      </c>
      <c r="D134" s="26">
        <v>40403</v>
      </c>
      <c r="E134" s="7" t="s">
        <v>47</v>
      </c>
      <c r="F134" s="7" t="s">
        <v>48</v>
      </c>
      <c r="G134" s="7" t="s">
        <v>49</v>
      </c>
      <c r="H134" s="7" t="s">
        <v>50</v>
      </c>
      <c r="I134" s="7">
        <v>1.98</v>
      </c>
    </row>
    <row r="135" spans="1:9" ht="14.25" customHeight="1" x14ac:dyDescent="0.2">
      <c r="A135" s="7">
        <v>134</v>
      </c>
      <c r="B135" s="7">
        <v>16</v>
      </c>
      <c r="C135" s="25">
        <f t="shared" si="0"/>
        <v>40403</v>
      </c>
      <c r="D135" s="26">
        <v>40403</v>
      </c>
      <c r="E135" s="7" t="s">
        <v>68</v>
      </c>
      <c r="F135" s="7" t="s">
        <v>69</v>
      </c>
      <c r="G135" s="7" t="s">
        <v>70</v>
      </c>
      <c r="H135" s="7" t="s">
        <v>4790</v>
      </c>
      <c r="I135" s="7">
        <v>1.98</v>
      </c>
    </row>
    <row r="136" spans="1:9" ht="14.25" customHeight="1" x14ac:dyDescent="0.2">
      <c r="A136" s="7">
        <v>135</v>
      </c>
      <c r="B136" s="7">
        <v>18</v>
      </c>
      <c r="C136" s="25">
        <f t="shared" si="0"/>
        <v>40404</v>
      </c>
      <c r="D136" s="26">
        <v>40404</v>
      </c>
      <c r="E136" s="7" t="s">
        <v>185</v>
      </c>
      <c r="F136" s="7" t="s">
        <v>186</v>
      </c>
      <c r="G136" s="7" t="s">
        <v>187</v>
      </c>
      <c r="H136" s="7" t="s">
        <v>4790</v>
      </c>
      <c r="I136" s="7">
        <v>3.96</v>
      </c>
    </row>
    <row r="137" spans="1:9" ht="14.25" customHeight="1" x14ac:dyDescent="0.2">
      <c r="A137" s="7">
        <v>136</v>
      </c>
      <c r="B137" s="7">
        <v>22</v>
      </c>
      <c r="C137" s="25">
        <f t="shared" si="0"/>
        <v>40405</v>
      </c>
      <c r="D137" s="26">
        <v>40405</v>
      </c>
      <c r="E137" s="7" t="s">
        <v>171</v>
      </c>
      <c r="F137" s="7" t="s">
        <v>172</v>
      </c>
      <c r="G137" s="7" t="s">
        <v>173</v>
      </c>
      <c r="H137" s="7" t="s">
        <v>4790</v>
      </c>
      <c r="I137" s="7">
        <v>5.94</v>
      </c>
    </row>
    <row r="138" spans="1:9" ht="14.25" customHeight="1" x14ac:dyDescent="0.2">
      <c r="A138" s="7">
        <v>137</v>
      </c>
      <c r="B138" s="7">
        <v>28</v>
      </c>
      <c r="C138" s="25">
        <f t="shared" si="0"/>
        <v>40408</v>
      </c>
      <c r="D138" s="26">
        <v>40408</v>
      </c>
      <c r="E138" s="7" t="s">
        <v>159</v>
      </c>
      <c r="F138" s="7" t="s">
        <v>160</v>
      </c>
      <c r="G138" s="7" t="s">
        <v>161</v>
      </c>
      <c r="H138" s="7" t="s">
        <v>4790</v>
      </c>
      <c r="I138" s="7">
        <v>8.91</v>
      </c>
    </row>
    <row r="139" spans="1:9" ht="14.25" customHeight="1" x14ac:dyDescent="0.2">
      <c r="A139" s="7">
        <v>138</v>
      </c>
      <c r="B139" s="7">
        <v>37</v>
      </c>
      <c r="C139" s="25">
        <f t="shared" si="0"/>
        <v>40413</v>
      </c>
      <c r="D139" s="26">
        <v>40413</v>
      </c>
      <c r="E139" s="7" t="s">
        <v>54</v>
      </c>
      <c r="F139" s="7" t="s">
        <v>55</v>
      </c>
      <c r="H139" s="7" t="s">
        <v>40</v>
      </c>
      <c r="I139" s="7">
        <v>13.86</v>
      </c>
    </row>
    <row r="140" spans="1:9" ht="14.25" customHeight="1" x14ac:dyDescent="0.2">
      <c r="A140" s="7">
        <v>139</v>
      </c>
      <c r="B140" s="7">
        <v>51</v>
      </c>
      <c r="C140" s="25">
        <f t="shared" si="0"/>
        <v>40421</v>
      </c>
      <c r="D140" s="26">
        <v>40421</v>
      </c>
      <c r="E140" s="7" t="s">
        <v>127</v>
      </c>
      <c r="F140" s="7" t="s">
        <v>128</v>
      </c>
      <c r="H140" s="7" t="s">
        <v>129</v>
      </c>
      <c r="I140" s="7">
        <v>0.99</v>
      </c>
    </row>
    <row r="141" spans="1:9" ht="14.25" customHeight="1" x14ac:dyDescent="0.2">
      <c r="A141" s="7">
        <v>140</v>
      </c>
      <c r="B141" s="7">
        <v>52</v>
      </c>
      <c r="C141" s="25">
        <f t="shared" si="0"/>
        <v>40434</v>
      </c>
      <c r="D141" s="26">
        <v>40434</v>
      </c>
      <c r="E141" s="7" t="s">
        <v>66</v>
      </c>
      <c r="F141" s="7" t="s">
        <v>67</v>
      </c>
      <c r="H141" s="7" t="s">
        <v>4791</v>
      </c>
      <c r="I141" s="7">
        <v>1.98</v>
      </c>
    </row>
    <row r="142" spans="1:9" ht="14.25" customHeight="1" x14ac:dyDescent="0.2">
      <c r="A142" s="7">
        <v>141</v>
      </c>
      <c r="B142" s="7">
        <v>54</v>
      </c>
      <c r="C142" s="25">
        <f t="shared" si="0"/>
        <v>40434</v>
      </c>
      <c r="D142" s="26">
        <v>40434</v>
      </c>
      <c r="E142" s="7" t="s">
        <v>85</v>
      </c>
      <c r="F142" s="7" t="s">
        <v>86</v>
      </c>
      <c r="H142" s="7" t="s">
        <v>4791</v>
      </c>
      <c r="I142" s="7">
        <v>1.98</v>
      </c>
    </row>
    <row r="143" spans="1:9" ht="14.25" customHeight="1" x14ac:dyDescent="0.2">
      <c r="A143" s="7">
        <v>142</v>
      </c>
      <c r="B143" s="7">
        <v>56</v>
      </c>
      <c r="C143" s="25">
        <f t="shared" si="0"/>
        <v>40435</v>
      </c>
      <c r="D143" s="26">
        <v>40435</v>
      </c>
      <c r="E143" s="7" t="s">
        <v>189</v>
      </c>
      <c r="F143" s="7" t="s">
        <v>190</v>
      </c>
      <c r="H143" s="7" t="s">
        <v>191</v>
      </c>
      <c r="I143" s="7">
        <v>3.96</v>
      </c>
    </row>
    <row r="144" spans="1:9" ht="14.25" customHeight="1" x14ac:dyDescent="0.2">
      <c r="A144" s="7">
        <v>143</v>
      </c>
      <c r="B144" s="7">
        <v>1</v>
      </c>
      <c r="C144" s="25">
        <f t="shared" si="0"/>
        <v>40436</v>
      </c>
      <c r="D144" s="26">
        <v>40436</v>
      </c>
      <c r="E144" s="7" t="s">
        <v>177</v>
      </c>
      <c r="F144" s="7" t="s">
        <v>178</v>
      </c>
      <c r="G144" s="7" t="s">
        <v>99</v>
      </c>
      <c r="H144" s="7" t="s">
        <v>100</v>
      </c>
      <c r="I144" s="7">
        <v>5.94</v>
      </c>
    </row>
    <row r="145" spans="1:9" ht="14.25" customHeight="1" x14ac:dyDescent="0.2">
      <c r="A145" s="7">
        <v>144</v>
      </c>
      <c r="B145" s="7">
        <v>7</v>
      </c>
      <c r="C145" s="25">
        <f t="shared" si="0"/>
        <v>40439</v>
      </c>
      <c r="D145" s="26">
        <v>40439</v>
      </c>
      <c r="E145" s="7" t="s">
        <v>163</v>
      </c>
      <c r="F145" s="7" t="s">
        <v>164</v>
      </c>
      <c r="H145" s="7" t="s">
        <v>165</v>
      </c>
      <c r="I145" s="7">
        <v>8.91</v>
      </c>
    </row>
    <row r="146" spans="1:9" ht="14.25" customHeight="1" x14ac:dyDescent="0.2">
      <c r="A146" s="7">
        <v>145</v>
      </c>
      <c r="B146" s="7">
        <v>16</v>
      </c>
      <c r="C146" s="25">
        <f t="shared" si="0"/>
        <v>40444</v>
      </c>
      <c r="D146" s="26">
        <v>40444</v>
      </c>
      <c r="E146" s="7" t="s">
        <v>68</v>
      </c>
      <c r="F146" s="7" t="s">
        <v>69</v>
      </c>
      <c r="G146" s="7" t="s">
        <v>70</v>
      </c>
      <c r="H146" s="7" t="s">
        <v>4790</v>
      </c>
      <c r="I146" s="7">
        <v>13.86</v>
      </c>
    </row>
    <row r="147" spans="1:9" ht="14.25" customHeight="1" x14ac:dyDescent="0.2">
      <c r="A147" s="7">
        <v>146</v>
      </c>
      <c r="B147" s="7">
        <v>30</v>
      </c>
      <c r="C147" s="25">
        <f t="shared" si="0"/>
        <v>40452</v>
      </c>
      <c r="D147" s="26">
        <v>40452</v>
      </c>
      <c r="E147" s="7" t="s">
        <v>137</v>
      </c>
      <c r="F147" s="7" t="s">
        <v>138</v>
      </c>
      <c r="G147" s="7" t="s">
        <v>136</v>
      </c>
      <c r="H147" s="7" t="s">
        <v>50</v>
      </c>
      <c r="I147" s="7">
        <v>0.99</v>
      </c>
    </row>
    <row r="148" spans="1:9" ht="14.25" customHeight="1" x14ac:dyDescent="0.2">
      <c r="A148" s="7">
        <v>147</v>
      </c>
      <c r="B148" s="7">
        <v>31</v>
      </c>
      <c r="C148" s="25">
        <f t="shared" si="0"/>
        <v>40465</v>
      </c>
      <c r="D148" s="26">
        <v>40465</v>
      </c>
      <c r="E148" s="7" t="s">
        <v>82</v>
      </c>
      <c r="F148" s="7" t="s">
        <v>83</v>
      </c>
      <c r="G148" s="7" t="s">
        <v>84</v>
      </c>
      <c r="H148" s="7" t="s">
        <v>50</v>
      </c>
      <c r="I148" s="7">
        <v>1.98</v>
      </c>
    </row>
    <row r="149" spans="1:9" ht="14.25" customHeight="1" x14ac:dyDescent="0.2">
      <c r="A149" s="7">
        <v>148</v>
      </c>
      <c r="B149" s="7">
        <v>33</v>
      </c>
      <c r="C149" s="25">
        <f t="shared" si="0"/>
        <v>40465</v>
      </c>
      <c r="D149" s="26">
        <v>40465</v>
      </c>
      <c r="E149" s="7" t="s">
        <v>101</v>
      </c>
      <c r="F149" s="7" t="s">
        <v>102</v>
      </c>
      <c r="G149" s="7" t="s">
        <v>103</v>
      </c>
      <c r="H149" s="7" t="s">
        <v>50</v>
      </c>
      <c r="I149" s="7">
        <v>1.98</v>
      </c>
    </row>
    <row r="150" spans="1:9" ht="14.25" customHeight="1" x14ac:dyDescent="0.2">
      <c r="A150" s="7">
        <v>149</v>
      </c>
      <c r="B150" s="7">
        <v>35</v>
      </c>
      <c r="C150" s="25">
        <f t="shared" si="0"/>
        <v>40466</v>
      </c>
      <c r="D150" s="26">
        <v>40466</v>
      </c>
      <c r="E150" s="7" t="s">
        <v>194</v>
      </c>
      <c r="F150" s="7" t="s">
        <v>195</v>
      </c>
      <c r="H150" s="7" t="s">
        <v>106</v>
      </c>
      <c r="I150" s="7">
        <v>3.96</v>
      </c>
    </row>
    <row r="151" spans="1:9" ht="14.25" customHeight="1" x14ac:dyDescent="0.2">
      <c r="A151" s="7">
        <v>150</v>
      </c>
      <c r="B151" s="7">
        <v>39</v>
      </c>
      <c r="C151" s="25">
        <f t="shared" si="0"/>
        <v>40467</v>
      </c>
      <c r="D151" s="26">
        <v>40467</v>
      </c>
      <c r="E151" s="7" t="s">
        <v>182</v>
      </c>
      <c r="F151" s="7" t="s">
        <v>59</v>
      </c>
      <c r="H151" s="7" t="s">
        <v>60</v>
      </c>
      <c r="I151" s="7">
        <v>5.94</v>
      </c>
    </row>
    <row r="152" spans="1:9" ht="14.25" customHeight="1" x14ac:dyDescent="0.2">
      <c r="A152" s="7">
        <v>151</v>
      </c>
      <c r="B152" s="7">
        <v>45</v>
      </c>
      <c r="C152" s="25">
        <f t="shared" si="0"/>
        <v>40470</v>
      </c>
      <c r="D152" s="26">
        <v>40470</v>
      </c>
      <c r="E152" s="7" t="s">
        <v>168</v>
      </c>
      <c r="F152" s="7" t="s">
        <v>169</v>
      </c>
      <c r="H152" s="7" t="s">
        <v>170</v>
      </c>
      <c r="I152" s="7">
        <v>8.91</v>
      </c>
    </row>
    <row r="153" spans="1:9" ht="14.25" customHeight="1" x14ac:dyDescent="0.2">
      <c r="A153" s="7">
        <v>152</v>
      </c>
      <c r="B153" s="7">
        <v>54</v>
      </c>
      <c r="C153" s="25">
        <f t="shared" si="0"/>
        <v>40475</v>
      </c>
      <c r="D153" s="26">
        <v>40475</v>
      </c>
      <c r="E153" s="7" t="s">
        <v>85</v>
      </c>
      <c r="F153" s="7" t="s">
        <v>86</v>
      </c>
      <c r="H153" s="7" t="s">
        <v>4791</v>
      </c>
      <c r="I153" s="7">
        <v>13.86</v>
      </c>
    </row>
    <row r="154" spans="1:9" ht="14.25" customHeight="1" x14ac:dyDescent="0.2">
      <c r="A154" s="7">
        <v>153</v>
      </c>
      <c r="B154" s="7">
        <v>9</v>
      </c>
      <c r="C154" s="25">
        <f t="shared" si="0"/>
        <v>40483</v>
      </c>
      <c r="D154" s="26">
        <v>40483</v>
      </c>
      <c r="E154" s="7" t="s">
        <v>145</v>
      </c>
      <c r="F154" s="7" t="s">
        <v>146</v>
      </c>
      <c r="H154" s="7" t="s">
        <v>147</v>
      </c>
      <c r="I154" s="7">
        <v>0.99</v>
      </c>
    </row>
    <row r="155" spans="1:9" ht="14.25" customHeight="1" x14ac:dyDescent="0.2">
      <c r="A155" s="7">
        <v>154</v>
      </c>
      <c r="B155" s="7">
        <v>10</v>
      </c>
      <c r="C155" s="25">
        <f t="shared" si="0"/>
        <v>40496</v>
      </c>
      <c r="D155" s="26">
        <v>40496</v>
      </c>
      <c r="E155" s="7" t="s">
        <v>97</v>
      </c>
      <c r="F155" s="7" t="s">
        <v>98</v>
      </c>
      <c r="G155" s="7" t="s">
        <v>99</v>
      </c>
      <c r="H155" s="7" t="s">
        <v>100</v>
      </c>
      <c r="I155" s="7">
        <v>1.98</v>
      </c>
    </row>
    <row r="156" spans="1:9" ht="14.25" customHeight="1" x14ac:dyDescent="0.2">
      <c r="A156" s="7">
        <v>155</v>
      </c>
      <c r="B156" s="7">
        <v>12</v>
      </c>
      <c r="C156" s="25">
        <f t="shared" si="0"/>
        <v>40496</v>
      </c>
      <c r="D156" s="26">
        <v>40496</v>
      </c>
      <c r="E156" s="7" t="s">
        <v>112</v>
      </c>
      <c r="F156" s="7" t="s">
        <v>113</v>
      </c>
      <c r="G156" s="7" t="s">
        <v>114</v>
      </c>
      <c r="H156" s="7" t="s">
        <v>100</v>
      </c>
      <c r="I156" s="7">
        <v>1.98</v>
      </c>
    </row>
    <row r="157" spans="1:9" ht="14.25" customHeight="1" x14ac:dyDescent="0.2">
      <c r="A157" s="7">
        <v>156</v>
      </c>
      <c r="B157" s="7">
        <v>14</v>
      </c>
      <c r="C157" s="25">
        <f t="shared" si="0"/>
        <v>40497</v>
      </c>
      <c r="D157" s="26">
        <v>40497</v>
      </c>
      <c r="E157" s="7" t="s">
        <v>47</v>
      </c>
      <c r="F157" s="7" t="s">
        <v>48</v>
      </c>
      <c r="G157" s="7" t="s">
        <v>49</v>
      </c>
      <c r="H157" s="7" t="s">
        <v>50</v>
      </c>
      <c r="I157" s="7">
        <v>3.96</v>
      </c>
    </row>
    <row r="158" spans="1:9" ht="14.25" customHeight="1" x14ac:dyDescent="0.2">
      <c r="A158" s="7">
        <v>157</v>
      </c>
      <c r="B158" s="7">
        <v>18</v>
      </c>
      <c r="C158" s="25">
        <f t="shared" si="0"/>
        <v>40498</v>
      </c>
      <c r="D158" s="26">
        <v>40498</v>
      </c>
      <c r="E158" s="7" t="s">
        <v>185</v>
      </c>
      <c r="F158" s="7" t="s">
        <v>186</v>
      </c>
      <c r="G158" s="7" t="s">
        <v>187</v>
      </c>
      <c r="H158" s="7" t="s">
        <v>4790</v>
      </c>
      <c r="I158" s="7">
        <v>5.94</v>
      </c>
    </row>
    <row r="159" spans="1:9" ht="14.25" customHeight="1" x14ac:dyDescent="0.2">
      <c r="A159" s="7">
        <v>158</v>
      </c>
      <c r="B159" s="7">
        <v>24</v>
      </c>
      <c r="C159" s="25">
        <f t="shared" si="0"/>
        <v>40501</v>
      </c>
      <c r="D159" s="26">
        <v>40501</v>
      </c>
      <c r="E159" s="7" t="s">
        <v>174</v>
      </c>
      <c r="F159" s="7" t="s">
        <v>175</v>
      </c>
      <c r="G159" s="7" t="s">
        <v>176</v>
      </c>
      <c r="H159" s="7" t="s">
        <v>4790</v>
      </c>
      <c r="I159" s="7">
        <v>8.91</v>
      </c>
    </row>
    <row r="160" spans="1:9" ht="14.25" customHeight="1" x14ac:dyDescent="0.2">
      <c r="A160" s="7">
        <v>159</v>
      </c>
      <c r="B160" s="7">
        <v>33</v>
      </c>
      <c r="C160" s="25">
        <f t="shared" si="0"/>
        <v>40506</v>
      </c>
      <c r="D160" s="26">
        <v>40506</v>
      </c>
      <c r="E160" s="7" t="s">
        <v>101</v>
      </c>
      <c r="F160" s="7" t="s">
        <v>102</v>
      </c>
      <c r="G160" s="7" t="s">
        <v>103</v>
      </c>
      <c r="H160" s="7" t="s">
        <v>50</v>
      </c>
      <c r="I160" s="7">
        <v>13.86</v>
      </c>
    </row>
    <row r="161" spans="1:9" ht="14.25" customHeight="1" x14ac:dyDescent="0.2">
      <c r="A161" s="7">
        <v>160</v>
      </c>
      <c r="B161" s="7">
        <v>47</v>
      </c>
      <c r="C161" s="25">
        <f t="shared" si="0"/>
        <v>40514</v>
      </c>
      <c r="D161" s="26">
        <v>40514</v>
      </c>
      <c r="E161" s="7" t="s">
        <v>149</v>
      </c>
      <c r="F161" s="7" t="s">
        <v>150</v>
      </c>
      <c r="G161" s="7" t="s">
        <v>151</v>
      </c>
      <c r="H161" s="7" t="s">
        <v>152</v>
      </c>
      <c r="I161" s="7">
        <v>0.99</v>
      </c>
    </row>
    <row r="162" spans="1:9" ht="14.25" customHeight="1" x14ac:dyDescent="0.2">
      <c r="A162" s="7">
        <v>161</v>
      </c>
      <c r="B162" s="7">
        <v>48</v>
      </c>
      <c r="C162" s="25">
        <f t="shared" si="0"/>
        <v>40527</v>
      </c>
      <c r="D162" s="26">
        <v>40527</v>
      </c>
      <c r="E162" s="7" t="s">
        <v>108</v>
      </c>
      <c r="F162" s="7" t="s">
        <v>109</v>
      </c>
      <c r="G162" s="7" t="s">
        <v>110</v>
      </c>
      <c r="H162" s="7" t="s">
        <v>111</v>
      </c>
      <c r="I162" s="7">
        <v>1.98</v>
      </c>
    </row>
    <row r="163" spans="1:9" ht="14.25" customHeight="1" x14ac:dyDescent="0.2">
      <c r="A163" s="7">
        <v>162</v>
      </c>
      <c r="B163" s="7">
        <v>50</v>
      </c>
      <c r="C163" s="25">
        <f t="shared" si="0"/>
        <v>40527</v>
      </c>
      <c r="D163" s="26">
        <v>40527</v>
      </c>
      <c r="E163" s="7" t="s">
        <v>124</v>
      </c>
      <c r="F163" s="7" t="s">
        <v>125</v>
      </c>
      <c r="H163" s="7" t="s">
        <v>126</v>
      </c>
      <c r="I163" s="7">
        <v>1.98</v>
      </c>
    </row>
    <row r="164" spans="1:9" ht="14.25" customHeight="1" x14ac:dyDescent="0.2">
      <c r="A164" s="7">
        <v>163</v>
      </c>
      <c r="B164" s="7">
        <v>52</v>
      </c>
      <c r="C164" s="25">
        <f t="shared" si="0"/>
        <v>40528</v>
      </c>
      <c r="D164" s="26">
        <v>40528</v>
      </c>
      <c r="E164" s="7" t="s">
        <v>66</v>
      </c>
      <c r="F164" s="7" t="s">
        <v>67</v>
      </c>
      <c r="H164" s="7" t="s">
        <v>4791</v>
      </c>
      <c r="I164" s="7">
        <v>3.96</v>
      </c>
    </row>
    <row r="165" spans="1:9" ht="14.25" customHeight="1" x14ac:dyDescent="0.2">
      <c r="A165" s="7">
        <v>164</v>
      </c>
      <c r="B165" s="7">
        <v>56</v>
      </c>
      <c r="C165" s="25">
        <f t="shared" si="0"/>
        <v>40529</v>
      </c>
      <c r="D165" s="26">
        <v>40529</v>
      </c>
      <c r="E165" s="7" t="s">
        <v>189</v>
      </c>
      <c r="F165" s="7" t="s">
        <v>190</v>
      </c>
      <c r="H165" s="7" t="s">
        <v>191</v>
      </c>
      <c r="I165" s="7">
        <v>5.94</v>
      </c>
    </row>
    <row r="166" spans="1:9" ht="14.25" customHeight="1" x14ac:dyDescent="0.2">
      <c r="A166" s="7">
        <v>165</v>
      </c>
      <c r="B166" s="7">
        <v>3</v>
      </c>
      <c r="C166" s="25">
        <f t="shared" si="0"/>
        <v>40532</v>
      </c>
      <c r="D166" s="26">
        <v>40532</v>
      </c>
      <c r="E166" s="7" t="s">
        <v>179</v>
      </c>
      <c r="F166" s="7" t="s">
        <v>180</v>
      </c>
      <c r="G166" s="7" t="s">
        <v>181</v>
      </c>
      <c r="H166" s="7" t="s">
        <v>50</v>
      </c>
      <c r="I166" s="7">
        <v>8.91</v>
      </c>
    </row>
    <row r="167" spans="1:9" ht="14.25" customHeight="1" x14ac:dyDescent="0.2">
      <c r="A167" s="7">
        <v>166</v>
      </c>
      <c r="B167" s="7">
        <v>12</v>
      </c>
      <c r="C167" s="25">
        <f t="shared" si="0"/>
        <v>40537</v>
      </c>
      <c r="D167" s="26">
        <v>40537</v>
      </c>
      <c r="E167" s="7" t="s">
        <v>112</v>
      </c>
      <c r="F167" s="7" t="s">
        <v>113</v>
      </c>
      <c r="G167" s="7" t="s">
        <v>114</v>
      </c>
      <c r="H167" s="7" t="s">
        <v>100</v>
      </c>
      <c r="I167" s="7">
        <v>13.86</v>
      </c>
    </row>
    <row r="168" spans="1:9" ht="14.25" customHeight="1" x14ac:dyDescent="0.2">
      <c r="A168" s="7">
        <v>167</v>
      </c>
      <c r="B168" s="7">
        <v>26</v>
      </c>
      <c r="C168" s="25">
        <f t="shared" si="0"/>
        <v>40545</v>
      </c>
      <c r="D168" s="26">
        <v>40545</v>
      </c>
      <c r="E168" s="7" t="s">
        <v>156</v>
      </c>
      <c r="F168" s="7" t="s">
        <v>157</v>
      </c>
      <c r="G168" s="7" t="s">
        <v>158</v>
      </c>
      <c r="H168" s="7" t="s">
        <v>4790</v>
      </c>
      <c r="I168" s="7">
        <v>0.99</v>
      </c>
    </row>
    <row r="169" spans="1:9" ht="14.25" customHeight="1" x14ac:dyDescent="0.2">
      <c r="A169" s="7">
        <v>168</v>
      </c>
      <c r="B169" s="7">
        <v>27</v>
      </c>
      <c r="C169" s="25">
        <f t="shared" si="0"/>
        <v>40558</v>
      </c>
      <c r="D169" s="26">
        <v>40558</v>
      </c>
      <c r="E169" s="7" t="s">
        <v>121</v>
      </c>
      <c r="F169" s="7" t="s">
        <v>122</v>
      </c>
      <c r="G169" s="7" t="s">
        <v>123</v>
      </c>
      <c r="H169" s="7" t="s">
        <v>4790</v>
      </c>
      <c r="I169" s="7">
        <v>1.98</v>
      </c>
    </row>
    <row r="170" spans="1:9" ht="14.25" customHeight="1" x14ac:dyDescent="0.2">
      <c r="A170" s="7">
        <v>169</v>
      </c>
      <c r="B170" s="7">
        <v>29</v>
      </c>
      <c r="C170" s="25">
        <f t="shared" si="0"/>
        <v>40558</v>
      </c>
      <c r="D170" s="26">
        <v>40558</v>
      </c>
      <c r="E170" s="7" t="s">
        <v>134</v>
      </c>
      <c r="F170" s="7" t="s">
        <v>135</v>
      </c>
      <c r="G170" s="7" t="s">
        <v>136</v>
      </c>
      <c r="H170" s="7" t="s">
        <v>50</v>
      </c>
      <c r="I170" s="7">
        <v>1.98</v>
      </c>
    </row>
    <row r="171" spans="1:9" ht="14.25" customHeight="1" x14ac:dyDescent="0.2">
      <c r="A171" s="7">
        <v>170</v>
      </c>
      <c r="B171" s="7">
        <v>31</v>
      </c>
      <c r="C171" s="25">
        <f t="shared" si="0"/>
        <v>40559</v>
      </c>
      <c r="D171" s="26">
        <v>40559</v>
      </c>
      <c r="E171" s="7" t="s">
        <v>82</v>
      </c>
      <c r="F171" s="7" t="s">
        <v>83</v>
      </c>
      <c r="G171" s="7" t="s">
        <v>84</v>
      </c>
      <c r="H171" s="7" t="s">
        <v>50</v>
      </c>
      <c r="I171" s="7">
        <v>3.96</v>
      </c>
    </row>
    <row r="172" spans="1:9" ht="14.25" customHeight="1" x14ac:dyDescent="0.2">
      <c r="A172" s="7">
        <v>171</v>
      </c>
      <c r="B172" s="7">
        <v>35</v>
      </c>
      <c r="C172" s="25">
        <f t="shared" si="0"/>
        <v>40560</v>
      </c>
      <c r="D172" s="26">
        <v>40560</v>
      </c>
      <c r="E172" s="7" t="s">
        <v>194</v>
      </c>
      <c r="F172" s="7" t="s">
        <v>195</v>
      </c>
      <c r="H172" s="7" t="s">
        <v>106</v>
      </c>
      <c r="I172" s="7">
        <v>5.94</v>
      </c>
    </row>
    <row r="173" spans="1:9" ht="14.25" customHeight="1" x14ac:dyDescent="0.2">
      <c r="A173" s="7">
        <v>172</v>
      </c>
      <c r="B173" s="7">
        <v>41</v>
      </c>
      <c r="C173" s="25">
        <f t="shared" si="0"/>
        <v>40563</v>
      </c>
      <c r="D173" s="26">
        <v>40563</v>
      </c>
      <c r="E173" s="7" t="s">
        <v>183</v>
      </c>
      <c r="F173" s="7" t="s">
        <v>184</v>
      </c>
      <c r="H173" s="7" t="s">
        <v>60</v>
      </c>
      <c r="I173" s="7">
        <v>8.91</v>
      </c>
    </row>
    <row r="174" spans="1:9" ht="14.25" customHeight="1" x14ac:dyDescent="0.2">
      <c r="A174" s="7">
        <v>173</v>
      </c>
      <c r="B174" s="7">
        <v>50</v>
      </c>
      <c r="C174" s="25">
        <f t="shared" si="0"/>
        <v>40568</v>
      </c>
      <c r="D174" s="26">
        <v>40568</v>
      </c>
      <c r="E174" s="7" t="s">
        <v>124</v>
      </c>
      <c r="F174" s="7" t="s">
        <v>125</v>
      </c>
      <c r="H174" s="7" t="s">
        <v>126</v>
      </c>
      <c r="I174" s="7">
        <v>13.86</v>
      </c>
    </row>
    <row r="175" spans="1:9" ht="14.25" customHeight="1" x14ac:dyDescent="0.2">
      <c r="A175" s="7">
        <v>174</v>
      </c>
      <c r="B175" s="7">
        <v>5</v>
      </c>
      <c r="C175" s="25">
        <f t="shared" si="0"/>
        <v>40576</v>
      </c>
      <c r="D175" s="26">
        <v>40576</v>
      </c>
      <c r="E175" s="7" t="s">
        <v>162</v>
      </c>
      <c r="F175" s="7" t="s">
        <v>132</v>
      </c>
      <c r="H175" s="7" t="s">
        <v>133</v>
      </c>
      <c r="I175" s="7">
        <v>0.99</v>
      </c>
    </row>
    <row r="176" spans="1:9" ht="14.25" customHeight="1" x14ac:dyDescent="0.2">
      <c r="A176" s="7">
        <v>175</v>
      </c>
      <c r="B176" s="7">
        <v>6</v>
      </c>
      <c r="C176" s="25">
        <f t="shared" si="0"/>
        <v>40589</v>
      </c>
      <c r="D176" s="26">
        <v>40589</v>
      </c>
      <c r="E176" s="7" t="s">
        <v>131</v>
      </c>
      <c r="F176" s="7" t="s">
        <v>132</v>
      </c>
      <c r="H176" s="7" t="s">
        <v>133</v>
      </c>
      <c r="I176" s="7">
        <v>1.98</v>
      </c>
    </row>
    <row r="177" spans="1:9" ht="14.25" customHeight="1" x14ac:dyDescent="0.2">
      <c r="A177" s="7">
        <v>176</v>
      </c>
      <c r="B177" s="7">
        <v>8</v>
      </c>
      <c r="C177" s="25">
        <f t="shared" si="0"/>
        <v>40589</v>
      </c>
      <c r="D177" s="26">
        <v>40589</v>
      </c>
      <c r="E177" s="7" t="s">
        <v>44</v>
      </c>
      <c r="F177" s="7" t="s">
        <v>45</v>
      </c>
      <c r="H177" s="7" t="s">
        <v>46</v>
      </c>
      <c r="I177" s="7">
        <v>1.98</v>
      </c>
    </row>
    <row r="178" spans="1:9" ht="14.25" customHeight="1" x14ac:dyDescent="0.2">
      <c r="A178" s="7">
        <v>177</v>
      </c>
      <c r="B178" s="7">
        <v>10</v>
      </c>
      <c r="C178" s="25">
        <f t="shared" si="0"/>
        <v>40590</v>
      </c>
      <c r="D178" s="26">
        <v>40590</v>
      </c>
      <c r="E178" s="7" t="s">
        <v>97</v>
      </c>
      <c r="F178" s="7" t="s">
        <v>98</v>
      </c>
      <c r="G178" s="7" t="s">
        <v>99</v>
      </c>
      <c r="H178" s="7" t="s">
        <v>100</v>
      </c>
      <c r="I178" s="7">
        <v>3.96</v>
      </c>
    </row>
    <row r="179" spans="1:9" ht="14.25" customHeight="1" x14ac:dyDescent="0.2">
      <c r="A179" s="7">
        <v>178</v>
      </c>
      <c r="B179" s="7">
        <v>14</v>
      </c>
      <c r="C179" s="25">
        <f t="shared" si="0"/>
        <v>40591</v>
      </c>
      <c r="D179" s="26">
        <v>40591</v>
      </c>
      <c r="E179" s="7" t="s">
        <v>47</v>
      </c>
      <c r="F179" s="7" t="s">
        <v>48</v>
      </c>
      <c r="G179" s="7" t="s">
        <v>49</v>
      </c>
      <c r="H179" s="7" t="s">
        <v>50</v>
      </c>
      <c r="I179" s="7">
        <v>5.94</v>
      </c>
    </row>
    <row r="180" spans="1:9" ht="14.25" customHeight="1" x14ac:dyDescent="0.2">
      <c r="A180" s="7">
        <v>179</v>
      </c>
      <c r="B180" s="7">
        <v>20</v>
      </c>
      <c r="C180" s="25">
        <f t="shared" si="0"/>
        <v>40594</v>
      </c>
      <c r="D180" s="26">
        <v>40594</v>
      </c>
      <c r="E180" s="7" t="s">
        <v>188</v>
      </c>
      <c r="F180" s="7" t="s">
        <v>69</v>
      </c>
      <c r="G180" s="7" t="s">
        <v>70</v>
      </c>
      <c r="H180" s="7" t="s">
        <v>4790</v>
      </c>
      <c r="I180" s="7">
        <v>8.91</v>
      </c>
    </row>
    <row r="181" spans="1:9" ht="14.25" customHeight="1" x14ac:dyDescent="0.2">
      <c r="A181" s="7">
        <v>180</v>
      </c>
      <c r="B181" s="7">
        <v>29</v>
      </c>
      <c r="C181" s="25">
        <f t="shared" si="0"/>
        <v>40599</v>
      </c>
      <c r="D181" s="26">
        <v>40599</v>
      </c>
      <c r="E181" s="7" t="s">
        <v>134</v>
      </c>
      <c r="F181" s="7" t="s">
        <v>135</v>
      </c>
      <c r="G181" s="7" t="s">
        <v>136</v>
      </c>
      <c r="H181" s="7" t="s">
        <v>50</v>
      </c>
      <c r="I181" s="7">
        <v>13.86</v>
      </c>
    </row>
    <row r="182" spans="1:9" ht="14.25" customHeight="1" x14ac:dyDescent="0.2">
      <c r="A182" s="7">
        <v>181</v>
      </c>
      <c r="B182" s="7">
        <v>43</v>
      </c>
      <c r="C182" s="25">
        <f t="shared" si="0"/>
        <v>40607</v>
      </c>
      <c r="D182" s="26">
        <v>40607</v>
      </c>
      <c r="E182" s="7" t="s">
        <v>166</v>
      </c>
      <c r="F182" s="7" t="s">
        <v>167</v>
      </c>
      <c r="H182" s="7" t="s">
        <v>60</v>
      </c>
      <c r="I182" s="7">
        <v>0.99</v>
      </c>
    </row>
    <row r="183" spans="1:9" ht="14.25" customHeight="1" x14ac:dyDescent="0.2">
      <c r="A183" s="7">
        <v>182</v>
      </c>
      <c r="B183" s="7">
        <v>44</v>
      </c>
      <c r="C183" s="25">
        <f t="shared" si="0"/>
        <v>40620</v>
      </c>
      <c r="D183" s="26">
        <v>40620</v>
      </c>
      <c r="E183" s="7" t="s">
        <v>142</v>
      </c>
      <c r="F183" s="7" t="s">
        <v>143</v>
      </c>
      <c r="H183" s="7" t="s">
        <v>144</v>
      </c>
      <c r="I183" s="7">
        <v>1.98</v>
      </c>
    </row>
    <row r="184" spans="1:9" ht="14.25" customHeight="1" x14ac:dyDescent="0.2">
      <c r="A184" s="7">
        <v>183</v>
      </c>
      <c r="B184" s="7">
        <v>46</v>
      </c>
      <c r="C184" s="25">
        <f t="shared" si="0"/>
        <v>40620</v>
      </c>
      <c r="D184" s="26">
        <v>40620</v>
      </c>
      <c r="E184" s="7" t="s">
        <v>63</v>
      </c>
      <c r="F184" s="7" t="s">
        <v>64</v>
      </c>
      <c r="G184" s="7" t="s">
        <v>64</v>
      </c>
      <c r="H184" s="7" t="s">
        <v>65</v>
      </c>
      <c r="I184" s="7">
        <v>1.98</v>
      </c>
    </row>
    <row r="185" spans="1:9" ht="14.25" customHeight="1" x14ac:dyDescent="0.2">
      <c r="A185" s="7">
        <v>184</v>
      </c>
      <c r="B185" s="7">
        <v>48</v>
      </c>
      <c r="C185" s="25">
        <f t="shared" si="0"/>
        <v>40621</v>
      </c>
      <c r="D185" s="26">
        <v>40621</v>
      </c>
      <c r="E185" s="7" t="s">
        <v>108</v>
      </c>
      <c r="F185" s="7" t="s">
        <v>109</v>
      </c>
      <c r="G185" s="7" t="s">
        <v>110</v>
      </c>
      <c r="H185" s="7" t="s">
        <v>111</v>
      </c>
      <c r="I185" s="7">
        <v>3.96</v>
      </c>
    </row>
    <row r="186" spans="1:9" ht="14.25" customHeight="1" x14ac:dyDescent="0.2">
      <c r="A186" s="7">
        <v>185</v>
      </c>
      <c r="B186" s="7">
        <v>52</v>
      </c>
      <c r="C186" s="25">
        <f t="shared" si="0"/>
        <v>40622</v>
      </c>
      <c r="D186" s="26">
        <v>40622</v>
      </c>
      <c r="E186" s="7" t="s">
        <v>66</v>
      </c>
      <c r="F186" s="7" t="s">
        <v>67</v>
      </c>
      <c r="H186" s="7" t="s">
        <v>4791</v>
      </c>
      <c r="I186" s="7">
        <v>5.94</v>
      </c>
    </row>
    <row r="187" spans="1:9" ht="14.25" customHeight="1" x14ac:dyDescent="0.2">
      <c r="A187" s="7">
        <v>186</v>
      </c>
      <c r="B187" s="7">
        <v>58</v>
      </c>
      <c r="C187" s="25">
        <f t="shared" si="0"/>
        <v>40625</v>
      </c>
      <c r="D187" s="26">
        <v>40625</v>
      </c>
      <c r="E187" s="7" t="s">
        <v>192</v>
      </c>
      <c r="F187" s="7" t="s">
        <v>193</v>
      </c>
      <c r="H187" s="7" t="s">
        <v>96</v>
      </c>
      <c r="I187" s="7">
        <v>8.91</v>
      </c>
    </row>
    <row r="188" spans="1:9" ht="14.25" customHeight="1" x14ac:dyDescent="0.2">
      <c r="A188" s="7">
        <v>187</v>
      </c>
      <c r="B188" s="7">
        <v>8</v>
      </c>
      <c r="C188" s="25">
        <f t="shared" si="0"/>
        <v>40630</v>
      </c>
      <c r="D188" s="26">
        <v>40630</v>
      </c>
      <c r="E188" s="7" t="s">
        <v>44</v>
      </c>
      <c r="F188" s="7" t="s">
        <v>45</v>
      </c>
      <c r="H188" s="7" t="s">
        <v>46</v>
      </c>
      <c r="I188" s="7">
        <v>13.86</v>
      </c>
    </row>
    <row r="189" spans="1:9" ht="14.25" customHeight="1" x14ac:dyDescent="0.2">
      <c r="A189" s="7">
        <v>188</v>
      </c>
      <c r="B189" s="7">
        <v>22</v>
      </c>
      <c r="C189" s="25">
        <f t="shared" si="0"/>
        <v>40638</v>
      </c>
      <c r="D189" s="26">
        <v>40638</v>
      </c>
      <c r="E189" s="7" t="s">
        <v>171</v>
      </c>
      <c r="F189" s="7" t="s">
        <v>172</v>
      </c>
      <c r="G189" s="7" t="s">
        <v>173</v>
      </c>
      <c r="H189" s="7" t="s">
        <v>4790</v>
      </c>
      <c r="I189" s="7">
        <v>0.99</v>
      </c>
    </row>
    <row r="190" spans="1:9" ht="14.25" customHeight="1" x14ac:dyDescent="0.2">
      <c r="A190" s="7">
        <v>189</v>
      </c>
      <c r="B190" s="7">
        <v>23</v>
      </c>
      <c r="C190" s="25">
        <f t="shared" si="0"/>
        <v>40651</v>
      </c>
      <c r="D190" s="26">
        <v>40651</v>
      </c>
      <c r="E190" s="7" t="s">
        <v>51</v>
      </c>
      <c r="F190" s="7" t="s">
        <v>52</v>
      </c>
      <c r="G190" s="7" t="s">
        <v>53</v>
      </c>
      <c r="H190" s="7" t="s">
        <v>4790</v>
      </c>
      <c r="I190" s="7">
        <v>1.98</v>
      </c>
    </row>
    <row r="191" spans="1:9" ht="14.25" customHeight="1" x14ac:dyDescent="0.2">
      <c r="A191" s="7">
        <v>190</v>
      </c>
      <c r="B191" s="7">
        <v>25</v>
      </c>
      <c r="C191" s="25">
        <f t="shared" si="0"/>
        <v>40651</v>
      </c>
      <c r="D191" s="26">
        <v>40651</v>
      </c>
      <c r="E191" s="7" t="s">
        <v>79</v>
      </c>
      <c r="F191" s="7" t="s">
        <v>80</v>
      </c>
      <c r="G191" s="7" t="s">
        <v>81</v>
      </c>
      <c r="H191" s="7" t="s">
        <v>4790</v>
      </c>
      <c r="I191" s="7">
        <v>1.98</v>
      </c>
    </row>
    <row r="192" spans="1:9" ht="14.25" customHeight="1" x14ac:dyDescent="0.2">
      <c r="A192" s="7">
        <v>191</v>
      </c>
      <c r="B192" s="7">
        <v>27</v>
      </c>
      <c r="C192" s="25">
        <f t="shared" si="0"/>
        <v>40652</v>
      </c>
      <c r="D192" s="26">
        <v>40652</v>
      </c>
      <c r="E192" s="7" t="s">
        <v>121</v>
      </c>
      <c r="F192" s="7" t="s">
        <v>122</v>
      </c>
      <c r="G192" s="7" t="s">
        <v>123</v>
      </c>
      <c r="H192" s="7" t="s">
        <v>4790</v>
      </c>
      <c r="I192" s="7">
        <v>3.96</v>
      </c>
    </row>
    <row r="193" spans="1:9" ht="14.25" customHeight="1" x14ac:dyDescent="0.2">
      <c r="A193" s="7">
        <v>192</v>
      </c>
      <c r="B193" s="7">
        <v>31</v>
      </c>
      <c r="C193" s="25">
        <f t="shared" si="0"/>
        <v>40653</v>
      </c>
      <c r="D193" s="26">
        <v>40653</v>
      </c>
      <c r="E193" s="7" t="s">
        <v>82</v>
      </c>
      <c r="F193" s="7" t="s">
        <v>83</v>
      </c>
      <c r="G193" s="7" t="s">
        <v>84</v>
      </c>
      <c r="H193" s="7" t="s">
        <v>50</v>
      </c>
      <c r="I193" s="7">
        <v>5.94</v>
      </c>
    </row>
    <row r="194" spans="1:9" ht="14.25" customHeight="1" x14ac:dyDescent="0.2">
      <c r="A194" s="7">
        <v>193</v>
      </c>
      <c r="B194" s="7">
        <v>37</v>
      </c>
      <c r="C194" s="25">
        <f t="shared" si="0"/>
        <v>40656</v>
      </c>
      <c r="D194" s="26">
        <v>40656</v>
      </c>
      <c r="E194" s="7" t="s">
        <v>54</v>
      </c>
      <c r="F194" s="7" t="s">
        <v>55</v>
      </c>
      <c r="H194" s="7" t="s">
        <v>40</v>
      </c>
      <c r="I194" s="7">
        <v>14.91</v>
      </c>
    </row>
    <row r="195" spans="1:9" ht="14.25" customHeight="1" x14ac:dyDescent="0.2">
      <c r="A195" s="7">
        <v>194</v>
      </c>
      <c r="B195" s="7">
        <v>46</v>
      </c>
      <c r="C195" s="25">
        <f t="shared" si="0"/>
        <v>40661</v>
      </c>
      <c r="D195" s="26">
        <v>40661</v>
      </c>
      <c r="E195" s="7" t="s">
        <v>63</v>
      </c>
      <c r="F195" s="7" t="s">
        <v>64</v>
      </c>
      <c r="G195" s="7" t="s">
        <v>64</v>
      </c>
      <c r="H195" s="7" t="s">
        <v>65</v>
      </c>
      <c r="I195" s="7">
        <v>21.86</v>
      </c>
    </row>
    <row r="196" spans="1:9" ht="14.25" customHeight="1" x14ac:dyDescent="0.2">
      <c r="A196" s="7">
        <v>195</v>
      </c>
      <c r="B196" s="7">
        <v>1</v>
      </c>
      <c r="C196" s="25">
        <f t="shared" si="0"/>
        <v>40669</v>
      </c>
      <c r="D196" s="26">
        <v>40669</v>
      </c>
      <c r="E196" s="7" t="s">
        <v>177</v>
      </c>
      <c r="F196" s="7" t="s">
        <v>178</v>
      </c>
      <c r="G196" s="7" t="s">
        <v>99</v>
      </c>
      <c r="H196" s="7" t="s">
        <v>100</v>
      </c>
      <c r="I196" s="7">
        <v>0.99</v>
      </c>
    </row>
    <row r="197" spans="1:9" ht="14.25" customHeight="1" x14ac:dyDescent="0.2">
      <c r="A197" s="7">
        <v>196</v>
      </c>
      <c r="B197" s="7">
        <v>2</v>
      </c>
      <c r="C197" s="25">
        <f t="shared" si="0"/>
        <v>40682</v>
      </c>
      <c r="D197" s="26">
        <v>40682</v>
      </c>
      <c r="E197" s="7" t="s">
        <v>38</v>
      </c>
      <c r="F197" s="7" t="s">
        <v>39</v>
      </c>
      <c r="H197" s="7" t="s">
        <v>40</v>
      </c>
      <c r="I197" s="7">
        <v>1.98</v>
      </c>
    </row>
    <row r="198" spans="1:9" ht="14.25" customHeight="1" x14ac:dyDescent="0.2">
      <c r="A198" s="7">
        <v>197</v>
      </c>
      <c r="B198" s="7">
        <v>4</v>
      </c>
      <c r="C198" s="25">
        <f t="shared" si="0"/>
        <v>40682</v>
      </c>
      <c r="D198" s="26">
        <v>40682</v>
      </c>
      <c r="E198" s="7" t="s">
        <v>41</v>
      </c>
      <c r="F198" s="7" t="s">
        <v>42</v>
      </c>
      <c r="H198" s="7" t="s">
        <v>43</v>
      </c>
      <c r="I198" s="7">
        <v>1.98</v>
      </c>
    </row>
    <row r="199" spans="1:9" ht="14.25" customHeight="1" x14ac:dyDescent="0.2">
      <c r="A199" s="7">
        <v>198</v>
      </c>
      <c r="B199" s="7">
        <v>6</v>
      </c>
      <c r="C199" s="25">
        <f t="shared" si="0"/>
        <v>40683</v>
      </c>
      <c r="D199" s="26">
        <v>40683</v>
      </c>
      <c r="E199" s="7" t="s">
        <v>131</v>
      </c>
      <c r="F199" s="7" t="s">
        <v>132</v>
      </c>
      <c r="H199" s="7" t="s">
        <v>133</v>
      </c>
      <c r="I199" s="7">
        <v>3.96</v>
      </c>
    </row>
    <row r="200" spans="1:9" ht="14.25" customHeight="1" x14ac:dyDescent="0.2">
      <c r="A200" s="7">
        <v>199</v>
      </c>
      <c r="B200" s="7">
        <v>10</v>
      </c>
      <c r="C200" s="25">
        <f t="shared" si="0"/>
        <v>40684</v>
      </c>
      <c r="D200" s="26">
        <v>40684</v>
      </c>
      <c r="E200" s="7" t="s">
        <v>97</v>
      </c>
      <c r="F200" s="7" t="s">
        <v>98</v>
      </c>
      <c r="G200" s="7" t="s">
        <v>99</v>
      </c>
      <c r="H200" s="7" t="s">
        <v>100</v>
      </c>
      <c r="I200" s="7">
        <v>5.94</v>
      </c>
    </row>
    <row r="201" spans="1:9" ht="14.25" customHeight="1" x14ac:dyDescent="0.2">
      <c r="A201" s="7">
        <v>200</v>
      </c>
      <c r="B201" s="7">
        <v>16</v>
      </c>
      <c r="C201" s="25">
        <f t="shared" si="0"/>
        <v>40687</v>
      </c>
      <c r="D201" s="26">
        <v>40687</v>
      </c>
      <c r="E201" s="7" t="s">
        <v>68</v>
      </c>
      <c r="F201" s="7" t="s">
        <v>69</v>
      </c>
      <c r="G201" s="7" t="s">
        <v>70</v>
      </c>
      <c r="H201" s="7" t="s">
        <v>4790</v>
      </c>
      <c r="I201" s="7">
        <v>8.91</v>
      </c>
    </row>
    <row r="202" spans="1:9" ht="14.25" customHeight="1" x14ac:dyDescent="0.2">
      <c r="A202" s="7">
        <v>201</v>
      </c>
      <c r="B202" s="7">
        <v>25</v>
      </c>
      <c r="C202" s="25">
        <f t="shared" si="0"/>
        <v>40692</v>
      </c>
      <c r="D202" s="26">
        <v>40692</v>
      </c>
      <c r="E202" s="7" t="s">
        <v>79</v>
      </c>
      <c r="F202" s="7" t="s">
        <v>80</v>
      </c>
      <c r="G202" s="7" t="s">
        <v>81</v>
      </c>
      <c r="H202" s="7" t="s">
        <v>4790</v>
      </c>
      <c r="I202" s="7">
        <v>18.86</v>
      </c>
    </row>
    <row r="203" spans="1:9" ht="14.25" customHeight="1" x14ac:dyDescent="0.2">
      <c r="A203" s="7">
        <v>202</v>
      </c>
      <c r="B203" s="7">
        <v>39</v>
      </c>
      <c r="C203" s="25">
        <f t="shared" si="0"/>
        <v>40700</v>
      </c>
      <c r="D203" s="26">
        <v>40700</v>
      </c>
      <c r="E203" s="7" t="s">
        <v>182</v>
      </c>
      <c r="F203" s="7" t="s">
        <v>59</v>
      </c>
      <c r="H203" s="7" t="s">
        <v>60</v>
      </c>
      <c r="I203" s="7">
        <v>1.99</v>
      </c>
    </row>
    <row r="204" spans="1:9" ht="14.25" customHeight="1" x14ac:dyDescent="0.2">
      <c r="A204" s="7">
        <v>203</v>
      </c>
      <c r="B204" s="7">
        <v>40</v>
      </c>
      <c r="C204" s="25">
        <f t="shared" si="0"/>
        <v>40713</v>
      </c>
      <c r="D204" s="26">
        <v>40713</v>
      </c>
      <c r="E204" s="7" t="s">
        <v>58</v>
      </c>
      <c r="F204" s="7" t="s">
        <v>59</v>
      </c>
      <c r="H204" s="7" t="s">
        <v>60</v>
      </c>
      <c r="I204" s="7">
        <v>2.98</v>
      </c>
    </row>
    <row r="205" spans="1:9" ht="14.25" customHeight="1" x14ac:dyDescent="0.2">
      <c r="A205" s="7">
        <v>204</v>
      </c>
      <c r="B205" s="7">
        <v>42</v>
      </c>
      <c r="C205" s="25">
        <f t="shared" si="0"/>
        <v>40713</v>
      </c>
      <c r="D205" s="26">
        <v>40713</v>
      </c>
      <c r="E205" s="7" t="s">
        <v>61</v>
      </c>
      <c r="F205" s="7" t="s">
        <v>62</v>
      </c>
      <c r="H205" s="7" t="s">
        <v>60</v>
      </c>
      <c r="I205" s="7">
        <v>3.98</v>
      </c>
    </row>
    <row r="206" spans="1:9" ht="14.25" customHeight="1" x14ac:dyDescent="0.2">
      <c r="A206" s="7">
        <v>205</v>
      </c>
      <c r="B206" s="7">
        <v>44</v>
      </c>
      <c r="C206" s="25">
        <f t="shared" si="0"/>
        <v>40714</v>
      </c>
      <c r="D206" s="26">
        <v>40714</v>
      </c>
      <c r="E206" s="7" t="s">
        <v>142</v>
      </c>
      <c r="F206" s="7" t="s">
        <v>143</v>
      </c>
      <c r="H206" s="7" t="s">
        <v>144</v>
      </c>
      <c r="I206" s="7">
        <v>7.96</v>
      </c>
    </row>
    <row r="207" spans="1:9" ht="14.25" customHeight="1" x14ac:dyDescent="0.2">
      <c r="A207" s="7">
        <v>206</v>
      </c>
      <c r="B207" s="7">
        <v>48</v>
      </c>
      <c r="C207" s="25">
        <f t="shared" si="0"/>
        <v>40715</v>
      </c>
      <c r="D207" s="26">
        <v>40715</v>
      </c>
      <c r="E207" s="7" t="s">
        <v>108</v>
      </c>
      <c r="F207" s="7" t="s">
        <v>109</v>
      </c>
      <c r="G207" s="7" t="s">
        <v>110</v>
      </c>
      <c r="H207" s="7" t="s">
        <v>111</v>
      </c>
      <c r="I207" s="7">
        <v>8.94</v>
      </c>
    </row>
    <row r="208" spans="1:9" ht="14.25" customHeight="1" x14ac:dyDescent="0.2">
      <c r="A208" s="7">
        <v>207</v>
      </c>
      <c r="B208" s="7">
        <v>54</v>
      </c>
      <c r="C208" s="25">
        <f t="shared" si="0"/>
        <v>40718</v>
      </c>
      <c r="D208" s="26">
        <v>40718</v>
      </c>
      <c r="E208" s="7" t="s">
        <v>85</v>
      </c>
      <c r="F208" s="7" t="s">
        <v>86</v>
      </c>
      <c r="H208" s="7" t="s">
        <v>4791</v>
      </c>
      <c r="I208" s="7">
        <v>8.91</v>
      </c>
    </row>
    <row r="209" spans="1:9" ht="14.25" customHeight="1" x14ac:dyDescent="0.2">
      <c r="A209" s="7">
        <v>208</v>
      </c>
      <c r="B209" s="7">
        <v>4</v>
      </c>
      <c r="C209" s="25">
        <f t="shared" si="0"/>
        <v>40723</v>
      </c>
      <c r="D209" s="26">
        <v>40723</v>
      </c>
      <c r="E209" s="7" t="s">
        <v>41</v>
      </c>
      <c r="F209" s="7" t="s">
        <v>42</v>
      </c>
      <c r="H209" s="7" t="s">
        <v>43</v>
      </c>
      <c r="I209" s="7">
        <v>15.86</v>
      </c>
    </row>
    <row r="210" spans="1:9" ht="14.25" customHeight="1" x14ac:dyDescent="0.2">
      <c r="A210" s="7">
        <v>209</v>
      </c>
      <c r="B210" s="7">
        <v>18</v>
      </c>
      <c r="C210" s="25">
        <f t="shared" si="0"/>
        <v>40731</v>
      </c>
      <c r="D210" s="26">
        <v>40731</v>
      </c>
      <c r="E210" s="7" t="s">
        <v>185</v>
      </c>
      <c r="F210" s="7" t="s">
        <v>186</v>
      </c>
      <c r="G210" s="7" t="s">
        <v>187</v>
      </c>
      <c r="H210" s="7" t="s">
        <v>4790</v>
      </c>
      <c r="I210" s="7">
        <v>0.99</v>
      </c>
    </row>
    <row r="211" spans="1:9" ht="14.25" customHeight="1" x14ac:dyDescent="0.2">
      <c r="A211" s="7">
        <v>210</v>
      </c>
      <c r="B211" s="7">
        <v>19</v>
      </c>
      <c r="C211" s="25">
        <f t="shared" si="0"/>
        <v>40744</v>
      </c>
      <c r="D211" s="26">
        <v>40744</v>
      </c>
      <c r="E211" s="7" t="s">
        <v>74</v>
      </c>
      <c r="F211" s="7" t="s">
        <v>75</v>
      </c>
      <c r="G211" s="7" t="s">
        <v>70</v>
      </c>
      <c r="H211" s="7" t="s">
        <v>4790</v>
      </c>
      <c r="I211" s="7">
        <v>1.98</v>
      </c>
    </row>
    <row r="212" spans="1:9" ht="14.25" customHeight="1" x14ac:dyDescent="0.2">
      <c r="A212" s="7">
        <v>211</v>
      </c>
      <c r="B212" s="7">
        <v>21</v>
      </c>
      <c r="C212" s="25">
        <f t="shared" si="0"/>
        <v>40744</v>
      </c>
      <c r="D212" s="26">
        <v>40744</v>
      </c>
      <c r="E212" s="7" t="s">
        <v>76</v>
      </c>
      <c r="F212" s="7" t="s">
        <v>77</v>
      </c>
      <c r="G212" s="7" t="s">
        <v>78</v>
      </c>
      <c r="H212" s="7" t="s">
        <v>4790</v>
      </c>
      <c r="I212" s="7">
        <v>1.98</v>
      </c>
    </row>
    <row r="213" spans="1:9" ht="14.25" customHeight="1" x14ac:dyDescent="0.2">
      <c r="A213" s="7">
        <v>212</v>
      </c>
      <c r="B213" s="7">
        <v>23</v>
      </c>
      <c r="C213" s="25">
        <f t="shared" si="0"/>
        <v>40745</v>
      </c>
      <c r="D213" s="26">
        <v>40745</v>
      </c>
      <c r="E213" s="7" t="s">
        <v>51</v>
      </c>
      <c r="F213" s="7" t="s">
        <v>52</v>
      </c>
      <c r="G213" s="7" t="s">
        <v>53</v>
      </c>
      <c r="H213" s="7" t="s">
        <v>4790</v>
      </c>
      <c r="I213" s="7">
        <v>3.96</v>
      </c>
    </row>
    <row r="214" spans="1:9" ht="14.25" customHeight="1" x14ac:dyDescent="0.2">
      <c r="A214" s="7">
        <v>213</v>
      </c>
      <c r="B214" s="7">
        <v>27</v>
      </c>
      <c r="C214" s="25">
        <f t="shared" si="0"/>
        <v>40746</v>
      </c>
      <c r="D214" s="26">
        <v>40746</v>
      </c>
      <c r="E214" s="7" t="s">
        <v>121</v>
      </c>
      <c r="F214" s="7" t="s">
        <v>122</v>
      </c>
      <c r="G214" s="7" t="s">
        <v>123</v>
      </c>
      <c r="H214" s="7" t="s">
        <v>4790</v>
      </c>
      <c r="I214" s="7">
        <v>5.94</v>
      </c>
    </row>
    <row r="215" spans="1:9" ht="14.25" customHeight="1" x14ac:dyDescent="0.2">
      <c r="A215" s="7">
        <v>214</v>
      </c>
      <c r="B215" s="7">
        <v>33</v>
      </c>
      <c r="C215" s="25">
        <f t="shared" si="0"/>
        <v>40749</v>
      </c>
      <c r="D215" s="26">
        <v>40749</v>
      </c>
      <c r="E215" s="7" t="s">
        <v>101</v>
      </c>
      <c r="F215" s="7" t="s">
        <v>102</v>
      </c>
      <c r="G215" s="7" t="s">
        <v>103</v>
      </c>
      <c r="H215" s="7" t="s">
        <v>50</v>
      </c>
      <c r="I215" s="7">
        <v>8.91</v>
      </c>
    </row>
    <row r="216" spans="1:9" ht="14.25" customHeight="1" x14ac:dyDescent="0.2">
      <c r="A216" s="7">
        <v>215</v>
      </c>
      <c r="B216" s="7">
        <v>42</v>
      </c>
      <c r="C216" s="25">
        <f t="shared" si="0"/>
        <v>40754</v>
      </c>
      <c r="D216" s="26">
        <v>40754</v>
      </c>
      <c r="E216" s="7" t="s">
        <v>61</v>
      </c>
      <c r="F216" s="7" t="s">
        <v>62</v>
      </c>
      <c r="H216" s="7" t="s">
        <v>60</v>
      </c>
      <c r="I216" s="7">
        <v>13.86</v>
      </c>
    </row>
    <row r="217" spans="1:9" ht="14.25" customHeight="1" x14ac:dyDescent="0.2">
      <c r="A217" s="7">
        <v>216</v>
      </c>
      <c r="B217" s="7">
        <v>56</v>
      </c>
      <c r="C217" s="25">
        <f t="shared" si="0"/>
        <v>40762</v>
      </c>
      <c r="D217" s="26">
        <v>40762</v>
      </c>
      <c r="E217" s="7" t="s">
        <v>189</v>
      </c>
      <c r="F217" s="7" t="s">
        <v>190</v>
      </c>
      <c r="H217" s="7" t="s">
        <v>191</v>
      </c>
      <c r="I217" s="7">
        <v>0.99</v>
      </c>
    </row>
    <row r="218" spans="1:9" ht="14.25" customHeight="1" x14ac:dyDescent="0.2">
      <c r="A218" s="7">
        <v>217</v>
      </c>
      <c r="B218" s="7">
        <v>57</v>
      </c>
      <c r="C218" s="25">
        <f t="shared" si="0"/>
        <v>40775</v>
      </c>
      <c r="D218" s="26">
        <v>40775</v>
      </c>
      <c r="E218" s="7" t="s">
        <v>91</v>
      </c>
      <c r="F218" s="7" t="s">
        <v>92</v>
      </c>
      <c r="H218" s="7" t="s">
        <v>93</v>
      </c>
      <c r="I218" s="7">
        <v>1.98</v>
      </c>
    </row>
    <row r="219" spans="1:9" ht="14.25" customHeight="1" x14ac:dyDescent="0.2">
      <c r="A219" s="7">
        <v>218</v>
      </c>
      <c r="B219" s="7">
        <v>59</v>
      </c>
      <c r="C219" s="25">
        <f t="shared" si="0"/>
        <v>40775</v>
      </c>
      <c r="D219" s="26">
        <v>40775</v>
      </c>
      <c r="E219" s="7" t="s">
        <v>94</v>
      </c>
      <c r="F219" s="7" t="s">
        <v>95</v>
      </c>
      <c r="H219" s="7" t="s">
        <v>96</v>
      </c>
      <c r="I219" s="7">
        <v>1.98</v>
      </c>
    </row>
    <row r="220" spans="1:9" ht="14.25" customHeight="1" x14ac:dyDescent="0.2">
      <c r="A220" s="7">
        <v>219</v>
      </c>
      <c r="B220" s="7">
        <v>2</v>
      </c>
      <c r="C220" s="25">
        <f t="shared" si="0"/>
        <v>40776</v>
      </c>
      <c r="D220" s="26">
        <v>40776</v>
      </c>
      <c r="E220" s="7" t="s">
        <v>38</v>
      </c>
      <c r="F220" s="7" t="s">
        <v>39</v>
      </c>
      <c r="H220" s="7" t="s">
        <v>40</v>
      </c>
      <c r="I220" s="7">
        <v>3.96</v>
      </c>
    </row>
    <row r="221" spans="1:9" ht="14.25" customHeight="1" x14ac:dyDescent="0.2">
      <c r="A221" s="7">
        <v>220</v>
      </c>
      <c r="B221" s="7">
        <v>6</v>
      </c>
      <c r="C221" s="25">
        <f t="shared" si="0"/>
        <v>40777</v>
      </c>
      <c r="D221" s="26">
        <v>40777</v>
      </c>
      <c r="E221" s="7" t="s">
        <v>131</v>
      </c>
      <c r="F221" s="7" t="s">
        <v>132</v>
      </c>
      <c r="H221" s="7" t="s">
        <v>133</v>
      </c>
      <c r="I221" s="7">
        <v>5.94</v>
      </c>
    </row>
    <row r="222" spans="1:9" ht="14.25" customHeight="1" x14ac:dyDescent="0.2">
      <c r="A222" s="7">
        <v>221</v>
      </c>
      <c r="B222" s="7">
        <v>12</v>
      </c>
      <c r="C222" s="25">
        <f t="shared" si="0"/>
        <v>40780</v>
      </c>
      <c r="D222" s="26">
        <v>40780</v>
      </c>
      <c r="E222" s="7" t="s">
        <v>112</v>
      </c>
      <c r="F222" s="7" t="s">
        <v>113</v>
      </c>
      <c r="G222" s="7" t="s">
        <v>114</v>
      </c>
      <c r="H222" s="7" t="s">
        <v>100</v>
      </c>
      <c r="I222" s="7">
        <v>8.91</v>
      </c>
    </row>
    <row r="223" spans="1:9" ht="14.25" customHeight="1" x14ac:dyDescent="0.2">
      <c r="A223" s="7">
        <v>222</v>
      </c>
      <c r="B223" s="7">
        <v>21</v>
      </c>
      <c r="C223" s="25">
        <f t="shared" si="0"/>
        <v>40785</v>
      </c>
      <c r="D223" s="26">
        <v>40785</v>
      </c>
      <c r="E223" s="7" t="s">
        <v>76</v>
      </c>
      <c r="F223" s="7" t="s">
        <v>77</v>
      </c>
      <c r="G223" s="7" t="s">
        <v>78</v>
      </c>
      <c r="H223" s="7" t="s">
        <v>4790</v>
      </c>
      <c r="I223" s="7">
        <v>13.86</v>
      </c>
    </row>
    <row r="224" spans="1:9" ht="14.25" customHeight="1" x14ac:dyDescent="0.2">
      <c r="A224" s="7">
        <v>223</v>
      </c>
      <c r="B224" s="7">
        <v>35</v>
      </c>
      <c r="C224" s="25">
        <f t="shared" si="0"/>
        <v>40793</v>
      </c>
      <c r="D224" s="26">
        <v>40793</v>
      </c>
      <c r="E224" s="7" t="s">
        <v>194</v>
      </c>
      <c r="F224" s="7" t="s">
        <v>195</v>
      </c>
      <c r="H224" s="7" t="s">
        <v>106</v>
      </c>
      <c r="I224" s="7">
        <v>0.99</v>
      </c>
    </row>
    <row r="225" spans="1:9" ht="14.25" customHeight="1" x14ac:dyDescent="0.2">
      <c r="A225" s="7">
        <v>224</v>
      </c>
      <c r="B225" s="7">
        <v>36</v>
      </c>
      <c r="C225" s="25">
        <f t="shared" si="0"/>
        <v>40806</v>
      </c>
      <c r="D225" s="26">
        <v>40806</v>
      </c>
      <c r="E225" s="7" t="s">
        <v>107</v>
      </c>
      <c r="F225" s="7" t="s">
        <v>57</v>
      </c>
      <c r="H225" s="7" t="s">
        <v>40</v>
      </c>
      <c r="I225" s="7">
        <v>1.98</v>
      </c>
    </row>
    <row r="226" spans="1:9" ht="14.25" customHeight="1" x14ac:dyDescent="0.2">
      <c r="A226" s="7">
        <v>225</v>
      </c>
      <c r="B226" s="7">
        <v>38</v>
      </c>
      <c r="C226" s="25">
        <f t="shared" si="0"/>
        <v>40806</v>
      </c>
      <c r="D226" s="26">
        <v>40806</v>
      </c>
      <c r="E226" s="7" t="s">
        <v>56</v>
      </c>
      <c r="F226" s="7" t="s">
        <v>57</v>
      </c>
      <c r="H226" s="7" t="s">
        <v>40</v>
      </c>
      <c r="I226" s="7">
        <v>1.98</v>
      </c>
    </row>
    <row r="227" spans="1:9" ht="14.25" customHeight="1" x14ac:dyDescent="0.2">
      <c r="A227" s="7">
        <v>226</v>
      </c>
      <c r="B227" s="7">
        <v>40</v>
      </c>
      <c r="C227" s="25">
        <f t="shared" si="0"/>
        <v>40807</v>
      </c>
      <c r="D227" s="26">
        <v>40807</v>
      </c>
      <c r="E227" s="7" t="s">
        <v>58</v>
      </c>
      <c r="F227" s="7" t="s">
        <v>59</v>
      </c>
      <c r="H227" s="7" t="s">
        <v>60</v>
      </c>
      <c r="I227" s="7">
        <v>3.96</v>
      </c>
    </row>
    <row r="228" spans="1:9" ht="14.25" customHeight="1" x14ac:dyDescent="0.2">
      <c r="A228" s="7">
        <v>227</v>
      </c>
      <c r="B228" s="7">
        <v>44</v>
      </c>
      <c r="C228" s="25">
        <f t="shared" si="0"/>
        <v>40808</v>
      </c>
      <c r="D228" s="26">
        <v>40808</v>
      </c>
      <c r="E228" s="7" t="s">
        <v>142</v>
      </c>
      <c r="F228" s="7" t="s">
        <v>143</v>
      </c>
      <c r="H228" s="7" t="s">
        <v>144</v>
      </c>
      <c r="I228" s="7">
        <v>5.94</v>
      </c>
    </row>
    <row r="229" spans="1:9" ht="14.25" customHeight="1" x14ac:dyDescent="0.2">
      <c r="A229" s="7">
        <v>228</v>
      </c>
      <c r="B229" s="7">
        <v>50</v>
      </c>
      <c r="C229" s="25">
        <f t="shared" si="0"/>
        <v>40811</v>
      </c>
      <c r="D229" s="26">
        <v>40811</v>
      </c>
      <c r="E229" s="7" t="s">
        <v>124</v>
      </c>
      <c r="F229" s="7" t="s">
        <v>125</v>
      </c>
      <c r="H229" s="7" t="s">
        <v>126</v>
      </c>
      <c r="I229" s="7">
        <v>8.91</v>
      </c>
    </row>
    <row r="230" spans="1:9" ht="14.25" customHeight="1" x14ac:dyDescent="0.2">
      <c r="A230" s="7">
        <v>229</v>
      </c>
      <c r="B230" s="7">
        <v>59</v>
      </c>
      <c r="C230" s="25">
        <f t="shared" si="0"/>
        <v>40816</v>
      </c>
      <c r="D230" s="26">
        <v>40816</v>
      </c>
      <c r="E230" s="7" t="s">
        <v>94</v>
      </c>
      <c r="F230" s="7" t="s">
        <v>95</v>
      </c>
      <c r="H230" s="7" t="s">
        <v>96</v>
      </c>
      <c r="I230" s="7">
        <v>13.86</v>
      </c>
    </row>
    <row r="231" spans="1:9" ht="14.25" customHeight="1" x14ac:dyDescent="0.2">
      <c r="A231" s="7">
        <v>230</v>
      </c>
      <c r="B231" s="7">
        <v>14</v>
      </c>
      <c r="C231" s="25">
        <f t="shared" si="0"/>
        <v>40824</v>
      </c>
      <c r="D231" s="26">
        <v>40824</v>
      </c>
      <c r="E231" s="7" t="s">
        <v>47</v>
      </c>
      <c r="F231" s="7" t="s">
        <v>48</v>
      </c>
      <c r="G231" s="7" t="s">
        <v>49</v>
      </c>
      <c r="H231" s="7" t="s">
        <v>50</v>
      </c>
      <c r="I231" s="7">
        <v>0.99</v>
      </c>
    </row>
    <row r="232" spans="1:9" ht="14.25" customHeight="1" x14ac:dyDescent="0.2">
      <c r="A232" s="7">
        <v>231</v>
      </c>
      <c r="B232" s="7">
        <v>15</v>
      </c>
      <c r="C232" s="25">
        <f t="shared" si="0"/>
        <v>40837</v>
      </c>
      <c r="D232" s="26">
        <v>40837</v>
      </c>
      <c r="E232" s="7" t="s">
        <v>118</v>
      </c>
      <c r="F232" s="7" t="s">
        <v>119</v>
      </c>
      <c r="G232" s="7" t="s">
        <v>120</v>
      </c>
      <c r="H232" s="7" t="s">
        <v>50</v>
      </c>
      <c r="I232" s="7">
        <v>1.98</v>
      </c>
    </row>
    <row r="233" spans="1:9" ht="14.25" customHeight="1" x14ac:dyDescent="0.2">
      <c r="A233" s="7">
        <v>232</v>
      </c>
      <c r="B233" s="7">
        <v>17</v>
      </c>
      <c r="C233" s="25">
        <f t="shared" si="0"/>
        <v>40837</v>
      </c>
      <c r="D233" s="26">
        <v>40837</v>
      </c>
      <c r="E233" s="7" t="s">
        <v>71</v>
      </c>
      <c r="F233" s="7" t="s">
        <v>72</v>
      </c>
      <c r="G233" s="7" t="s">
        <v>73</v>
      </c>
      <c r="H233" s="7" t="s">
        <v>4790</v>
      </c>
      <c r="I233" s="7">
        <v>1.98</v>
      </c>
    </row>
    <row r="234" spans="1:9" ht="14.25" customHeight="1" x14ac:dyDescent="0.2">
      <c r="A234" s="7">
        <v>233</v>
      </c>
      <c r="B234" s="7">
        <v>19</v>
      </c>
      <c r="C234" s="25">
        <f t="shared" si="0"/>
        <v>40838</v>
      </c>
      <c r="D234" s="26">
        <v>40838</v>
      </c>
      <c r="E234" s="7" t="s">
        <v>74</v>
      </c>
      <c r="F234" s="7" t="s">
        <v>75</v>
      </c>
      <c r="G234" s="7" t="s">
        <v>70</v>
      </c>
      <c r="H234" s="7" t="s">
        <v>4790</v>
      </c>
      <c r="I234" s="7">
        <v>3.96</v>
      </c>
    </row>
    <row r="235" spans="1:9" ht="14.25" customHeight="1" x14ac:dyDescent="0.2">
      <c r="A235" s="7">
        <v>234</v>
      </c>
      <c r="B235" s="7">
        <v>23</v>
      </c>
      <c r="C235" s="25">
        <f t="shared" si="0"/>
        <v>40839</v>
      </c>
      <c r="D235" s="26">
        <v>40839</v>
      </c>
      <c r="E235" s="7" t="s">
        <v>51</v>
      </c>
      <c r="F235" s="7" t="s">
        <v>52</v>
      </c>
      <c r="G235" s="7" t="s">
        <v>53</v>
      </c>
      <c r="H235" s="7" t="s">
        <v>4790</v>
      </c>
      <c r="I235" s="7">
        <v>5.94</v>
      </c>
    </row>
    <row r="236" spans="1:9" ht="14.25" customHeight="1" x14ac:dyDescent="0.2">
      <c r="A236" s="7">
        <v>235</v>
      </c>
      <c r="B236" s="7">
        <v>29</v>
      </c>
      <c r="C236" s="25">
        <f t="shared" si="0"/>
        <v>40842</v>
      </c>
      <c r="D236" s="26">
        <v>40842</v>
      </c>
      <c r="E236" s="7" t="s">
        <v>134</v>
      </c>
      <c r="F236" s="7" t="s">
        <v>135</v>
      </c>
      <c r="G236" s="7" t="s">
        <v>136</v>
      </c>
      <c r="H236" s="7" t="s">
        <v>50</v>
      </c>
      <c r="I236" s="7">
        <v>8.91</v>
      </c>
    </row>
    <row r="237" spans="1:9" ht="14.25" customHeight="1" x14ac:dyDescent="0.2">
      <c r="A237" s="7">
        <v>236</v>
      </c>
      <c r="B237" s="7">
        <v>38</v>
      </c>
      <c r="C237" s="25">
        <f t="shared" si="0"/>
        <v>40847</v>
      </c>
      <c r="D237" s="26">
        <v>40847</v>
      </c>
      <c r="E237" s="7" t="s">
        <v>56</v>
      </c>
      <c r="F237" s="7" t="s">
        <v>57</v>
      </c>
      <c r="H237" s="7" t="s">
        <v>40</v>
      </c>
      <c r="I237" s="7">
        <v>13.86</v>
      </c>
    </row>
    <row r="238" spans="1:9" ht="14.25" customHeight="1" x14ac:dyDescent="0.2">
      <c r="A238" s="7">
        <v>237</v>
      </c>
      <c r="B238" s="7">
        <v>52</v>
      </c>
      <c r="C238" s="25">
        <f t="shared" si="0"/>
        <v>40855</v>
      </c>
      <c r="D238" s="26">
        <v>40855</v>
      </c>
      <c r="E238" s="7" t="s">
        <v>66</v>
      </c>
      <c r="F238" s="7" t="s">
        <v>67</v>
      </c>
      <c r="H238" s="7" t="s">
        <v>4791</v>
      </c>
      <c r="I238" s="7">
        <v>0.99</v>
      </c>
    </row>
    <row r="239" spans="1:9" ht="14.25" customHeight="1" x14ac:dyDescent="0.2">
      <c r="A239" s="7">
        <v>238</v>
      </c>
      <c r="B239" s="7">
        <v>53</v>
      </c>
      <c r="C239" s="25">
        <f t="shared" si="0"/>
        <v>40868</v>
      </c>
      <c r="D239" s="26">
        <v>40868</v>
      </c>
      <c r="E239" s="7" t="s">
        <v>130</v>
      </c>
      <c r="F239" s="7" t="s">
        <v>67</v>
      </c>
      <c r="H239" s="7" t="s">
        <v>4791</v>
      </c>
      <c r="I239" s="7">
        <v>1.98</v>
      </c>
    </row>
    <row r="240" spans="1:9" ht="14.25" customHeight="1" x14ac:dyDescent="0.2">
      <c r="A240" s="7">
        <v>239</v>
      </c>
      <c r="B240" s="7">
        <v>55</v>
      </c>
      <c r="C240" s="25">
        <f t="shared" si="0"/>
        <v>40868</v>
      </c>
      <c r="D240" s="26">
        <v>40868</v>
      </c>
      <c r="E240" s="7" t="s">
        <v>87</v>
      </c>
      <c r="F240" s="7" t="s">
        <v>88</v>
      </c>
      <c r="G240" s="7" t="s">
        <v>89</v>
      </c>
      <c r="H240" s="7" t="s">
        <v>90</v>
      </c>
      <c r="I240" s="7">
        <v>1.98</v>
      </c>
    </row>
    <row r="241" spans="1:9" ht="14.25" customHeight="1" x14ac:dyDescent="0.2">
      <c r="A241" s="7">
        <v>240</v>
      </c>
      <c r="B241" s="7">
        <v>57</v>
      </c>
      <c r="C241" s="25">
        <f t="shared" si="0"/>
        <v>40869</v>
      </c>
      <c r="D241" s="26">
        <v>40869</v>
      </c>
      <c r="E241" s="7" t="s">
        <v>91</v>
      </c>
      <c r="F241" s="7" t="s">
        <v>92</v>
      </c>
      <c r="H241" s="7" t="s">
        <v>93</v>
      </c>
      <c r="I241" s="7">
        <v>3.96</v>
      </c>
    </row>
    <row r="242" spans="1:9" ht="14.25" customHeight="1" x14ac:dyDescent="0.2">
      <c r="A242" s="7">
        <v>241</v>
      </c>
      <c r="B242" s="7">
        <v>2</v>
      </c>
      <c r="C242" s="25">
        <f t="shared" si="0"/>
        <v>40870</v>
      </c>
      <c r="D242" s="26">
        <v>40870</v>
      </c>
      <c r="E242" s="7" t="s">
        <v>38</v>
      </c>
      <c r="F242" s="7" t="s">
        <v>39</v>
      </c>
      <c r="H242" s="7" t="s">
        <v>40</v>
      </c>
      <c r="I242" s="7">
        <v>5.94</v>
      </c>
    </row>
    <row r="243" spans="1:9" ht="14.25" customHeight="1" x14ac:dyDescent="0.2">
      <c r="A243" s="7">
        <v>242</v>
      </c>
      <c r="B243" s="7">
        <v>8</v>
      </c>
      <c r="C243" s="25">
        <f t="shared" si="0"/>
        <v>40873</v>
      </c>
      <c r="D243" s="26">
        <v>40873</v>
      </c>
      <c r="E243" s="7" t="s">
        <v>44</v>
      </c>
      <c r="F243" s="7" t="s">
        <v>45</v>
      </c>
      <c r="H243" s="7" t="s">
        <v>46</v>
      </c>
      <c r="I243" s="7">
        <v>8.91</v>
      </c>
    </row>
    <row r="244" spans="1:9" ht="14.25" customHeight="1" x14ac:dyDescent="0.2">
      <c r="A244" s="7">
        <v>243</v>
      </c>
      <c r="B244" s="7">
        <v>17</v>
      </c>
      <c r="C244" s="25">
        <f t="shared" si="0"/>
        <v>40878</v>
      </c>
      <c r="D244" s="26">
        <v>40878</v>
      </c>
      <c r="E244" s="7" t="s">
        <v>71</v>
      </c>
      <c r="F244" s="7" t="s">
        <v>72</v>
      </c>
      <c r="G244" s="7" t="s">
        <v>73</v>
      </c>
      <c r="H244" s="7" t="s">
        <v>4790</v>
      </c>
      <c r="I244" s="7">
        <v>13.86</v>
      </c>
    </row>
    <row r="245" spans="1:9" ht="14.25" customHeight="1" x14ac:dyDescent="0.2">
      <c r="A245" s="7">
        <v>244</v>
      </c>
      <c r="B245" s="7">
        <v>31</v>
      </c>
      <c r="C245" s="25">
        <f t="shared" si="0"/>
        <v>40886</v>
      </c>
      <c r="D245" s="26">
        <v>40886</v>
      </c>
      <c r="E245" s="7" t="s">
        <v>82</v>
      </c>
      <c r="F245" s="7" t="s">
        <v>83</v>
      </c>
      <c r="G245" s="7" t="s">
        <v>84</v>
      </c>
      <c r="H245" s="7" t="s">
        <v>50</v>
      </c>
      <c r="I245" s="7">
        <v>0.99</v>
      </c>
    </row>
    <row r="246" spans="1:9" ht="14.25" customHeight="1" x14ac:dyDescent="0.2">
      <c r="A246" s="7">
        <v>245</v>
      </c>
      <c r="B246" s="7">
        <v>32</v>
      </c>
      <c r="C246" s="25">
        <f t="shared" si="0"/>
        <v>40899</v>
      </c>
      <c r="D246" s="26">
        <v>40899</v>
      </c>
      <c r="E246" s="7" t="s">
        <v>139</v>
      </c>
      <c r="F246" s="7" t="s">
        <v>140</v>
      </c>
      <c r="G246" s="7" t="s">
        <v>141</v>
      </c>
      <c r="H246" s="7" t="s">
        <v>50</v>
      </c>
      <c r="I246" s="7">
        <v>1.98</v>
      </c>
    </row>
    <row r="247" spans="1:9" ht="14.25" customHeight="1" x14ac:dyDescent="0.2">
      <c r="A247" s="7">
        <v>246</v>
      </c>
      <c r="B247" s="7">
        <v>34</v>
      </c>
      <c r="C247" s="25">
        <f t="shared" si="0"/>
        <v>40899</v>
      </c>
      <c r="D247" s="26">
        <v>40899</v>
      </c>
      <c r="E247" s="7" t="s">
        <v>104</v>
      </c>
      <c r="F247" s="7" t="s">
        <v>105</v>
      </c>
      <c r="H247" s="7" t="s">
        <v>106</v>
      </c>
      <c r="I247" s="7">
        <v>1.98</v>
      </c>
    </row>
    <row r="248" spans="1:9" ht="14.25" customHeight="1" x14ac:dyDescent="0.2">
      <c r="A248" s="7">
        <v>247</v>
      </c>
      <c r="B248" s="7">
        <v>36</v>
      </c>
      <c r="C248" s="25">
        <f t="shared" si="0"/>
        <v>40900</v>
      </c>
      <c r="D248" s="26">
        <v>40900</v>
      </c>
      <c r="E248" s="7" t="s">
        <v>107</v>
      </c>
      <c r="F248" s="7" t="s">
        <v>57</v>
      </c>
      <c r="H248" s="7" t="s">
        <v>40</v>
      </c>
      <c r="I248" s="7">
        <v>3.96</v>
      </c>
    </row>
    <row r="249" spans="1:9" ht="14.25" customHeight="1" x14ac:dyDescent="0.2">
      <c r="A249" s="7">
        <v>248</v>
      </c>
      <c r="B249" s="7">
        <v>40</v>
      </c>
      <c r="C249" s="25">
        <f t="shared" si="0"/>
        <v>40901</v>
      </c>
      <c r="D249" s="26">
        <v>40901</v>
      </c>
      <c r="E249" s="7" t="s">
        <v>58</v>
      </c>
      <c r="F249" s="7" t="s">
        <v>59</v>
      </c>
      <c r="H249" s="7" t="s">
        <v>60</v>
      </c>
      <c r="I249" s="7">
        <v>5.94</v>
      </c>
    </row>
    <row r="250" spans="1:9" ht="14.25" customHeight="1" x14ac:dyDescent="0.2">
      <c r="A250" s="7">
        <v>249</v>
      </c>
      <c r="B250" s="7">
        <v>46</v>
      </c>
      <c r="C250" s="25">
        <f t="shared" si="0"/>
        <v>40904</v>
      </c>
      <c r="D250" s="26">
        <v>40904</v>
      </c>
      <c r="E250" s="7" t="s">
        <v>63</v>
      </c>
      <c r="F250" s="7" t="s">
        <v>64</v>
      </c>
      <c r="G250" s="7" t="s">
        <v>64</v>
      </c>
      <c r="H250" s="7" t="s">
        <v>65</v>
      </c>
      <c r="I250" s="7">
        <v>8.91</v>
      </c>
    </row>
    <row r="251" spans="1:9" ht="14.25" customHeight="1" x14ac:dyDescent="0.2">
      <c r="A251" s="7">
        <v>250</v>
      </c>
      <c r="B251" s="7">
        <v>55</v>
      </c>
      <c r="C251" s="25">
        <f t="shared" si="0"/>
        <v>40909</v>
      </c>
      <c r="D251" s="26">
        <v>40909</v>
      </c>
      <c r="E251" s="7" t="s">
        <v>87</v>
      </c>
      <c r="F251" s="7" t="s">
        <v>88</v>
      </c>
      <c r="G251" s="7" t="s">
        <v>89</v>
      </c>
      <c r="H251" s="7" t="s">
        <v>90</v>
      </c>
      <c r="I251" s="7">
        <v>13.86</v>
      </c>
    </row>
    <row r="252" spans="1:9" ht="14.25" customHeight="1" x14ac:dyDescent="0.2">
      <c r="A252" s="7">
        <v>251</v>
      </c>
      <c r="B252" s="7">
        <v>10</v>
      </c>
      <c r="C252" s="25">
        <f t="shared" si="0"/>
        <v>40917</v>
      </c>
      <c r="D252" s="26">
        <v>40917</v>
      </c>
      <c r="E252" s="7" t="s">
        <v>97</v>
      </c>
      <c r="F252" s="7" t="s">
        <v>98</v>
      </c>
      <c r="G252" s="7" t="s">
        <v>99</v>
      </c>
      <c r="H252" s="7" t="s">
        <v>100</v>
      </c>
      <c r="I252" s="7">
        <v>0.99</v>
      </c>
    </row>
    <row r="253" spans="1:9" ht="14.25" customHeight="1" x14ac:dyDescent="0.2">
      <c r="A253" s="7">
        <v>252</v>
      </c>
      <c r="B253" s="7">
        <v>11</v>
      </c>
      <c r="C253" s="25">
        <f t="shared" si="0"/>
        <v>40930</v>
      </c>
      <c r="D253" s="26">
        <v>40930</v>
      </c>
      <c r="E253" s="7" t="s">
        <v>148</v>
      </c>
      <c r="F253" s="7" t="s">
        <v>98</v>
      </c>
      <c r="G253" s="7" t="s">
        <v>99</v>
      </c>
      <c r="H253" s="7" t="s">
        <v>100</v>
      </c>
      <c r="I253" s="7">
        <v>1.98</v>
      </c>
    </row>
    <row r="254" spans="1:9" ht="14.25" customHeight="1" x14ac:dyDescent="0.2">
      <c r="A254" s="7">
        <v>253</v>
      </c>
      <c r="B254" s="7">
        <v>13</v>
      </c>
      <c r="C254" s="25">
        <f t="shared" si="0"/>
        <v>40930</v>
      </c>
      <c r="D254" s="26">
        <v>40930</v>
      </c>
      <c r="E254" s="7" t="s">
        <v>115</v>
      </c>
      <c r="F254" s="7" t="s">
        <v>116</v>
      </c>
      <c r="G254" s="7" t="s">
        <v>117</v>
      </c>
      <c r="H254" s="7" t="s">
        <v>100</v>
      </c>
      <c r="I254" s="7">
        <v>1.98</v>
      </c>
    </row>
    <row r="255" spans="1:9" ht="14.25" customHeight="1" x14ac:dyDescent="0.2">
      <c r="A255" s="7">
        <v>254</v>
      </c>
      <c r="B255" s="7">
        <v>15</v>
      </c>
      <c r="C255" s="25">
        <f t="shared" si="0"/>
        <v>40931</v>
      </c>
      <c r="D255" s="26">
        <v>40931</v>
      </c>
      <c r="E255" s="7" t="s">
        <v>118</v>
      </c>
      <c r="F255" s="7" t="s">
        <v>119</v>
      </c>
      <c r="G255" s="7" t="s">
        <v>120</v>
      </c>
      <c r="H255" s="7" t="s">
        <v>50</v>
      </c>
      <c r="I255" s="7">
        <v>3.96</v>
      </c>
    </row>
    <row r="256" spans="1:9" ht="14.25" customHeight="1" x14ac:dyDescent="0.2">
      <c r="A256" s="7">
        <v>255</v>
      </c>
      <c r="B256" s="7">
        <v>19</v>
      </c>
      <c r="C256" s="25">
        <f t="shared" si="0"/>
        <v>40932</v>
      </c>
      <c r="D256" s="26">
        <v>40932</v>
      </c>
      <c r="E256" s="7" t="s">
        <v>74</v>
      </c>
      <c r="F256" s="7" t="s">
        <v>75</v>
      </c>
      <c r="G256" s="7" t="s">
        <v>70</v>
      </c>
      <c r="H256" s="7" t="s">
        <v>4790</v>
      </c>
      <c r="I256" s="7">
        <v>5.94</v>
      </c>
    </row>
    <row r="257" spans="1:9" ht="14.25" customHeight="1" x14ac:dyDescent="0.2">
      <c r="A257" s="7">
        <v>256</v>
      </c>
      <c r="B257" s="7">
        <v>25</v>
      </c>
      <c r="C257" s="25">
        <f t="shared" ref="C257:C413" si="1">D257</f>
        <v>40935</v>
      </c>
      <c r="D257" s="26">
        <v>40935</v>
      </c>
      <c r="E257" s="7" t="s">
        <v>79</v>
      </c>
      <c r="F257" s="7" t="s">
        <v>80</v>
      </c>
      <c r="G257" s="7" t="s">
        <v>81</v>
      </c>
      <c r="H257" s="7" t="s">
        <v>4790</v>
      </c>
      <c r="I257" s="7">
        <v>8.91</v>
      </c>
    </row>
    <row r="258" spans="1:9" ht="14.25" customHeight="1" x14ac:dyDescent="0.2">
      <c r="A258" s="7">
        <v>257</v>
      </c>
      <c r="B258" s="7">
        <v>34</v>
      </c>
      <c r="C258" s="25">
        <f t="shared" si="1"/>
        <v>40940</v>
      </c>
      <c r="D258" s="26">
        <v>40940</v>
      </c>
      <c r="E258" s="7" t="s">
        <v>104</v>
      </c>
      <c r="F258" s="7" t="s">
        <v>105</v>
      </c>
      <c r="H258" s="7" t="s">
        <v>106</v>
      </c>
      <c r="I258" s="7">
        <v>13.86</v>
      </c>
    </row>
    <row r="259" spans="1:9" ht="14.25" customHeight="1" x14ac:dyDescent="0.2">
      <c r="A259" s="7">
        <v>258</v>
      </c>
      <c r="B259" s="7">
        <v>48</v>
      </c>
      <c r="C259" s="25">
        <f t="shared" si="1"/>
        <v>40948</v>
      </c>
      <c r="D259" s="26">
        <v>40948</v>
      </c>
      <c r="E259" s="7" t="s">
        <v>108</v>
      </c>
      <c r="F259" s="7" t="s">
        <v>109</v>
      </c>
      <c r="G259" s="7" t="s">
        <v>110</v>
      </c>
      <c r="H259" s="7" t="s">
        <v>111</v>
      </c>
      <c r="I259" s="7">
        <v>0.99</v>
      </c>
    </row>
    <row r="260" spans="1:9" ht="14.25" customHeight="1" x14ac:dyDescent="0.2">
      <c r="A260" s="7">
        <v>259</v>
      </c>
      <c r="B260" s="7">
        <v>49</v>
      </c>
      <c r="C260" s="25">
        <f t="shared" si="1"/>
        <v>40961</v>
      </c>
      <c r="D260" s="26">
        <v>40961</v>
      </c>
      <c r="E260" s="7" t="s">
        <v>153</v>
      </c>
      <c r="F260" s="7" t="s">
        <v>154</v>
      </c>
      <c r="H260" s="7" t="s">
        <v>155</v>
      </c>
      <c r="I260" s="7">
        <v>1.98</v>
      </c>
    </row>
    <row r="261" spans="1:9" ht="14.25" customHeight="1" x14ac:dyDescent="0.2">
      <c r="A261" s="7">
        <v>260</v>
      </c>
      <c r="B261" s="7">
        <v>51</v>
      </c>
      <c r="C261" s="25">
        <f t="shared" si="1"/>
        <v>40961</v>
      </c>
      <c r="D261" s="26">
        <v>40961</v>
      </c>
      <c r="E261" s="7" t="s">
        <v>127</v>
      </c>
      <c r="F261" s="7" t="s">
        <v>128</v>
      </c>
      <c r="H261" s="7" t="s">
        <v>129</v>
      </c>
      <c r="I261" s="7">
        <v>1.98</v>
      </c>
    </row>
    <row r="262" spans="1:9" ht="14.25" customHeight="1" x14ac:dyDescent="0.2">
      <c r="A262" s="7">
        <v>261</v>
      </c>
      <c r="B262" s="7">
        <v>53</v>
      </c>
      <c r="C262" s="25">
        <f t="shared" si="1"/>
        <v>40962</v>
      </c>
      <c r="D262" s="26">
        <v>40962</v>
      </c>
      <c r="E262" s="7" t="s">
        <v>130</v>
      </c>
      <c r="F262" s="7" t="s">
        <v>67</v>
      </c>
      <c r="H262" s="7" t="s">
        <v>4791</v>
      </c>
      <c r="I262" s="7">
        <v>3.96</v>
      </c>
    </row>
    <row r="263" spans="1:9" ht="14.25" customHeight="1" x14ac:dyDescent="0.2">
      <c r="A263" s="7">
        <v>262</v>
      </c>
      <c r="B263" s="7">
        <v>57</v>
      </c>
      <c r="C263" s="25">
        <f t="shared" si="1"/>
        <v>40963</v>
      </c>
      <c r="D263" s="26">
        <v>40963</v>
      </c>
      <c r="E263" s="7" t="s">
        <v>91</v>
      </c>
      <c r="F263" s="7" t="s">
        <v>92</v>
      </c>
      <c r="H263" s="7" t="s">
        <v>93</v>
      </c>
      <c r="I263" s="7">
        <v>5.94</v>
      </c>
    </row>
    <row r="264" spans="1:9" ht="14.25" customHeight="1" x14ac:dyDescent="0.2">
      <c r="A264" s="7">
        <v>263</v>
      </c>
      <c r="B264" s="7">
        <v>4</v>
      </c>
      <c r="C264" s="25">
        <f t="shared" si="1"/>
        <v>40966</v>
      </c>
      <c r="D264" s="26">
        <v>40966</v>
      </c>
      <c r="E264" s="7" t="s">
        <v>41</v>
      </c>
      <c r="F264" s="7" t="s">
        <v>42</v>
      </c>
      <c r="H264" s="7" t="s">
        <v>43</v>
      </c>
      <c r="I264" s="7">
        <v>8.91</v>
      </c>
    </row>
    <row r="265" spans="1:9" ht="14.25" customHeight="1" x14ac:dyDescent="0.2">
      <c r="A265" s="7">
        <v>264</v>
      </c>
      <c r="B265" s="7">
        <v>13</v>
      </c>
      <c r="C265" s="25">
        <f t="shared" si="1"/>
        <v>40971</v>
      </c>
      <c r="D265" s="26">
        <v>40971</v>
      </c>
      <c r="E265" s="7" t="s">
        <v>115</v>
      </c>
      <c r="F265" s="7" t="s">
        <v>116</v>
      </c>
      <c r="G265" s="7" t="s">
        <v>117</v>
      </c>
      <c r="H265" s="7" t="s">
        <v>100</v>
      </c>
      <c r="I265" s="7">
        <v>13.86</v>
      </c>
    </row>
    <row r="266" spans="1:9" ht="14.25" customHeight="1" x14ac:dyDescent="0.2">
      <c r="A266" s="7">
        <v>265</v>
      </c>
      <c r="B266" s="7">
        <v>27</v>
      </c>
      <c r="C266" s="25">
        <f t="shared" si="1"/>
        <v>40979</v>
      </c>
      <c r="D266" s="26">
        <v>40979</v>
      </c>
      <c r="E266" s="7" t="s">
        <v>121</v>
      </c>
      <c r="F266" s="7" t="s">
        <v>122</v>
      </c>
      <c r="G266" s="7" t="s">
        <v>123</v>
      </c>
      <c r="H266" s="7" t="s">
        <v>4790</v>
      </c>
      <c r="I266" s="7">
        <v>0.99</v>
      </c>
    </row>
    <row r="267" spans="1:9" ht="14.25" customHeight="1" x14ac:dyDescent="0.2">
      <c r="A267" s="7">
        <v>266</v>
      </c>
      <c r="B267" s="7">
        <v>28</v>
      </c>
      <c r="C267" s="25">
        <f t="shared" si="1"/>
        <v>40992</v>
      </c>
      <c r="D267" s="26">
        <v>40992</v>
      </c>
      <c r="E267" s="7" t="s">
        <v>159</v>
      </c>
      <c r="F267" s="7" t="s">
        <v>160</v>
      </c>
      <c r="G267" s="7" t="s">
        <v>161</v>
      </c>
      <c r="H267" s="7" t="s">
        <v>4790</v>
      </c>
      <c r="I267" s="7">
        <v>1.98</v>
      </c>
    </row>
    <row r="268" spans="1:9" ht="14.25" customHeight="1" x14ac:dyDescent="0.2">
      <c r="A268" s="7">
        <v>267</v>
      </c>
      <c r="B268" s="7">
        <v>30</v>
      </c>
      <c r="C268" s="25">
        <f t="shared" si="1"/>
        <v>40992</v>
      </c>
      <c r="D268" s="26">
        <v>40992</v>
      </c>
      <c r="E268" s="7" t="s">
        <v>137</v>
      </c>
      <c r="F268" s="7" t="s">
        <v>138</v>
      </c>
      <c r="G268" s="7" t="s">
        <v>136</v>
      </c>
      <c r="H268" s="7" t="s">
        <v>50</v>
      </c>
      <c r="I268" s="7">
        <v>1.98</v>
      </c>
    </row>
    <row r="269" spans="1:9" ht="14.25" customHeight="1" x14ac:dyDescent="0.2">
      <c r="A269" s="7">
        <v>268</v>
      </c>
      <c r="B269" s="7">
        <v>32</v>
      </c>
      <c r="C269" s="25">
        <f t="shared" si="1"/>
        <v>40993</v>
      </c>
      <c r="D269" s="26">
        <v>40993</v>
      </c>
      <c r="E269" s="7" t="s">
        <v>139</v>
      </c>
      <c r="F269" s="7" t="s">
        <v>140</v>
      </c>
      <c r="G269" s="7" t="s">
        <v>141</v>
      </c>
      <c r="H269" s="7" t="s">
        <v>50</v>
      </c>
      <c r="I269" s="7">
        <v>3.96</v>
      </c>
    </row>
    <row r="270" spans="1:9" ht="14.25" customHeight="1" x14ac:dyDescent="0.2">
      <c r="A270" s="7">
        <v>269</v>
      </c>
      <c r="B270" s="7">
        <v>36</v>
      </c>
      <c r="C270" s="25">
        <f t="shared" si="1"/>
        <v>40994</v>
      </c>
      <c r="D270" s="26">
        <v>40994</v>
      </c>
      <c r="E270" s="7" t="s">
        <v>107</v>
      </c>
      <c r="F270" s="7" t="s">
        <v>57</v>
      </c>
      <c r="H270" s="7" t="s">
        <v>40</v>
      </c>
      <c r="I270" s="7">
        <v>5.94</v>
      </c>
    </row>
    <row r="271" spans="1:9" ht="14.25" customHeight="1" x14ac:dyDescent="0.2">
      <c r="A271" s="7">
        <v>270</v>
      </c>
      <c r="B271" s="7">
        <v>42</v>
      </c>
      <c r="C271" s="25">
        <f t="shared" si="1"/>
        <v>40997</v>
      </c>
      <c r="D271" s="26">
        <v>40997</v>
      </c>
      <c r="E271" s="7" t="s">
        <v>61</v>
      </c>
      <c r="F271" s="7" t="s">
        <v>62</v>
      </c>
      <c r="H271" s="7" t="s">
        <v>60</v>
      </c>
      <c r="I271" s="7">
        <v>8.91</v>
      </c>
    </row>
    <row r="272" spans="1:9" ht="14.25" customHeight="1" x14ac:dyDescent="0.2">
      <c r="A272" s="7">
        <v>271</v>
      </c>
      <c r="B272" s="7">
        <v>51</v>
      </c>
      <c r="C272" s="25">
        <f t="shared" si="1"/>
        <v>41002</v>
      </c>
      <c r="D272" s="26">
        <v>41002</v>
      </c>
      <c r="E272" s="7" t="s">
        <v>127</v>
      </c>
      <c r="F272" s="7" t="s">
        <v>128</v>
      </c>
      <c r="H272" s="7" t="s">
        <v>129</v>
      </c>
      <c r="I272" s="7">
        <v>13.86</v>
      </c>
    </row>
    <row r="273" spans="1:9" ht="14.25" customHeight="1" x14ac:dyDescent="0.2">
      <c r="A273" s="7">
        <v>272</v>
      </c>
      <c r="B273" s="7">
        <v>6</v>
      </c>
      <c r="C273" s="25">
        <f t="shared" si="1"/>
        <v>41010</v>
      </c>
      <c r="D273" s="26">
        <v>41010</v>
      </c>
      <c r="E273" s="7" t="s">
        <v>131</v>
      </c>
      <c r="F273" s="7" t="s">
        <v>132</v>
      </c>
      <c r="H273" s="7" t="s">
        <v>133</v>
      </c>
      <c r="I273" s="7">
        <v>0.99</v>
      </c>
    </row>
    <row r="274" spans="1:9" ht="14.25" customHeight="1" x14ac:dyDescent="0.2">
      <c r="A274" s="7">
        <v>273</v>
      </c>
      <c r="B274" s="7">
        <v>7</v>
      </c>
      <c r="C274" s="25">
        <f t="shared" si="1"/>
        <v>41023</v>
      </c>
      <c r="D274" s="26">
        <v>41023</v>
      </c>
      <c r="E274" s="7" t="s">
        <v>163</v>
      </c>
      <c r="F274" s="7" t="s">
        <v>164</v>
      </c>
      <c r="H274" s="7" t="s">
        <v>165</v>
      </c>
      <c r="I274" s="7">
        <v>1.98</v>
      </c>
    </row>
    <row r="275" spans="1:9" ht="14.25" customHeight="1" x14ac:dyDescent="0.2">
      <c r="A275" s="7">
        <v>274</v>
      </c>
      <c r="B275" s="7">
        <v>9</v>
      </c>
      <c r="C275" s="25">
        <f t="shared" si="1"/>
        <v>41023</v>
      </c>
      <c r="D275" s="26">
        <v>41023</v>
      </c>
      <c r="E275" s="7" t="s">
        <v>145</v>
      </c>
      <c r="F275" s="7" t="s">
        <v>146</v>
      </c>
      <c r="H275" s="7" t="s">
        <v>147</v>
      </c>
      <c r="I275" s="7">
        <v>1.98</v>
      </c>
    </row>
    <row r="276" spans="1:9" ht="14.25" customHeight="1" x14ac:dyDescent="0.2">
      <c r="A276" s="7">
        <v>275</v>
      </c>
      <c r="B276" s="7">
        <v>11</v>
      </c>
      <c r="C276" s="25">
        <f t="shared" si="1"/>
        <v>41024</v>
      </c>
      <c r="D276" s="26">
        <v>41024</v>
      </c>
      <c r="E276" s="7" t="s">
        <v>148</v>
      </c>
      <c r="F276" s="7" t="s">
        <v>98</v>
      </c>
      <c r="G276" s="7" t="s">
        <v>99</v>
      </c>
      <c r="H276" s="7" t="s">
        <v>100</v>
      </c>
      <c r="I276" s="7">
        <v>3.96</v>
      </c>
    </row>
    <row r="277" spans="1:9" ht="14.25" customHeight="1" x14ac:dyDescent="0.2">
      <c r="A277" s="7">
        <v>276</v>
      </c>
      <c r="B277" s="7">
        <v>15</v>
      </c>
      <c r="C277" s="25">
        <f t="shared" si="1"/>
        <v>41025</v>
      </c>
      <c r="D277" s="26">
        <v>41025</v>
      </c>
      <c r="E277" s="7" t="s">
        <v>118</v>
      </c>
      <c r="F277" s="7" t="s">
        <v>119</v>
      </c>
      <c r="G277" s="7" t="s">
        <v>120</v>
      </c>
      <c r="H277" s="7" t="s">
        <v>50</v>
      </c>
      <c r="I277" s="7">
        <v>5.94</v>
      </c>
    </row>
    <row r="278" spans="1:9" ht="14.25" customHeight="1" x14ac:dyDescent="0.2">
      <c r="A278" s="7">
        <v>277</v>
      </c>
      <c r="B278" s="7">
        <v>21</v>
      </c>
      <c r="C278" s="25">
        <f t="shared" si="1"/>
        <v>41028</v>
      </c>
      <c r="D278" s="26">
        <v>41028</v>
      </c>
      <c r="E278" s="7" t="s">
        <v>76</v>
      </c>
      <c r="F278" s="7" t="s">
        <v>77</v>
      </c>
      <c r="G278" s="7" t="s">
        <v>78</v>
      </c>
      <c r="H278" s="7" t="s">
        <v>4790</v>
      </c>
      <c r="I278" s="7">
        <v>8.91</v>
      </c>
    </row>
    <row r="279" spans="1:9" ht="14.25" customHeight="1" x14ac:dyDescent="0.2">
      <c r="A279" s="7">
        <v>278</v>
      </c>
      <c r="B279" s="7">
        <v>30</v>
      </c>
      <c r="C279" s="25">
        <f t="shared" si="1"/>
        <v>41033</v>
      </c>
      <c r="D279" s="26">
        <v>41033</v>
      </c>
      <c r="E279" s="7" t="s">
        <v>137</v>
      </c>
      <c r="F279" s="7" t="s">
        <v>138</v>
      </c>
      <c r="G279" s="7" t="s">
        <v>136</v>
      </c>
      <c r="H279" s="7" t="s">
        <v>50</v>
      </c>
      <c r="I279" s="7">
        <v>13.86</v>
      </c>
    </row>
    <row r="280" spans="1:9" ht="14.25" customHeight="1" x14ac:dyDescent="0.2">
      <c r="A280" s="7">
        <v>279</v>
      </c>
      <c r="B280" s="7">
        <v>44</v>
      </c>
      <c r="C280" s="25">
        <f t="shared" si="1"/>
        <v>41041</v>
      </c>
      <c r="D280" s="26">
        <v>41041</v>
      </c>
      <c r="E280" s="7" t="s">
        <v>142</v>
      </c>
      <c r="F280" s="7" t="s">
        <v>143</v>
      </c>
      <c r="H280" s="7" t="s">
        <v>144</v>
      </c>
      <c r="I280" s="7">
        <v>0.99</v>
      </c>
    </row>
    <row r="281" spans="1:9" ht="14.25" customHeight="1" x14ac:dyDescent="0.2">
      <c r="A281" s="7">
        <v>280</v>
      </c>
      <c r="B281" s="7">
        <v>45</v>
      </c>
      <c r="C281" s="25">
        <f t="shared" si="1"/>
        <v>41054</v>
      </c>
      <c r="D281" s="26">
        <v>41054</v>
      </c>
      <c r="E281" s="7" t="s">
        <v>168</v>
      </c>
      <c r="F281" s="7" t="s">
        <v>169</v>
      </c>
      <c r="H281" s="7" t="s">
        <v>170</v>
      </c>
      <c r="I281" s="7">
        <v>1.98</v>
      </c>
    </row>
    <row r="282" spans="1:9" ht="14.25" customHeight="1" x14ac:dyDescent="0.2">
      <c r="A282" s="7">
        <v>281</v>
      </c>
      <c r="B282" s="7">
        <v>47</v>
      </c>
      <c r="C282" s="25">
        <f t="shared" si="1"/>
        <v>41054</v>
      </c>
      <c r="D282" s="26">
        <v>41054</v>
      </c>
      <c r="E282" s="7" t="s">
        <v>149</v>
      </c>
      <c r="F282" s="7" t="s">
        <v>150</v>
      </c>
      <c r="G282" s="7" t="s">
        <v>151</v>
      </c>
      <c r="H282" s="7" t="s">
        <v>152</v>
      </c>
      <c r="I282" s="7">
        <v>1.98</v>
      </c>
    </row>
    <row r="283" spans="1:9" ht="14.25" customHeight="1" x14ac:dyDescent="0.2">
      <c r="A283" s="7">
        <v>282</v>
      </c>
      <c r="B283" s="7">
        <v>49</v>
      </c>
      <c r="C283" s="25">
        <f t="shared" si="1"/>
        <v>41055</v>
      </c>
      <c r="D283" s="26">
        <v>41055</v>
      </c>
      <c r="E283" s="7" t="s">
        <v>153</v>
      </c>
      <c r="F283" s="7" t="s">
        <v>154</v>
      </c>
      <c r="H283" s="7" t="s">
        <v>155</v>
      </c>
      <c r="I283" s="7">
        <v>3.96</v>
      </c>
    </row>
    <row r="284" spans="1:9" ht="14.25" customHeight="1" x14ac:dyDescent="0.2">
      <c r="A284" s="7">
        <v>283</v>
      </c>
      <c r="B284" s="7">
        <v>53</v>
      </c>
      <c r="C284" s="25">
        <f t="shared" si="1"/>
        <v>41056</v>
      </c>
      <c r="D284" s="26">
        <v>41056</v>
      </c>
      <c r="E284" s="7" t="s">
        <v>130</v>
      </c>
      <c r="F284" s="7" t="s">
        <v>67</v>
      </c>
      <c r="H284" s="7" t="s">
        <v>4791</v>
      </c>
      <c r="I284" s="7">
        <v>5.94</v>
      </c>
    </row>
    <row r="285" spans="1:9" ht="14.25" customHeight="1" x14ac:dyDescent="0.2">
      <c r="A285" s="7">
        <v>284</v>
      </c>
      <c r="B285" s="7">
        <v>59</v>
      </c>
      <c r="C285" s="25">
        <f t="shared" si="1"/>
        <v>41059</v>
      </c>
      <c r="D285" s="26">
        <v>41059</v>
      </c>
      <c r="E285" s="7" t="s">
        <v>94</v>
      </c>
      <c r="F285" s="7" t="s">
        <v>95</v>
      </c>
      <c r="H285" s="7" t="s">
        <v>96</v>
      </c>
      <c r="I285" s="7">
        <v>8.91</v>
      </c>
    </row>
    <row r="286" spans="1:9" ht="14.25" customHeight="1" x14ac:dyDescent="0.2">
      <c r="A286" s="7">
        <v>285</v>
      </c>
      <c r="B286" s="7">
        <v>9</v>
      </c>
      <c r="C286" s="25">
        <f t="shared" si="1"/>
        <v>41064</v>
      </c>
      <c r="D286" s="26">
        <v>41064</v>
      </c>
      <c r="E286" s="7" t="s">
        <v>145</v>
      </c>
      <c r="F286" s="7" t="s">
        <v>146</v>
      </c>
      <c r="H286" s="7" t="s">
        <v>147</v>
      </c>
      <c r="I286" s="7">
        <v>13.86</v>
      </c>
    </row>
    <row r="287" spans="1:9" ht="14.25" customHeight="1" x14ac:dyDescent="0.2">
      <c r="A287" s="7">
        <v>286</v>
      </c>
      <c r="B287" s="7">
        <v>23</v>
      </c>
      <c r="C287" s="25">
        <f t="shared" si="1"/>
        <v>41072</v>
      </c>
      <c r="D287" s="26">
        <v>41072</v>
      </c>
      <c r="E287" s="7" t="s">
        <v>51</v>
      </c>
      <c r="F287" s="7" t="s">
        <v>52</v>
      </c>
      <c r="G287" s="7" t="s">
        <v>53</v>
      </c>
      <c r="H287" s="7" t="s">
        <v>4790</v>
      </c>
      <c r="I287" s="7">
        <v>0.99</v>
      </c>
    </row>
    <row r="288" spans="1:9" ht="14.25" customHeight="1" x14ac:dyDescent="0.2">
      <c r="A288" s="7">
        <v>287</v>
      </c>
      <c r="B288" s="7">
        <v>24</v>
      </c>
      <c r="C288" s="25">
        <f t="shared" si="1"/>
        <v>41085</v>
      </c>
      <c r="D288" s="26">
        <v>41085</v>
      </c>
      <c r="E288" s="7" t="s">
        <v>174</v>
      </c>
      <c r="F288" s="7" t="s">
        <v>175</v>
      </c>
      <c r="G288" s="7" t="s">
        <v>176</v>
      </c>
      <c r="H288" s="7" t="s">
        <v>4790</v>
      </c>
      <c r="I288" s="7">
        <v>1.98</v>
      </c>
    </row>
    <row r="289" spans="1:9" ht="14.25" customHeight="1" x14ac:dyDescent="0.2">
      <c r="A289" s="7">
        <v>288</v>
      </c>
      <c r="B289" s="7">
        <v>26</v>
      </c>
      <c r="C289" s="25">
        <f t="shared" si="1"/>
        <v>41085</v>
      </c>
      <c r="D289" s="26">
        <v>41085</v>
      </c>
      <c r="E289" s="7" t="s">
        <v>156</v>
      </c>
      <c r="F289" s="7" t="s">
        <v>157</v>
      </c>
      <c r="G289" s="7" t="s">
        <v>158</v>
      </c>
      <c r="H289" s="7" t="s">
        <v>4790</v>
      </c>
      <c r="I289" s="7">
        <v>1.98</v>
      </c>
    </row>
    <row r="290" spans="1:9" ht="14.25" customHeight="1" x14ac:dyDescent="0.2">
      <c r="A290" s="7">
        <v>289</v>
      </c>
      <c r="B290" s="7">
        <v>28</v>
      </c>
      <c r="C290" s="25">
        <f t="shared" si="1"/>
        <v>41086</v>
      </c>
      <c r="D290" s="26">
        <v>41086</v>
      </c>
      <c r="E290" s="7" t="s">
        <v>159</v>
      </c>
      <c r="F290" s="7" t="s">
        <v>160</v>
      </c>
      <c r="G290" s="7" t="s">
        <v>161</v>
      </c>
      <c r="H290" s="7" t="s">
        <v>4790</v>
      </c>
      <c r="I290" s="7">
        <v>3.96</v>
      </c>
    </row>
    <row r="291" spans="1:9" ht="14.25" customHeight="1" x14ac:dyDescent="0.2">
      <c r="A291" s="7">
        <v>290</v>
      </c>
      <c r="B291" s="7">
        <v>32</v>
      </c>
      <c r="C291" s="25">
        <f t="shared" si="1"/>
        <v>41087</v>
      </c>
      <c r="D291" s="26">
        <v>41087</v>
      </c>
      <c r="E291" s="7" t="s">
        <v>139</v>
      </c>
      <c r="F291" s="7" t="s">
        <v>140</v>
      </c>
      <c r="G291" s="7" t="s">
        <v>141</v>
      </c>
      <c r="H291" s="7" t="s">
        <v>50</v>
      </c>
      <c r="I291" s="7">
        <v>5.94</v>
      </c>
    </row>
    <row r="292" spans="1:9" ht="14.25" customHeight="1" x14ac:dyDescent="0.2">
      <c r="A292" s="7">
        <v>291</v>
      </c>
      <c r="B292" s="7">
        <v>38</v>
      </c>
      <c r="C292" s="25">
        <f t="shared" si="1"/>
        <v>41090</v>
      </c>
      <c r="D292" s="26">
        <v>41090</v>
      </c>
      <c r="E292" s="7" t="s">
        <v>56</v>
      </c>
      <c r="F292" s="7" t="s">
        <v>57</v>
      </c>
      <c r="H292" s="7" t="s">
        <v>40</v>
      </c>
      <c r="I292" s="7">
        <v>8.91</v>
      </c>
    </row>
    <row r="293" spans="1:9" ht="14.25" customHeight="1" x14ac:dyDescent="0.2">
      <c r="A293" s="7">
        <v>292</v>
      </c>
      <c r="B293" s="7">
        <v>47</v>
      </c>
      <c r="C293" s="25">
        <f t="shared" si="1"/>
        <v>41095</v>
      </c>
      <c r="D293" s="26">
        <v>41095</v>
      </c>
      <c r="E293" s="7" t="s">
        <v>149</v>
      </c>
      <c r="F293" s="7" t="s">
        <v>150</v>
      </c>
      <c r="G293" s="7" t="s">
        <v>151</v>
      </c>
      <c r="H293" s="7" t="s">
        <v>152</v>
      </c>
      <c r="I293" s="7">
        <v>13.86</v>
      </c>
    </row>
    <row r="294" spans="1:9" ht="14.25" customHeight="1" x14ac:dyDescent="0.2">
      <c r="A294" s="7">
        <v>293</v>
      </c>
      <c r="B294" s="7">
        <v>2</v>
      </c>
      <c r="C294" s="25">
        <f t="shared" si="1"/>
        <v>41103</v>
      </c>
      <c r="D294" s="26">
        <v>41103</v>
      </c>
      <c r="E294" s="7" t="s">
        <v>38</v>
      </c>
      <c r="F294" s="7" t="s">
        <v>39</v>
      </c>
      <c r="H294" s="7" t="s">
        <v>40</v>
      </c>
      <c r="I294" s="7">
        <v>0.99</v>
      </c>
    </row>
    <row r="295" spans="1:9" ht="14.25" customHeight="1" x14ac:dyDescent="0.2">
      <c r="A295" s="7">
        <v>294</v>
      </c>
      <c r="B295" s="7">
        <v>3</v>
      </c>
      <c r="C295" s="25">
        <f t="shared" si="1"/>
        <v>41116</v>
      </c>
      <c r="D295" s="26">
        <v>41116</v>
      </c>
      <c r="E295" s="7" t="s">
        <v>179</v>
      </c>
      <c r="F295" s="7" t="s">
        <v>180</v>
      </c>
      <c r="G295" s="7" t="s">
        <v>181</v>
      </c>
      <c r="H295" s="7" t="s">
        <v>50</v>
      </c>
      <c r="I295" s="7">
        <v>1.98</v>
      </c>
    </row>
    <row r="296" spans="1:9" ht="14.25" customHeight="1" x14ac:dyDescent="0.2">
      <c r="A296" s="7">
        <v>295</v>
      </c>
      <c r="B296" s="7">
        <v>5</v>
      </c>
      <c r="C296" s="25">
        <f t="shared" si="1"/>
        <v>41116</v>
      </c>
      <c r="D296" s="26">
        <v>41116</v>
      </c>
      <c r="E296" s="7" t="s">
        <v>162</v>
      </c>
      <c r="F296" s="7" t="s">
        <v>132</v>
      </c>
      <c r="H296" s="7" t="s">
        <v>133</v>
      </c>
      <c r="I296" s="7">
        <v>1.98</v>
      </c>
    </row>
    <row r="297" spans="1:9" ht="14.25" customHeight="1" x14ac:dyDescent="0.2">
      <c r="A297" s="7">
        <v>296</v>
      </c>
      <c r="B297" s="7">
        <v>7</v>
      </c>
      <c r="C297" s="25">
        <f t="shared" si="1"/>
        <v>41117</v>
      </c>
      <c r="D297" s="26">
        <v>41117</v>
      </c>
      <c r="E297" s="7" t="s">
        <v>163</v>
      </c>
      <c r="F297" s="7" t="s">
        <v>164</v>
      </c>
      <c r="H297" s="7" t="s">
        <v>165</v>
      </c>
      <c r="I297" s="7">
        <v>3.96</v>
      </c>
    </row>
    <row r="298" spans="1:9" ht="14.25" customHeight="1" x14ac:dyDescent="0.2">
      <c r="A298" s="7">
        <v>297</v>
      </c>
      <c r="B298" s="7">
        <v>11</v>
      </c>
      <c r="C298" s="25">
        <f t="shared" si="1"/>
        <v>41118</v>
      </c>
      <c r="D298" s="26">
        <v>41118</v>
      </c>
      <c r="E298" s="7" t="s">
        <v>148</v>
      </c>
      <c r="F298" s="7" t="s">
        <v>98</v>
      </c>
      <c r="G298" s="7" t="s">
        <v>99</v>
      </c>
      <c r="H298" s="7" t="s">
        <v>100</v>
      </c>
      <c r="I298" s="7">
        <v>5.94</v>
      </c>
    </row>
    <row r="299" spans="1:9" ht="14.25" customHeight="1" x14ac:dyDescent="0.2">
      <c r="A299" s="7">
        <v>298</v>
      </c>
      <c r="B299" s="7">
        <v>17</v>
      </c>
      <c r="C299" s="25">
        <f t="shared" si="1"/>
        <v>41121</v>
      </c>
      <c r="D299" s="26">
        <v>41121</v>
      </c>
      <c r="E299" s="7" t="s">
        <v>71</v>
      </c>
      <c r="F299" s="7" t="s">
        <v>72</v>
      </c>
      <c r="G299" s="7" t="s">
        <v>73</v>
      </c>
      <c r="H299" s="7" t="s">
        <v>4790</v>
      </c>
      <c r="I299" s="7">
        <v>10.91</v>
      </c>
    </row>
    <row r="300" spans="1:9" ht="14.25" customHeight="1" x14ac:dyDescent="0.2">
      <c r="A300" s="7">
        <v>299</v>
      </c>
      <c r="B300" s="7">
        <v>26</v>
      </c>
      <c r="C300" s="25">
        <f t="shared" si="1"/>
        <v>41126</v>
      </c>
      <c r="D300" s="26">
        <v>41126</v>
      </c>
      <c r="E300" s="7" t="s">
        <v>156</v>
      </c>
      <c r="F300" s="7" t="s">
        <v>157</v>
      </c>
      <c r="G300" s="7" t="s">
        <v>158</v>
      </c>
      <c r="H300" s="7" t="s">
        <v>4790</v>
      </c>
      <c r="I300" s="7">
        <v>23.86</v>
      </c>
    </row>
    <row r="301" spans="1:9" ht="14.25" customHeight="1" x14ac:dyDescent="0.2">
      <c r="A301" s="7">
        <v>300</v>
      </c>
      <c r="B301" s="7">
        <v>40</v>
      </c>
      <c r="C301" s="25">
        <f t="shared" si="1"/>
        <v>41134</v>
      </c>
      <c r="D301" s="26">
        <v>41134</v>
      </c>
      <c r="E301" s="7" t="s">
        <v>58</v>
      </c>
      <c r="F301" s="7" t="s">
        <v>59</v>
      </c>
      <c r="H301" s="7" t="s">
        <v>60</v>
      </c>
      <c r="I301" s="7">
        <v>0.99</v>
      </c>
    </row>
    <row r="302" spans="1:9" ht="14.25" customHeight="1" x14ac:dyDescent="0.2">
      <c r="A302" s="7">
        <v>301</v>
      </c>
      <c r="B302" s="7">
        <v>41</v>
      </c>
      <c r="C302" s="25">
        <f t="shared" si="1"/>
        <v>41147</v>
      </c>
      <c r="D302" s="26">
        <v>41147</v>
      </c>
      <c r="E302" s="7" t="s">
        <v>183</v>
      </c>
      <c r="F302" s="7" t="s">
        <v>184</v>
      </c>
      <c r="H302" s="7" t="s">
        <v>60</v>
      </c>
      <c r="I302" s="7">
        <v>1.98</v>
      </c>
    </row>
    <row r="303" spans="1:9" ht="14.25" customHeight="1" x14ac:dyDescent="0.2">
      <c r="A303" s="7">
        <v>302</v>
      </c>
      <c r="B303" s="7">
        <v>43</v>
      </c>
      <c r="C303" s="25">
        <f t="shared" si="1"/>
        <v>41147</v>
      </c>
      <c r="D303" s="26">
        <v>41147</v>
      </c>
      <c r="E303" s="7" t="s">
        <v>166</v>
      </c>
      <c r="F303" s="7" t="s">
        <v>167</v>
      </c>
      <c r="H303" s="7" t="s">
        <v>60</v>
      </c>
      <c r="I303" s="7">
        <v>1.98</v>
      </c>
    </row>
    <row r="304" spans="1:9" ht="14.25" customHeight="1" x14ac:dyDescent="0.2">
      <c r="A304" s="7">
        <v>303</v>
      </c>
      <c r="B304" s="7">
        <v>45</v>
      </c>
      <c r="C304" s="25">
        <f t="shared" si="1"/>
        <v>41148</v>
      </c>
      <c r="D304" s="26">
        <v>41148</v>
      </c>
      <c r="E304" s="7" t="s">
        <v>168</v>
      </c>
      <c r="F304" s="7" t="s">
        <v>169</v>
      </c>
      <c r="H304" s="7" t="s">
        <v>170</v>
      </c>
      <c r="I304" s="7">
        <v>3.96</v>
      </c>
    </row>
    <row r="305" spans="1:9" ht="14.25" customHeight="1" x14ac:dyDescent="0.2">
      <c r="A305" s="7">
        <v>304</v>
      </c>
      <c r="B305" s="7">
        <v>49</v>
      </c>
      <c r="C305" s="25">
        <f t="shared" si="1"/>
        <v>41149</v>
      </c>
      <c r="D305" s="26">
        <v>41149</v>
      </c>
      <c r="E305" s="7" t="s">
        <v>153</v>
      </c>
      <c r="F305" s="7" t="s">
        <v>154</v>
      </c>
      <c r="H305" s="7" t="s">
        <v>155</v>
      </c>
      <c r="I305" s="7">
        <v>5.94</v>
      </c>
    </row>
    <row r="306" spans="1:9" ht="14.25" customHeight="1" x14ac:dyDescent="0.2">
      <c r="A306" s="7">
        <v>305</v>
      </c>
      <c r="B306" s="7">
        <v>55</v>
      </c>
      <c r="C306" s="25">
        <f t="shared" si="1"/>
        <v>41152</v>
      </c>
      <c r="D306" s="26">
        <v>41152</v>
      </c>
      <c r="E306" s="7" t="s">
        <v>87</v>
      </c>
      <c r="F306" s="7" t="s">
        <v>88</v>
      </c>
      <c r="G306" s="7" t="s">
        <v>89</v>
      </c>
      <c r="H306" s="7" t="s">
        <v>90</v>
      </c>
      <c r="I306" s="7">
        <v>8.91</v>
      </c>
    </row>
    <row r="307" spans="1:9" ht="14.25" customHeight="1" x14ac:dyDescent="0.2">
      <c r="A307" s="7">
        <v>306</v>
      </c>
      <c r="B307" s="7">
        <v>5</v>
      </c>
      <c r="C307" s="25">
        <f t="shared" si="1"/>
        <v>41157</v>
      </c>
      <c r="D307" s="26">
        <v>41157</v>
      </c>
      <c r="E307" s="7" t="s">
        <v>162</v>
      </c>
      <c r="F307" s="7" t="s">
        <v>132</v>
      </c>
      <c r="H307" s="7" t="s">
        <v>133</v>
      </c>
      <c r="I307" s="7">
        <v>16.86</v>
      </c>
    </row>
    <row r="308" spans="1:9" ht="14.25" customHeight="1" x14ac:dyDescent="0.2">
      <c r="A308" s="7">
        <v>307</v>
      </c>
      <c r="B308" s="7">
        <v>19</v>
      </c>
      <c r="C308" s="25">
        <f t="shared" si="1"/>
        <v>41165</v>
      </c>
      <c r="D308" s="26">
        <v>41165</v>
      </c>
      <c r="E308" s="7" t="s">
        <v>74</v>
      </c>
      <c r="F308" s="7" t="s">
        <v>75</v>
      </c>
      <c r="G308" s="7" t="s">
        <v>70</v>
      </c>
      <c r="H308" s="7" t="s">
        <v>4790</v>
      </c>
      <c r="I308" s="7">
        <v>1.99</v>
      </c>
    </row>
    <row r="309" spans="1:9" ht="14.25" customHeight="1" x14ac:dyDescent="0.2">
      <c r="A309" s="7">
        <v>308</v>
      </c>
      <c r="B309" s="7">
        <v>20</v>
      </c>
      <c r="C309" s="25">
        <f t="shared" si="1"/>
        <v>41178</v>
      </c>
      <c r="D309" s="26">
        <v>41178</v>
      </c>
      <c r="E309" s="7" t="s">
        <v>188</v>
      </c>
      <c r="F309" s="7" t="s">
        <v>69</v>
      </c>
      <c r="G309" s="7" t="s">
        <v>70</v>
      </c>
      <c r="H309" s="7" t="s">
        <v>4790</v>
      </c>
      <c r="I309" s="7">
        <v>3.98</v>
      </c>
    </row>
    <row r="310" spans="1:9" ht="14.25" customHeight="1" x14ac:dyDescent="0.2">
      <c r="A310" s="7">
        <v>309</v>
      </c>
      <c r="B310" s="7">
        <v>22</v>
      </c>
      <c r="C310" s="25">
        <f t="shared" si="1"/>
        <v>41178</v>
      </c>
      <c r="D310" s="26">
        <v>41178</v>
      </c>
      <c r="E310" s="7" t="s">
        <v>171</v>
      </c>
      <c r="F310" s="7" t="s">
        <v>172</v>
      </c>
      <c r="G310" s="7" t="s">
        <v>173</v>
      </c>
      <c r="H310" s="7" t="s">
        <v>4790</v>
      </c>
      <c r="I310" s="7">
        <v>3.98</v>
      </c>
    </row>
    <row r="311" spans="1:9" ht="14.25" customHeight="1" x14ac:dyDescent="0.2">
      <c r="A311" s="7">
        <v>310</v>
      </c>
      <c r="B311" s="7">
        <v>24</v>
      </c>
      <c r="C311" s="25">
        <f t="shared" si="1"/>
        <v>41179</v>
      </c>
      <c r="D311" s="26">
        <v>41179</v>
      </c>
      <c r="E311" s="7" t="s">
        <v>174</v>
      </c>
      <c r="F311" s="7" t="s">
        <v>175</v>
      </c>
      <c r="G311" s="7" t="s">
        <v>176</v>
      </c>
      <c r="H311" s="7" t="s">
        <v>4790</v>
      </c>
      <c r="I311" s="7">
        <v>7.96</v>
      </c>
    </row>
    <row r="312" spans="1:9" ht="14.25" customHeight="1" x14ac:dyDescent="0.2">
      <c r="A312" s="7">
        <v>311</v>
      </c>
      <c r="B312" s="7">
        <v>28</v>
      </c>
      <c r="C312" s="25">
        <f t="shared" si="1"/>
        <v>41180</v>
      </c>
      <c r="D312" s="26">
        <v>41180</v>
      </c>
      <c r="E312" s="7" t="s">
        <v>159</v>
      </c>
      <c r="F312" s="7" t="s">
        <v>160</v>
      </c>
      <c r="G312" s="7" t="s">
        <v>161</v>
      </c>
      <c r="H312" s="7" t="s">
        <v>4790</v>
      </c>
      <c r="I312" s="7">
        <v>11.94</v>
      </c>
    </row>
    <row r="313" spans="1:9" ht="14.25" customHeight="1" x14ac:dyDescent="0.2">
      <c r="A313" s="7">
        <v>312</v>
      </c>
      <c r="B313" s="7">
        <v>34</v>
      </c>
      <c r="C313" s="25">
        <f t="shared" si="1"/>
        <v>41183</v>
      </c>
      <c r="D313" s="26">
        <v>41183</v>
      </c>
      <c r="E313" s="7" t="s">
        <v>104</v>
      </c>
      <c r="F313" s="7" t="s">
        <v>105</v>
      </c>
      <c r="H313" s="7" t="s">
        <v>106</v>
      </c>
      <c r="I313" s="7">
        <v>10.91</v>
      </c>
    </row>
    <row r="314" spans="1:9" ht="14.25" customHeight="1" x14ac:dyDescent="0.2">
      <c r="A314" s="7">
        <v>313</v>
      </c>
      <c r="B314" s="7">
        <v>43</v>
      </c>
      <c r="C314" s="25">
        <f t="shared" si="1"/>
        <v>41188</v>
      </c>
      <c r="D314" s="26">
        <v>41188</v>
      </c>
      <c r="E314" s="7" t="s">
        <v>166</v>
      </c>
      <c r="F314" s="7" t="s">
        <v>167</v>
      </c>
      <c r="H314" s="7" t="s">
        <v>60</v>
      </c>
      <c r="I314" s="7">
        <v>16.86</v>
      </c>
    </row>
    <row r="315" spans="1:9" ht="14.25" customHeight="1" x14ac:dyDescent="0.2">
      <c r="A315" s="7">
        <v>314</v>
      </c>
      <c r="B315" s="7">
        <v>57</v>
      </c>
      <c r="C315" s="25">
        <f t="shared" si="1"/>
        <v>41196</v>
      </c>
      <c r="D315" s="26">
        <v>41196</v>
      </c>
      <c r="E315" s="7" t="s">
        <v>91</v>
      </c>
      <c r="F315" s="7" t="s">
        <v>92</v>
      </c>
      <c r="H315" s="7" t="s">
        <v>93</v>
      </c>
      <c r="I315" s="7">
        <v>0.99</v>
      </c>
    </row>
    <row r="316" spans="1:9" ht="14.25" customHeight="1" x14ac:dyDescent="0.2">
      <c r="A316" s="7">
        <v>315</v>
      </c>
      <c r="B316" s="7">
        <v>58</v>
      </c>
      <c r="C316" s="25">
        <f t="shared" si="1"/>
        <v>41209</v>
      </c>
      <c r="D316" s="26">
        <v>41209</v>
      </c>
      <c r="E316" s="7" t="s">
        <v>192</v>
      </c>
      <c r="F316" s="7" t="s">
        <v>193</v>
      </c>
      <c r="H316" s="7" t="s">
        <v>96</v>
      </c>
      <c r="I316" s="7">
        <v>1.98</v>
      </c>
    </row>
    <row r="317" spans="1:9" ht="14.25" customHeight="1" x14ac:dyDescent="0.2">
      <c r="A317" s="7">
        <v>316</v>
      </c>
      <c r="B317" s="7">
        <v>1</v>
      </c>
      <c r="C317" s="25">
        <f t="shared" si="1"/>
        <v>41209</v>
      </c>
      <c r="D317" s="26">
        <v>41209</v>
      </c>
      <c r="E317" s="7" t="s">
        <v>177</v>
      </c>
      <c r="F317" s="7" t="s">
        <v>178</v>
      </c>
      <c r="G317" s="7" t="s">
        <v>99</v>
      </c>
      <c r="H317" s="7" t="s">
        <v>100</v>
      </c>
      <c r="I317" s="7">
        <v>1.98</v>
      </c>
    </row>
    <row r="318" spans="1:9" ht="14.25" customHeight="1" x14ac:dyDescent="0.2">
      <c r="A318" s="7">
        <v>317</v>
      </c>
      <c r="B318" s="7">
        <v>3</v>
      </c>
      <c r="C318" s="25">
        <f t="shared" si="1"/>
        <v>41210</v>
      </c>
      <c r="D318" s="26">
        <v>41210</v>
      </c>
      <c r="E318" s="7" t="s">
        <v>179</v>
      </c>
      <c r="F318" s="7" t="s">
        <v>180</v>
      </c>
      <c r="G318" s="7" t="s">
        <v>181</v>
      </c>
      <c r="H318" s="7" t="s">
        <v>50</v>
      </c>
      <c r="I318" s="7">
        <v>3.96</v>
      </c>
    </row>
    <row r="319" spans="1:9" ht="14.25" customHeight="1" x14ac:dyDescent="0.2">
      <c r="A319" s="7">
        <v>318</v>
      </c>
      <c r="B319" s="7">
        <v>7</v>
      </c>
      <c r="C319" s="25">
        <f t="shared" si="1"/>
        <v>41211</v>
      </c>
      <c r="D319" s="26">
        <v>41211</v>
      </c>
      <c r="E319" s="7" t="s">
        <v>163</v>
      </c>
      <c r="F319" s="7" t="s">
        <v>164</v>
      </c>
      <c r="H319" s="7" t="s">
        <v>165</v>
      </c>
      <c r="I319" s="7">
        <v>5.94</v>
      </c>
    </row>
    <row r="320" spans="1:9" ht="14.25" customHeight="1" x14ac:dyDescent="0.2">
      <c r="A320" s="7">
        <v>319</v>
      </c>
      <c r="B320" s="7">
        <v>13</v>
      </c>
      <c r="C320" s="25">
        <f t="shared" si="1"/>
        <v>41214</v>
      </c>
      <c r="D320" s="26">
        <v>41214</v>
      </c>
      <c r="E320" s="7" t="s">
        <v>115</v>
      </c>
      <c r="F320" s="7" t="s">
        <v>116</v>
      </c>
      <c r="G320" s="7" t="s">
        <v>117</v>
      </c>
      <c r="H320" s="7" t="s">
        <v>100</v>
      </c>
      <c r="I320" s="7">
        <v>8.91</v>
      </c>
    </row>
    <row r="321" spans="1:9" ht="14.25" customHeight="1" x14ac:dyDescent="0.2">
      <c r="A321" s="7">
        <v>320</v>
      </c>
      <c r="B321" s="7">
        <v>22</v>
      </c>
      <c r="C321" s="25">
        <f t="shared" si="1"/>
        <v>41219</v>
      </c>
      <c r="D321" s="26">
        <v>41219</v>
      </c>
      <c r="E321" s="7" t="s">
        <v>171</v>
      </c>
      <c r="F321" s="7" t="s">
        <v>172</v>
      </c>
      <c r="G321" s="7" t="s">
        <v>173</v>
      </c>
      <c r="H321" s="7" t="s">
        <v>4790</v>
      </c>
      <c r="I321" s="7">
        <v>13.86</v>
      </c>
    </row>
    <row r="322" spans="1:9" ht="14.25" customHeight="1" x14ac:dyDescent="0.2">
      <c r="A322" s="7">
        <v>321</v>
      </c>
      <c r="B322" s="7">
        <v>36</v>
      </c>
      <c r="C322" s="25">
        <f t="shared" si="1"/>
        <v>41227</v>
      </c>
      <c r="D322" s="26">
        <v>41227</v>
      </c>
      <c r="E322" s="7" t="s">
        <v>107</v>
      </c>
      <c r="F322" s="7" t="s">
        <v>57</v>
      </c>
      <c r="H322" s="7" t="s">
        <v>40</v>
      </c>
      <c r="I322" s="7">
        <v>0.99</v>
      </c>
    </row>
    <row r="323" spans="1:9" ht="14.25" customHeight="1" x14ac:dyDescent="0.2">
      <c r="A323" s="7">
        <v>322</v>
      </c>
      <c r="B323" s="7">
        <v>37</v>
      </c>
      <c r="C323" s="25">
        <f t="shared" si="1"/>
        <v>41240</v>
      </c>
      <c r="D323" s="26">
        <v>41240</v>
      </c>
      <c r="E323" s="7" t="s">
        <v>54</v>
      </c>
      <c r="F323" s="7" t="s">
        <v>55</v>
      </c>
      <c r="H323" s="7" t="s">
        <v>40</v>
      </c>
      <c r="I323" s="7">
        <v>1.98</v>
      </c>
    </row>
    <row r="324" spans="1:9" ht="14.25" customHeight="1" x14ac:dyDescent="0.2">
      <c r="A324" s="7">
        <v>323</v>
      </c>
      <c r="B324" s="7">
        <v>39</v>
      </c>
      <c r="C324" s="25">
        <f t="shared" si="1"/>
        <v>41240</v>
      </c>
      <c r="D324" s="26">
        <v>41240</v>
      </c>
      <c r="E324" s="7" t="s">
        <v>182</v>
      </c>
      <c r="F324" s="7" t="s">
        <v>59</v>
      </c>
      <c r="H324" s="7" t="s">
        <v>60</v>
      </c>
      <c r="I324" s="7">
        <v>1.98</v>
      </c>
    </row>
    <row r="325" spans="1:9" ht="14.25" customHeight="1" x14ac:dyDescent="0.2">
      <c r="A325" s="7">
        <v>324</v>
      </c>
      <c r="B325" s="7">
        <v>41</v>
      </c>
      <c r="C325" s="25">
        <f t="shared" si="1"/>
        <v>41241</v>
      </c>
      <c r="D325" s="26">
        <v>41241</v>
      </c>
      <c r="E325" s="7" t="s">
        <v>183</v>
      </c>
      <c r="F325" s="7" t="s">
        <v>184</v>
      </c>
      <c r="H325" s="7" t="s">
        <v>60</v>
      </c>
      <c r="I325" s="7">
        <v>3.96</v>
      </c>
    </row>
    <row r="326" spans="1:9" ht="14.25" customHeight="1" x14ac:dyDescent="0.2">
      <c r="A326" s="7">
        <v>325</v>
      </c>
      <c r="B326" s="7">
        <v>45</v>
      </c>
      <c r="C326" s="25">
        <f t="shared" si="1"/>
        <v>41242</v>
      </c>
      <c r="D326" s="26">
        <v>41242</v>
      </c>
      <c r="E326" s="7" t="s">
        <v>168</v>
      </c>
      <c r="F326" s="7" t="s">
        <v>169</v>
      </c>
      <c r="H326" s="7" t="s">
        <v>170</v>
      </c>
      <c r="I326" s="7">
        <v>5.94</v>
      </c>
    </row>
    <row r="327" spans="1:9" ht="14.25" customHeight="1" x14ac:dyDescent="0.2">
      <c r="A327" s="7">
        <v>326</v>
      </c>
      <c r="B327" s="7">
        <v>51</v>
      </c>
      <c r="C327" s="25">
        <f t="shared" si="1"/>
        <v>41245</v>
      </c>
      <c r="D327" s="26">
        <v>41245</v>
      </c>
      <c r="E327" s="7" t="s">
        <v>127</v>
      </c>
      <c r="F327" s="7" t="s">
        <v>128</v>
      </c>
      <c r="H327" s="7" t="s">
        <v>129</v>
      </c>
      <c r="I327" s="7">
        <v>8.91</v>
      </c>
    </row>
    <row r="328" spans="1:9" ht="14.25" customHeight="1" x14ac:dyDescent="0.2">
      <c r="A328" s="7">
        <v>327</v>
      </c>
      <c r="B328" s="7">
        <v>1</v>
      </c>
      <c r="C328" s="25">
        <f t="shared" si="1"/>
        <v>41250</v>
      </c>
      <c r="D328" s="26">
        <v>41250</v>
      </c>
      <c r="E328" s="7" t="s">
        <v>177</v>
      </c>
      <c r="F328" s="7" t="s">
        <v>178</v>
      </c>
      <c r="G328" s="7" t="s">
        <v>99</v>
      </c>
      <c r="H328" s="7" t="s">
        <v>100</v>
      </c>
      <c r="I328" s="7">
        <v>13.86</v>
      </c>
    </row>
    <row r="329" spans="1:9" ht="14.25" customHeight="1" x14ac:dyDescent="0.2">
      <c r="A329" s="7">
        <v>328</v>
      </c>
      <c r="B329" s="7">
        <v>15</v>
      </c>
      <c r="C329" s="25">
        <f t="shared" si="1"/>
        <v>41258</v>
      </c>
      <c r="D329" s="26">
        <v>41258</v>
      </c>
      <c r="E329" s="7" t="s">
        <v>118</v>
      </c>
      <c r="F329" s="7" t="s">
        <v>119</v>
      </c>
      <c r="G329" s="7" t="s">
        <v>120</v>
      </c>
      <c r="H329" s="7" t="s">
        <v>50</v>
      </c>
      <c r="I329" s="7">
        <v>0.99</v>
      </c>
    </row>
    <row r="330" spans="1:9" ht="14.25" customHeight="1" x14ac:dyDescent="0.2">
      <c r="A330" s="7">
        <v>329</v>
      </c>
      <c r="B330" s="7">
        <v>16</v>
      </c>
      <c r="C330" s="25">
        <f t="shared" si="1"/>
        <v>41271</v>
      </c>
      <c r="D330" s="26">
        <v>41271</v>
      </c>
      <c r="E330" s="7" t="s">
        <v>68</v>
      </c>
      <c r="F330" s="7" t="s">
        <v>69</v>
      </c>
      <c r="G330" s="7" t="s">
        <v>70</v>
      </c>
      <c r="H330" s="7" t="s">
        <v>4790</v>
      </c>
      <c r="I330" s="7">
        <v>1.98</v>
      </c>
    </row>
    <row r="331" spans="1:9" ht="14.25" customHeight="1" x14ac:dyDescent="0.2">
      <c r="A331" s="7">
        <v>330</v>
      </c>
      <c r="B331" s="7">
        <v>18</v>
      </c>
      <c r="C331" s="25">
        <f t="shared" si="1"/>
        <v>41271</v>
      </c>
      <c r="D331" s="26">
        <v>41271</v>
      </c>
      <c r="E331" s="7" t="s">
        <v>185</v>
      </c>
      <c r="F331" s="7" t="s">
        <v>186</v>
      </c>
      <c r="G331" s="7" t="s">
        <v>187</v>
      </c>
      <c r="H331" s="7" t="s">
        <v>4790</v>
      </c>
      <c r="I331" s="7">
        <v>1.98</v>
      </c>
    </row>
    <row r="332" spans="1:9" ht="14.25" customHeight="1" x14ac:dyDescent="0.2">
      <c r="A332" s="7">
        <v>331</v>
      </c>
      <c r="B332" s="7">
        <v>20</v>
      </c>
      <c r="C332" s="25">
        <f t="shared" si="1"/>
        <v>41272</v>
      </c>
      <c r="D332" s="26">
        <v>41272</v>
      </c>
      <c r="E332" s="7" t="s">
        <v>188</v>
      </c>
      <c r="F332" s="7" t="s">
        <v>69</v>
      </c>
      <c r="G332" s="7" t="s">
        <v>70</v>
      </c>
      <c r="H332" s="7" t="s">
        <v>4790</v>
      </c>
      <c r="I332" s="7">
        <v>3.96</v>
      </c>
    </row>
    <row r="333" spans="1:9" ht="14.25" customHeight="1" x14ac:dyDescent="0.2">
      <c r="A333" s="7">
        <v>332</v>
      </c>
      <c r="B333" s="7">
        <v>24</v>
      </c>
      <c r="C333" s="25">
        <f t="shared" si="1"/>
        <v>41273</v>
      </c>
      <c r="D333" s="26">
        <v>41273</v>
      </c>
      <c r="E333" s="7" t="s">
        <v>174</v>
      </c>
      <c r="F333" s="7" t="s">
        <v>175</v>
      </c>
      <c r="G333" s="7" t="s">
        <v>176</v>
      </c>
      <c r="H333" s="7" t="s">
        <v>4790</v>
      </c>
      <c r="I333" s="7">
        <v>5.94</v>
      </c>
    </row>
    <row r="334" spans="1:9" ht="14.25" customHeight="1" x14ac:dyDescent="0.2">
      <c r="A334" s="7">
        <v>333</v>
      </c>
      <c r="B334" s="7">
        <v>30</v>
      </c>
      <c r="C334" s="25">
        <f t="shared" si="1"/>
        <v>41276</v>
      </c>
      <c r="D334" s="26">
        <v>41276</v>
      </c>
      <c r="E334" s="7" t="s">
        <v>137</v>
      </c>
      <c r="F334" s="7" t="s">
        <v>138</v>
      </c>
      <c r="G334" s="7" t="s">
        <v>136</v>
      </c>
      <c r="H334" s="7" t="s">
        <v>50</v>
      </c>
      <c r="I334" s="7">
        <v>8.91</v>
      </c>
    </row>
    <row r="335" spans="1:9" ht="14.25" customHeight="1" x14ac:dyDescent="0.2">
      <c r="A335" s="7">
        <v>334</v>
      </c>
      <c r="B335" s="7">
        <v>39</v>
      </c>
      <c r="C335" s="25">
        <f t="shared" si="1"/>
        <v>41281</v>
      </c>
      <c r="D335" s="26">
        <v>41281</v>
      </c>
      <c r="E335" s="7" t="s">
        <v>182</v>
      </c>
      <c r="F335" s="7" t="s">
        <v>59</v>
      </c>
      <c r="H335" s="7" t="s">
        <v>60</v>
      </c>
      <c r="I335" s="7">
        <v>13.86</v>
      </c>
    </row>
    <row r="336" spans="1:9" ht="14.25" customHeight="1" x14ac:dyDescent="0.2">
      <c r="A336" s="7">
        <v>335</v>
      </c>
      <c r="B336" s="7">
        <v>53</v>
      </c>
      <c r="C336" s="25">
        <f t="shared" si="1"/>
        <v>41289</v>
      </c>
      <c r="D336" s="26">
        <v>41289</v>
      </c>
      <c r="E336" s="7" t="s">
        <v>130</v>
      </c>
      <c r="F336" s="7" t="s">
        <v>67</v>
      </c>
      <c r="H336" s="7" t="s">
        <v>4791</v>
      </c>
      <c r="I336" s="7">
        <v>0.99</v>
      </c>
    </row>
    <row r="337" spans="1:9" ht="14.25" customHeight="1" x14ac:dyDescent="0.2">
      <c r="A337" s="7">
        <v>336</v>
      </c>
      <c r="B337" s="7">
        <v>54</v>
      </c>
      <c r="C337" s="25">
        <f t="shared" si="1"/>
        <v>41302</v>
      </c>
      <c r="D337" s="26">
        <v>41302</v>
      </c>
      <c r="E337" s="7" t="s">
        <v>85</v>
      </c>
      <c r="F337" s="7" t="s">
        <v>86</v>
      </c>
      <c r="H337" s="7" t="s">
        <v>4791</v>
      </c>
      <c r="I337" s="7">
        <v>1.98</v>
      </c>
    </row>
    <row r="338" spans="1:9" ht="14.25" customHeight="1" x14ac:dyDescent="0.2">
      <c r="A338" s="7">
        <v>337</v>
      </c>
      <c r="B338" s="7">
        <v>56</v>
      </c>
      <c r="C338" s="25">
        <f t="shared" si="1"/>
        <v>41302</v>
      </c>
      <c r="D338" s="26">
        <v>41302</v>
      </c>
      <c r="E338" s="7" t="s">
        <v>189</v>
      </c>
      <c r="F338" s="7" t="s">
        <v>190</v>
      </c>
      <c r="H338" s="7" t="s">
        <v>191</v>
      </c>
      <c r="I338" s="7">
        <v>1.98</v>
      </c>
    </row>
    <row r="339" spans="1:9" ht="14.25" customHeight="1" x14ac:dyDescent="0.2">
      <c r="A339" s="7">
        <v>338</v>
      </c>
      <c r="B339" s="7">
        <v>58</v>
      </c>
      <c r="C339" s="25">
        <f t="shared" si="1"/>
        <v>41303</v>
      </c>
      <c r="D339" s="26">
        <v>41303</v>
      </c>
      <c r="E339" s="7" t="s">
        <v>192</v>
      </c>
      <c r="F339" s="7" t="s">
        <v>193</v>
      </c>
      <c r="H339" s="7" t="s">
        <v>96</v>
      </c>
      <c r="I339" s="7">
        <v>3.96</v>
      </c>
    </row>
    <row r="340" spans="1:9" ht="14.25" customHeight="1" x14ac:dyDescent="0.2">
      <c r="A340" s="7">
        <v>339</v>
      </c>
      <c r="B340" s="7">
        <v>3</v>
      </c>
      <c r="C340" s="25">
        <f t="shared" si="1"/>
        <v>41304</v>
      </c>
      <c r="D340" s="26">
        <v>41304</v>
      </c>
      <c r="E340" s="7" t="s">
        <v>179</v>
      </c>
      <c r="F340" s="7" t="s">
        <v>180</v>
      </c>
      <c r="G340" s="7" t="s">
        <v>181</v>
      </c>
      <c r="H340" s="7" t="s">
        <v>50</v>
      </c>
      <c r="I340" s="7">
        <v>5.94</v>
      </c>
    </row>
    <row r="341" spans="1:9" ht="14.25" customHeight="1" x14ac:dyDescent="0.2">
      <c r="A341" s="7">
        <v>340</v>
      </c>
      <c r="B341" s="7">
        <v>9</v>
      </c>
      <c r="C341" s="25">
        <f t="shared" si="1"/>
        <v>41307</v>
      </c>
      <c r="D341" s="26">
        <v>41307</v>
      </c>
      <c r="E341" s="7" t="s">
        <v>145</v>
      </c>
      <c r="F341" s="7" t="s">
        <v>146</v>
      </c>
      <c r="H341" s="7" t="s">
        <v>147</v>
      </c>
      <c r="I341" s="7">
        <v>8.91</v>
      </c>
    </row>
    <row r="342" spans="1:9" ht="14.25" customHeight="1" x14ac:dyDescent="0.2">
      <c r="A342" s="7">
        <v>341</v>
      </c>
      <c r="B342" s="7">
        <v>18</v>
      </c>
      <c r="C342" s="25">
        <f t="shared" si="1"/>
        <v>41312</v>
      </c>
      <c r="D342" s="26">
        <v>41312</v>
      </c>
      <c r="E342" s="7" t="s">
        <v>185</v>
      </c>
      <c r="F342" s="7" t="s">
        <v>186</v>
      </c>
      <c r="G342" s="7" t="s">
        <v>187</v>
      </c>
      <c r="H342" s="7" t="s">
        <v>4790</v>
      </c>
      <c r="I342" s="7">
        <v>13.86</v>
      </c>
    </row>
    <row r="343" spans="1:9" ht="14.25" customHeight="1" x14ac:dyDescent="0.2">
      <c r="A343" s="7">
        <v>342</v>
      </c>
      <c r="B343" s="7">
        <v>32</v>
      </c>
      <c r="C343" s="25">
        <f t="shared" si="1"/>
        <v>41320</v>
      </c>
      <c r="D343" s="26">
        <v>41320</v>
      </c>
      <c r="E343" s="7" t="s">
        <v>139</v>
      </c>
      <c r="F343" s="7" t="s">
        <v>140</v>
      </c>
      <c r="G343" s="7" t="s">
        <v>141</v>
      </c>
      <c r="H343" s="7" t="s">
        <v>50</v>
      </c>
      <c r="I343" s="7">
        <v>0.99</v>
      </c>
    </row>
    <row r="344" spans="1:9" ht="14.25" customHeight="1" x14ac:dyDescent="0.2">
      <c r="A344" s="7">
        <v>343</v>
      </c>
      <c r="B344" s="7">
        <v>33</v>
      </c>
      <c r="C344" s="25">
        <f t="shared" si="1"/>
        <v>41333</v>
      </c>
      <c r="D344" s="26">
        <v>41333</v>
      </c>
      <c r="E344" s="7" t="s">
        <v>101</v>
      </c>
      <c r="F344" s="7" t="s">
        <v>102</v>
      </c>
      <c r="G344" s="7" t="s">
        <v>103</v>
      </c>
      <c r="H344" s="7" t="s">
        <v>50</v>
      </c>
      <c r="I344" s="7">
        <v>1.98</v>
      </c>
    </row>
    <row r="345" spans="1:9" ht="14.25" customHeight="1" x14ac:dyDescent="0.2">
      <c r="A345" s="7">
        <v>344</v>
      </c>
      <c r="B345" s="7">
        <v>35</v>
      </c>
      <c r="C345" s="25">
        <f t="shared" si="1"/>
        <v>41333</v>
      </c>
      <c r="D345" s="26">
        <v>41333</v>
      </c>
      <c r="E345" s="7" t="s">
        <v>194</v>
      </c>
      <c r="F345" s="7" t="s">
        <v>195</v>
      </c>
      <c r="H345" s="7" t="s">
        <v>106</v>
      </c>
      <c r="I345" s="7">
        <v>1.98</v>
      </c>
    </row>
    <row r="346" spans="1:9" ht="14.25" customHeight="1" x14ac:dyDescent="0.2">
      <c r="A346" s="7">
        <v>345</v>
      </c>
      <c r="B346" s="7">
        <v>37</v>
      </c>
      <c r="C346" s="25">
        <f t="shared" si="1"/>
        <v>41334</v>
      </c>
      <c r="D346" s="26">
        <v>41334</v>
      </c>
      <c r="E346" s="7" t="s">
        <v>54</v>
      </c>
      <c r="F346" s="7" t="s">
        <v>55</v>
      </c>
      <c r="H346" s="7" t="s">
        <v>40</v>
      </c>
      <c r="I346" s="7">
        <v>3.96</v>
      </c>
    </row>
    <row r="347" spans="1:9" ht="14.25" customHeight="1" x14ac:dyDescent="0.2">
      <c r="A347" s="7">
        <v>346</v>
      </c>
      <c r="B347" s="7">
        <v>41</v>
      </c>
      <c r="C347" s="25">
        <f t="shared" si="1"/>
        <v>41335</v>
      </c>
      <c r="D347" s="26">
        <v>41335</v>
      </c>
      <c r="E347" s="7" t="s">
        <v>183</v>
      </c>
      <c r="F347" s="7" t="s">
        <v>184</v>
      </c>
      <c r="H347" s="7" t="s">
        <v>60</v>
      </c>
      <c r="I347" s="7">
        <v>5.94</v>
      </c>
    </row>
    <row r="348" spans="1:9" ht="14.25" customHeight="1" x14ac:dyDescent="0.2">
      <c r="A348" s="7">
        <v>347</v>
      </c>
      <c r="B348" s="7">
        <v>47</v>
      </c>
      <c r="C348" s="25">
        <f t="shared" si="1"/>
        <v>41338</v>
      </c>
      <c r="D348" s="26">
        <v>41338</v>
      </c>
      <c r="E348" s="7" t="s">
        <v>149</v>
      </c>
      <c r="F348" s="7" t="s">
        <v>150</v>
      </c>
      <c r="G348" s="7" t="s">
        <v>151</v>
      </c>
      <c r="H348" s="7" t="s">
        <v>152</v>
      </c>
      <c r="I348" s="7">
        <v>8.91</v>
      </c>
    </row>
    <row r="349" spans="1:9" ht="14.25" customHeight="1" x14ac:dyDescent="0.2">
      <c r="A349" s="7">
        <v>348</v>
      </c>
      <c r="B349" s="7">
        <v>56</v>
      </c>
      <c r="C349" s="25">
        <f t="shared" si="1"/>
        <v>41343</v>
      </c>
      <c r="D349" s="26">
        <v>41343</v>
      </c>
      <c r="E349" s="7" t="s">
        <v>189</v>
      </c>
      <c r="F349" s="7" t="s">
        <v>190</v>
      </c>
      <c r="H349" s="7" t="s">
        <v>191</v>
      </c>
      <c r="I349" s="7">
        <v>13.86</v>
      </c>
    </row>
    <row r="350" spans="1:9" ht="14.25" customHeight="1" x14ac:dyDescent="0.2">
      <c r="A350" s="7">
        <v>349</v>
      </c>
      <c r="B350" s="7">
        <v>11</v>
      </c>
      <c r="C350" s="25">
        <f t="shared" si="1"/>
        <v>41351</v>
      </c>
      <c r="D350" s="26">
        <v>41351</v>
      </c>
      <c r="E350" s="7" t="s">
        <v>148</v>
      </c>
      <c r="F350" s="7" t="s">
        <v>98</v>
      </c>
      <c r="G350" s="7" t="s">
        <v>99</v>
      </c>
      <c r="H350" s="7" t="s">
        <v>100</v>
      </c>
      <c r="I350" s="7">
        <v>0.99</v>
      </c>
    </row>
    <row r="351" spans="1:9" ht="14.25" customHeight="1" x14ac:dyDescent="0.2">
      <c r="A351" s="7">
        <v>350</v>
      </c>
      <c r="B351" s="7">
        <v>12</v>
      </c>
      <c r="C351" s="25">
        <f t="shared" si="1"/>
        <v>41364</v>
      </c>
      <c r="D351" s="26">
        <v>41364</v>
      </c>
      <c r="E351" s="7" t="s">
        <v>112</v>
      </c>
      <c r="F351" s="7" t="s">
        <v>113</v>
      </c>
      <c r="G351" s="7" t="s">
        <v>114</v>
      </c>
      <c r="H351" s="7" t="s">
        <v>100</v>
      </c>
      <c r="I351" s="7">
        <v>1.98</v>
      </c>
    </row>
    <row r="352" spans="1:9" ht="14.25" customHeight="1" x14ac:dyDescent="0.2">
      <c r="A352" s="7">
        <v>351</v>
      </c>
      <c r="B352" s="7">
        <v>14</v>
      </c>
      <c r="C352" s="25">
        <f t="shared" si="1"/>
        <v>41364</v>
      </c>
      <c r="D352" s="26">
        <v>41364</v>
      </c>
      <c r="E352" s="7" t="s">
        <v>47</v>
      </c>
      <c r="F352" s="7" t="s">
        <v>48</v>
      </c>
      <c r="G352" s="7" t="s">
        <v>49</v>
      </c>
      <c r="H352" s="7" t="s">
        <v>50</v>
      </c>
      <c r="I352" s="7">
        <v>1.98</v>
      </c>
    </row>
    <row r="353" spans="1:9" ht="14.25" customHeight="1" x14ac:dyDescent="0.2">
      <c r="A353" s="7">
        <v>352</v>
      </c>
      <c r="B353" s="7">
        <v>16</v>
      </c>
      <c r="C353" s="25">
        <f t="shared" si="1"/>
        <v>41365</v>
      </c>
      <c r="D353" s="26">
        <v>41365</v>
      </c>
      <c r="E353" s="7" t="s">
        <v>68</v>
      </c>
      <c r="F353" s="7" t="s">
        <v>69</v>
      </c>
      <c r="G353" s="7" t="s">
        <v>70</v>
      </c>
      <c r="H353" s="7" t="s">
        <v>4790</v>
      </c>
      <c r="I353" s="7">
        <v>3.96</v>
      </c>
    </row>
    <row r="354" spans="1:9" ht="14.25" customHeight="1" x14ac:dyDescent="0.2">
      <c r="A354" s="7">
        <v>353</v>
      </c>
      <c r="B354" s="7">
        <v>20</v>
      </c>
      <c r="C354" s="25">
        <f t="shared" si="1"/>
        <v>41366</v>
      </c>
      <c r="D354" s="26">
        <v>41366</v>
      </c>
      <c r="E354" s="7" t="s">
        <v>188</v>
      </c>
      <c r="F354" s="7" t="s">
        <v>69</v>
      </c>
      <c r="G354" s="7" t="s">
        <v>70</v>
      </c>
      <c r="H354" s="7" t="s">
        <v>4790</v>
      </c>
      <c r="I354" s="7">
        <v>5.94</v>
      </c>
    </row>
    <row r="355" spans="1:9" ht="14.25" customHeight="1" x14ac:dyDescent="0.2">
      <c r="A355" s="7">
        <v>354</v>
      </c>
      <c r="B355" s="7">
        <v>26</v>
      </c>
      <c r="C355" s="25">
        <f t="shared" si="1"/>
        <v>41369</v>
      </c>
      <c r="D355" s="26">
        <v>41369</v>
      </c>
      <c r="E355" s="7" t="s">
        <v>156</v>
      </c>
      <c r="F355" s="7" t="s">
        <v>157</v>
      </c>
      <c r="G355" s="7" t="s">
        <v>158</v>
      </c>
      <c r="H355" s="7" t="s">
        <v>4790</v>
      </c>
      <c r="I355" s="7">
        <v>8.91</v>
      </c>
    </row>
    <row r="356" spans="1:9" ht="14.25" customHeight="1" x14ac:dyDescent="0.2">
      <c r="A356" s="7">
        <v>355</v>
      </c>
      <c r="B356" s="7">
        <v>35</v>
      </c>
      <c r="C356" s="25">
        <f t="shared" si="1"/>
        <v>41374</v>
      </c>
      <c r="D356" s="26">
        <v>41374</v>
      </c>
      <c r="E356" s="7" t="s">
        <v>194</v>
      </c>
      <c r="F356" s="7" t="s">
        <v>195</v>
      </c>
      <c r="H356" s="7" t="s">
        <v>106</v>
      </c>
      <c r="I356" s="7">
        <v>13.86</v>
      </c>
    </row>
    <row r="357" spans="1:9" ht="14.25" customHeight="1" x14ac:dyDescent="0.2">
      <c r="A357" s="7">
        <v>356</v>
      </c>
      <c r="B357" s="7">
        <v>49</v>
      </c>
      <c r="C357" s="25">
        <f t="shared" si="1"/>
        <v>41382</v>
      </c>
      <c r="D357" s="26">
        <v>41382</v>
      </c>
      <c r="E357" s="7" t="s">
        <v>153</v>
      </c>
      <c r="F357" s="7" t="s">
        <v>154</v>
      </c>
      <c r="H357" s="7" t="s">
        <v>155</v>
      </c>
      <c r="I357" s="7">
        <v>0.99</v>
      </c>
    </row>
    <row r="358" spans="1:9" ht="14.25" customHeight="1" x14ac:dyDescent="0.2">
      <c r="A358" s="7">
        <v>357</v>
      </c>
      <c r="B358" s="7">
        <v>50</v>
      </c>
      <c r="C358" s="25">
        <f t="shared" si="1"/>
        <v>41395</v>
      </c>
      <c r="D358" s="26">
        <v>41395</v>
      </c>
      <c r="E358" s="7" t="s">
        <v>124</v>
      </c>
      <c r="F358" s="7" t="s">
        <v>125</v>
      </c>
      <c r="H358" s="7" t="s">
        <v>126</v>
      </c>
      <c r="I358" s="7">
        <v>1.98</v>
      </c>
    </row>
    <row r="359" spans="1:9" ht="14.25" customHeight="1" x14ac:dyDescent="0.2">
      <c r="A359" s="7">
        <v>358</v>
      </c>
      <c r="B359" s="7">
        <v>52</v>
      </c>
      <c r="C359" s="25">
        <f t="shared" si="1"/>
        <v>41395</v>
      </c>
      <c r="D359" s="26">
        <v>41395</v>
      </c>
      <c r="E359" s="7" t="s">
        <v>66</v>
      </c>
      <c r="F359" s="7" t="s">
        <v>67</v>
      </c>
      <c r="H359" s="7" t="s">
        <v>4791</v>
      </c>
      <c r="I359" s="7">
        <v>1.98</v>
      </c>
    </row>
    <row r="360" spans="1:9" ht="14.25" customHeight="1" x14ac:dyDescent="0.2">
      <c r="A360" s="7">
        <v>359</v>
      </c>
      <c r="B360" s="7">
        <v>54</v>
      </c>
      <c r="C360" s="25">
        <f t="shared" si="1"/>
        <v>41396</v>
      </c>
      <c r="D360" s="26">
        <v>41396</v>
      </c>
      <c r="E360" s="7" t="s">
        <v>85</v>
      </c>
      <c r="F360" s="7" t="s">
        <v>86</v>
      </c>
      <c r="H360" s="7" t="s">
        <v>4791</v>
      </c>
      <c r="I360" s="7">
        <v>3.96</v>
      </c>
    </row>
    <row r="361" spans="1:9" ht="14.25" customHeight="1" x14ac:dyDescent="0.2">
      <c r="A361" s="7">
        <v>360</v>
      </c>
      <c r="B361" s="7">
        <v>58</v>
      </c>
      <c r="C361" s="25">
        <f t="shared" si="1"/>
        <v>41397</v>
      </c>
      <c r="D361" s="26">
        <v>41397</v>
      </c>
      <c r="E361" s="7" t="s">
        <v>192</v>
      </c>
      <c r="F361" s="7" t="s">
        <v>193</v>
      </c>
      <c r="H361" s="7" t="s">
        <v>96</v>
      </c>
      <c r="I361" s="7">
        <v>5.94</v>
      </c>
    </row>
    <row r="362" spans="1:9" ht="14.25" customHeight="1" x14ac:dyDescent="0.2">
      <c r="A362" s="7">
        <v>361</v>
      </c>
      <c r="B362" s="7">
        <v>5</v>
      </c>
      <c r="C362" s="25">
        <f t="shared" si="1"/>
        <v>41400</v>
      </c>
      <c r="D362" s="26">
        <v>41400</v>
      </c>
      <c r="E362" s="7" t="s">
        <v>162</v>
      </c>
      <c r="F362" s="7" t="s">
        <v>132</v>
      </c>
      <c r="H362" s="7" t="s">
        <v>133</v>
      </c>
      <c r="I362" s="7">
        <v>8.91</v>
      </c>
    </row>
    <row r="363" spans="1:9" ht="14.25" customHeight="1" x14ac:dyDescent="0.2">
      <c r="A363" s="7">
        <v>362</v>
      </c>
      <c r="B363" s="7">
        <v>14</v>
      </c>
      <c r="C363" s="25">
        <f t="shared" si="1"/>
        <v>41405</v>
      </c>
      <c r="D363" s="26">
        <v>41405</v>
      </c>
      <c r="E363" s="7" t="s">
        <v>47</v>
      </c>
      <c r="F363" s="7" t="s">
        <v>48</v>
      </c>
      <c r="G363" s="7" t="s">
        <v>49</v>
      </c>
      <c r="H363" s="7" t="s">
        <v>50</v>
      </c>
      <c r="I363" s="7">
        <v>13.86</v>
      </c>
    </row>
    <row r="364" spans="1:9" ht="14.25" customHeight="1" x14ac:dyDescent="0.2">
      <c r="A364" s="7">
        <v>363</v>
      </c>
      <c r="B364" s="7">
        <v>28</v>
      </c>
      <c r="C364" s="25">
        <f t="shared" si="1"/>
        <v>41413</v>
      </c>
      <c r="D364" s="26">
        <v>41413</v>
      </c>
      <c r="E364" s="7" t="s">
        <v>159</v>
      </c>
      <c r="F364" s="7" t="s">
        <v>160</v>
      </c>
      <c r="G364" s="7" t="s">
        <v>161</v>
      </c>
      <c r="H364" s="7" t="s">
        <v>4790</v>
      </c>
      <c r="I364" s="7">
        <v>0.99</v>
      </c>
    </row>
    <row r="365" spans="1:9" ht="14.25" customHeight="1" x14ac:dyDescent="0.2">
      <c r="A365" s="7">
        <v>364</v>
      </c>
      <c r="B365" s="7">
        <v>29</v>
      </c>
      <c r="C365" s="25">
        <f t="shared" si="1"/>
        <v>41426</v>
      </c>
      <c r="D365" s="26">
        <v>41426</v>
      </c>
      <c r="E365" s="7" t="s">
        <v>134</v>
      </c>
      <c r="F365" s="7" t="s">
        <v>135</v>
      </c>
      <c r="G365" s="7" t="s">
        <v>136</v>
      </c>
      <c r="H365" s="7" t="s">
        <v>50</v>
      </c>
      <c r="I365" s="7">
        <v>1.98</v>
      </c>
    </row>
    <row r="366" spans="1:9" ht="14.25" customHeight="1" x14ac:dyDescent="0.2">
      <c r="A366" s="7">
        <v>365</v>
      </c>
      <c r="B366" s="7">
        <v>31</v>
      </c>
      <c r="C366" s="25">
        <f t="shared" si="1"/>
        <v>41426</v>
      </c>
      <c r="D366" s="26">
        <v>41426</v>
      </c>
      <c r="E366" s="7" t="s">
        <v>82</v>
      </c>
      <c r="F366" s="7" t="s">
        <v>83</v>
      </c>
      <c r="G366" s="7" t="s">
        <v>84</v>
      </c>
      <c r="H366" s="7" t="s">
        <v>50</v>
      </c>
      <c r="I366" s="7">
        <v>1.98</v>
      </c>
    </row>
    <row r="367" spans="1:9" ht="14.25" customHeight="1" x14ac:dyDescent="0.2">
      <c r="A367" s="7">
        <v>366</v>
      </c>
      <c r="B367" s="7">
        <v>33</v>
      </c>
      <c r="C367" s="25">
        <f t="shared" si="1"/>
        <v>41427</v>
      </c>
      <c r="D367" s="26">
        <v>41427</v>
      </c>
      <c r="E367" s="7" t="s">
        <v>101</v>
      </c>
      <c r="F367" s="7" t="s">
        <v>102</v>
      </c>
      <c r="G367" s="7" t="s">
        <v>103</v>
      </c>
      <c r="H367" s="7" t="s">
        <v>50</v>
      </c>
      <c r="I367" s="7">
        <v>3.96</v>
      </c>
    </row>
    <row r="368" spans="1:9" ht="14.25" customHeight="1" x14ac:dyDescent="0.2">
      <c r="A368" s="7">
        <v>367</v>
      </c>
      <c r="B368" s="7">
        <v>37</v>
      </c>
      <c r="C368" s="25">
        <f t="shared" si="1"/>
        <v>41428</v>
      </c>
      <c r="D368" s="26">
        <v>41428</v>
      </c>
      <c r="E368" s="7" t="s">
        <v>54</v>
      </c>
      <c r="F368" s="7" t="s">
        <v>55</v>
      </c>
      <c r="H368" s="7" t="s">
        <v>40</v>
      </c>
      <c r="I368" s="7">
        <v>5.94</v>
      </c>
    </row>
    <row r="369" spans="1:9" ht="14.25" customHeight="1" x14ac:dyDescent="0.2">
      <c r="A369" s="7">
        <v>368</v>
      </c>
      <c r="B369" s="7">
        <v>43</v>
      </c>
      <c r="C369" s="25">
        <f t="shared" si="1"/>
        <v>41431</v>
      </c>
      <c r="D369" s="26">
        <v>41431</v>
      </c>
      <c r="E369" s="7" t="s">
        <v>166</v>
      </c>
      <c r="F369" s="7" t="s">
        <v>167</v>
      </c>
      <c r="H369" s="7" t="s">
        <v>60</v>
      </c>
      <c r="I369" s="7">
        <v>8.91</v>
      </c>
    </row>
    <row r="370" spans="1:9" ht="14.25" customHeight="1" x14ac:dyDescent="0.2">
      <c r="A370" s="7">
        <v>369</v>
      </c>
      <c r="B370" s="7">
        <v>52</v>
      </c>
      <c r="C370" s="25">
        <f t="shared" si="1"/>
        <v>41436</v>
      </c>
      <c r="D370" s="26">
        <v>41436</v>
      </c>
      <c r="E370" s="7" t="s">
        <v>66</v>
      </c>
      <c r="F370" s="7" t="s">
        <v>67</v>
      </c>
      <c r="H370" s="7" t="s">
        <v>4791</v>
      </c>
      <c r="I370" s="7">
        <v>13.86</v>
      </c>
    </row>
    <row r="371" spans="1:9" ht="14.25" customHeight="1" x14ac:dyDescent="0.2">
      <c r="A371" s="7">
        <v>370</v>
      </c>
      <c r="B371" s="7">
        <v>7</v>
      </c>
      <c r="C371" s="25">
        <f t="shared" si="1"/>
        <v>41444</v>
      </c>
      <c r="D371" s="26">
        <v>41444</v>
      </c>
      <c r="E371" s="7" t="s">
        <v>163</v>
      </c>
      <c r="F371" s="7" t="s">
        <v>164</v>
      </c>
      <c r="H371" s="7" t="s">
        <v>165</v>
      </c>
      <c r="I371" s="7">
        <v>0.99</v>
      </c>
    </row>
    <row r="372" spans="1:9" ht="14.25" customHeight="1" x14ac:dyDescent="0.2">
      <c r="A372" s="7">
        <v>371</v>
      </c>
      <c r="B372" s="7">
        <v>8</v>
      </c>
      <c r="C372" s="25">
        <f t="shared" si="1"/>
        <v>41457</v>
      </c>
      <c r="D372" s="26">
        <v>41457</v>
      </c>
      <c r="E372" s="7" t="s">
        <v>44</v>
      </c>
      <c r="F372" s="7" t="s">
        <v>45</v>
      </c>
      <c r="H372" s="7" t="s">
        <v>46</v>
      </c>
      <c r="I372" s="7">
        <v>1.98</v>
      </c>
    </row>
    <row r="373" spans="1:9" ht="14.25" customHeight="1" x14ac:dyDescent="0.2">
      <c r="A373" s="7">
        <v>372</v>
      </c>
      <c r="B373" s="7">
        <v>10</v>
      </c>
      <c r="C373" s="25">
        <f t="shared" si="1"/>
        <v>41457</v>
      </c>
      <c r="D373" s="26">
        <v>41457</v>
      </c>
      <c r="E373" s="7" t="s">
        <v>97</v>
      </c>
      <c r="F373" s="7" t="s">
        <v>98</v>
      </c>
      <c r="G373" s="7" t="s">
        <v>99</v>
      </c>
      <c r="H373" s="7" t="s">
        <v>100</v>
      </c>
      <c r="I373" s="7">
        <v>1.98</v>
      </c>
    </row>
    <row r="374" spans="1:9" ht="14.25" customHeight="1" x14ac:dyDescent="0.2">
      <c r="A374" s="7">
        <v>373</v>
      </c>
      <c r="B374" s="7">
        <v>12</v>
      </c>
      <c r="C374" s="25">
        <f t="shared" si="1"/>
        <v>41458</v>
      </c>
      <c r="D374" s="26">
        <v>41458</v>
      </c>
      <c r="E374" s="7" t="s">
        <v>112</v>
      </c>
      <c r="F374" s="7" t="s">
        <v>113</v>
      </c>
      <c r="G374" s="7" t="s">
        <v>114</v>
      </c>
      <c r="H374" s="7" t="s">
        <v>100</v>
      </c>
      <c r="I374" s="7">
        <v>3.96</v>
      </c>
    </row>
    <row r="375" spans="1:9" ht="14.25" customHeight="1" x14ac:dyDescent="0.2">
      <c r="A375" s="7">
        <v>374</v>
      </c>
      <c r="B375" s="7">
        <v>16</v>
      </c>
      <c r="C375" s="25">
        <f t="shared" si="1"/>
        <v>41459</v>
      </c>
      <c r="D375" s="26">
        <v>41459</v>
      </c>
      <c r="E375" s="7" t="s">
        <v>68</v>
      </c>
      <c r="F375" s="7" t="s">
        <v>69</v>
      </c>
      <c r="G375" s="7" t="s">
        <v>70</v>
      </c>
      <c r="H375" s="7" t="s">
        <v>4790</v>
      </c>
      <c r="I375" s="7">
        <v>5.94</v>
      </c>
    </row>
    <row r="376" spans="1:9" ht="14.25" customHeight="1" x14ac:dyDescent="0.2">
      <c r="A376" s="7">
        <v>375</v>
      </c>
      <c r="B376" s="7">
        <v>22</v>
      </c>
      <c r="C376" s="25">
        <f t="shared" si="1"/>
        <v>41462</v>
      </c>
      <c r="D376" s="26">
        <v>41462</v>
      </c>
      <c r="E376" s="7" t="s">
        <v>171</v>
      </c>
      <c r="F376" s="7" t="s">
        <v>172</v>
      </c>
      <c r="G376" s="7" t="s">
        <v>173</v>
      </c>
      <c r="H376" s="7" t="s">
        <v>4790</v>
      </c>
      <c r="I376" s="7">
        <v>8.91</v>
      </c>
    </row>
    <row r="377" spans="1:9" ht="14.25" customHeight="1" x14ac:dyDescent="0.2">
      <c r="A377" s="7">
        <v>376</v>
      </c>
      <c r="B377" s="7">
        <v>31</v>
      </c>
      <c r="C377" s="25">
        <f t="shared" si="1"/>
        <v>41467</v>
      </c>
      <c r="D377" s="26">
        <v>41467</v>
      </c>
      <c r="E377" s="7" t="s">
        <v>82</v>
      </c>
      <c r="F377" s="7" t="s">
        <v>83</v>
      </c>
      <c r="G377" s="7" t="s">
        <v>84</v>
      </c>
      <c r="H377" s="7" t="s">
        <v>50</v>
      </c>
      <c r="I377" s="7">
        <v>13.86</v>
      </c>
    </row>
    <row r="378" spans="1:9" ht="14.25" customHeight="1" x14ac:dyDescent="0.2">
      <c r="A378" s="7">
        <v>377</v>
      </c>
      <c r="B378" s="7">
        <v>45</v>
      </c>
      <c r="C378" s="25">
        <f t="shared" si="1"/>
        <v>41475</v>
      </c>
      <c r="D378" s="26">
        <v>41475</v>
      </c>
      <c r="E378" s="7" t="s">
        <v>168</v>
      </c>
      <c r="F378" s="7" t="s">
        <v>169</v>
      </c>
      <c r="H378" s="7" t="s">
        <v>170</v>
      </c>
      <c r="I378" s="7">
        <v>0.99</v>
      </c>
    </row>
    <row r="379" spans="1:9" ht="14.25" customHeight="1" x14ac:dyDescent="0.2">
      <c r="A379" s="7">
        <v>378</v>
      </c>
      <c r="B379" s="7">
        <v>46</v>
      </c>
      <c r="C379" s="25">
        <f t="shared" si="1"/>
        <v>41488</v>
      </c>
      <c r="D379" s="26">
        <v>41488</v>
      </c>
      <c r="E379" s="7" t="s">
        <v>63</v>
      </c>
      <c r="F379" s="7" t="s">
        <v>64</v>
      </c>
      <c r="G379" s="7" t="s">
        <v>64</v>
      </c>
      <c r="H379" s="7" t="s">
        <v>65</v>
      </c>
      <c r="I379" s="7">
        <v>1.98</v>
      </c>
    </row>
    <row r="380" spans="1:9" ht="14.25" customHeight="1" x14ac:dyDescent="0.2">
      <c r="A380" s="7">
        <v>379</v>
      </c>
      <c r="B380" s="7">
        <v>48</v>
      </c>
      <c r="C380" s="25">
        <f t="shared" si="1"/>
        <v>41488</v>
      </c>
      <c r="D380" s="26">
        <v>41488</v>
      </c>
      <c r="E380" s="7" t="s">
        <v>108</v>
      </c>
      <c r="F380" s="7" t="s">
        <v>109</v>
      </c>
      <c r="G380" s="7" t="s">
        <v>110</v>
      </c>
      <c r="H380" s="7" t="s">
        <v>111</v>
      </c>
      <c r="I380" s="7">
        <v>1.98</v>
      </c>
    </row>
    <row r="381" spans="1:9" ht="14.25" customHeight="1" x14ac:dyDescent="0.2">
      <c r="A381" s="7">
        <v>380</v>
      </c>
      <c r="B381" s="7">
        <v>50</v>
      </c>
      <c r="C381" s="25">
        <f t="shared" si="1"/>
        <v>41489</v>
      </c>
      <c r="D381" s="26">
        <v>41489</v>
      </c>
      <c r="E381" s="7" t="s">
        <v>124</v>
      </c>
      <c r="F381" s="7" t="s">
        <v>125</v>
      </c>
      <c r="H381" s="7" t="s">
        <v>126</v>
      </c>
      <c r="I381" s="7">
        <v>3.96</v>
      </c>
    </row>
    <row r="382" spans="1:9" ht="14.25" customHeight="1" x14ac:dyDescent="0.2">
      <c r="A382" s="7">
        <v>381</v>
      </c>
      <c r="B382" s="7">
        <v>54</v>
      </c>
      <c r="C382" s="25">
        <f t="shared" si="1"/>
        <v>41490</v>
      </c>
      <c r="D382" s="26">
        <v>41490</v>
      </c>
      <c r="E382" s="7" t="s">
        <v>85</v>
      </c>
      <c r="F382" s="7" t="s">
        <v>86</v>
      </c>
      <c r="H382" s="7" t="s">
        <v>4791</v>
      </c>
      <c r="I382" s="7">
        <v>5.94</v>
      </c>
    </row>
    <row r="383" spans="1:9" ht="14.25" customHeight="1" x14ac:dyDescent="0.2">
      <c r="A383" s="7">
        <v>382</v>
      </c>
      <c r="B383" s="7">
        <v>1</v>
      </c>
      <c r="C383" s="25">
        <f t="shared" si="1"/>
        <v>41493</v>
      </c>
      <c r="D383" s="26">
        <v>41493</v>
      </c>
      <c r="E383" s="7" t="s">
        <v>177</v>
      </c>
      <c r="F383" s="7" t="s">
        <v>178</v>
      </c>
      <c r="G383" s="7" t="s">
        <v>99</v>
      </c>
      <c r="H383" s="7" t="s">
        <v>100</v>
      </c>
      <c r="I383" s="7">
        <v>8.91</v>
      </c>
    </row>
    <row r="384" spans="1:9" ht="14.25" customHeight="1" x14ac:dyDescent="0.2">
      <c r="A384" s="7">
        <v>383</v>
      </c>
      <c r="B384" s="7">
        <v>10</v>
      </c>
      <c r="C384" s="25">
        <f t="shared" si="1"/>
        <v>41498</v>
      </c>
      <c r="D384" s="26">
        <v>41498</v>
      </c>
      <c r="E384" s="7" t="s">
        <v>97</v>
      </c>
      <c r="F384" s="7" t="s">
        <v>98</v>
      </c>
      <c r="G384" s="7" t="s">
        <v>99</v>
      </c>
      <c r="H384" s="7" t="s">
        <v>100</v>
      </c>
      <c r="I384" s="7">
        <v>13.86</v>
      </c>
    </row>
    <row r="385" spans="1:9" ht="14.25" customHeight="1" x14ac:dyDescent="0.2">
      <c r="A385" s="7">
        <v>384</v>
      </c>
      <c r="B385" s="7">
        <v>24</v>
      </c>
      <c r="C385" s="25">
        <f t="shared" si="1"/>
        <v>41506</v>
      </c>
      <c r="D385" s="26">
        <v>41506</v>
      </c>
      <c r="E385" s="7" t="s">
        <v>174</v>
      </c>
      <c r="F385" s="7" t="s">
        <v>175</v>
      </c>
      <c r="G385" s="7" t="s">
        <v>176</v>
      </c>
      <c r="H385" s="7" t="s">
        <v>4790</v>
      </c>
      <c r="I385" s="7">
        <v>0.99</v>
      </c>
    </row>
    <row r="386" spans="1:9" ht="14.25" customHeight="1" x14ac:dyDescent="0.2">
      <c r="A386" s="7">
        <v>385</v>
      </c>
      <c r="B386" s="7">
        <v>25</v>
      </c>
      <c r="C386" s="25">
        <f t="shared" si="1"/>
        <v>41519</v>
      </c>
      <c r="D386" s="26">
        <v>41519</v>
      </c>
      <c r="E386" s="7" t="s">
        <v>79</v>
      </c>
      <c r="F386" s="7" t="s">
        <v>80</v>
      </c>
      <c r="G386" s="7" t="s">
        <v>81</v>
      </c>
      <c r="H386" s="7" t="s">
        <v>4790</v>
      </c>
      <c r="I386" s="7">
        <v>1.98</v>
      </c>
    </row>
    <row r="387" spans="1:9" ht="14.25" customHeight="1" x14ac:dyDescent="0.2">
      <c r="A387" s="7">
        <v>386</v>
      </c>
      <c r="B387" s="7">
        <v>27</v>
      </c>
      <c r="C387" s="25">
        <f t="shared" si="1"/>
        <v>41519</v>
      </c>
      <c r="D387" s="26">
        <v>41519</v>
      </c>
      <c r="E387" s="7" t="s">
        <v>121</v>
      </c>
      <c r="F387" s="7" t="s">
        <v>122</v>
      </c>
      <c r="G387" s="7" t="s">
        <v>123</v>
      </c>
      <c r="H387" s="7" t="s">
        <v>4790</v>
      </c>
      <c r="I387" s="7">
        <v>1.98</v>
      </c>
    </row>
    <row r="388" spans="1:9" ht="14.25" customHeight="1" x14ac:dyDescent="0.2">
      <c r="A388" s="7">
        <v>387</v>
      </c>
      <c r="B388" s="7">
        <v>29</v>
      </c>
      <c r="C388" s="25">
        <f t="shared" si="1"/>
        <v>41520</v>
      </c>
      <c r="D388" s="26">
        <v>41520</v>
      </c>
      <c r="E388" s="7" t="s">
        <v>134</v>
      </c>
      <c r="F388" s="7" t="s">
        <v>135</v>
      </c>
      <c r="G388" s="7" t="s">
        <v>136</v>
      </c>
      <c r="H388" s="7" t="s">
        <v>50</v>
      </c>
      <c r="I388" s="7">
        <v>3.96</v>
      </c>
    </row>
    <row r="389" spans="1:9" ht="14.25" customHeight="1" x14ac:dyDescent="0.2">
      <c r="A389" s="7">
        <v>388</v>
      </c>
      <c r="B389" s="7">
        <v>33</v>
      </c>
      <c r="C389" s="25">
        <f t="shared" si="1"/>
        <v>41521</v>
      </c>
      <c r="D389" s="26">
        <v>41521</v>
      </c>
      <c r="E389" s="7" t="s">
        <v>101</v>
      </c>
      <c r="F389" s="7" t="s">
        <v>102</v>
      </c>
      <c r="G389" s="7" t="s">
        <v>103</v>
      </c>
      <c r="H389" s="7" t="s">
        <v>50</v>
      </c>
      <c r="I389" s="7">
        <v>5.94</v>
      </c>
    </row>
    <row r="390" spans="1:9" ht="14.25" customHeight="1" x14ac:dyDescent="0.2">
      <c r="A390" s="7">
        <v>389</v>
      </c>
      <c r="B390" s="7">
        <v>39</v>
      </c>
      <c r="C390" s="25">
        <f t="shared" si="1"/>
        <v>41524</v>
      </c>
      <c r="D390" s="26">
        <v>41524</v>
      </c>
      <c r="E390" s="7" t="s">
        <v>182</v>
      </c>
      <c r="F390" s="7" t="s">
        <v>59</v>
      </c>
      <c r="H390" s="7" t="s">
        <v>60</v>
      </c>
      <c r="I390" s="7">
        <v>8.91</v>
      </c>
    </row>
    <row r="391" spans="1:9" ht="14.25" customHeight="1" x14ac:dyDescent="0.2">
      <c r="A391" s="7">
        <v>390</v>
      </c>
      <c r="B391" s="7">
        <v>48</v>
      </c>
      <c r="C391" s="25">
        <f t="shared" si="1"/>
        <v>41529</v>
      </c>
      <c r="D391" s="26">
        <v>41529</v>
      </c>
      <c r="E391" s="7" t="s">
        <v>108</v>
      </c>
      <c r="F391" s="7" t="s">
        <v>109</v>
      </c>
      <c r="G391" s="7" t="s">
        <v>110</v>
      </c>
      <c r="H391" s="7" t="s">
        <v>111</v>
      </c>
      <c r="I391" s="7">
        <v>13.86</v>
      </c>
    </row>
    <row r="392" spans="1:9" ht="14.25" customHeight="1" x14ac:dyDescent="0.2">
      <c r="A392" s="7">
        <v>391</v>
      </c>
      <c r="B392" s="7">
        <v>3</v>
      </c>
      <c r="C392" s="25">
        <f t="shared" si="1"/>
        <v>41537</v>
      </c>
      <c r="D392" s="26">
        <v>41537</v>
      </c>
      <c r="E392" s="7" t="s">
        <v>179</v>
      </c>
      <c r="F392" s="7" t="s">
        <v>180</v>
      </c>
      <c r="G392" s="7" t="s">
        <v>181</v>
      </c>
      <c r="H392" s="7" t="s">
        <v>50</v>
      </c>
      <c r="I392" s="7">
        <v>0.99</v>
      </c>
    </row>
    <row r="393" spans="1:9" ht="14.25" customHeight="1" x14ac:dyDescent="0.2">
      <c r="A393" s="7">
        <v>392</v>
      </c>
      <c r="B393" s="7">
        <v>4</v>
      </c>
      <c r="C393" s="25">
        <f t="shared" si="1"/>
        <v>41550</v>
      </c>
      <c r="D393" s="26">
        <v>41550</v>
      </c>
      <c r="E393" s="7" t="s">
        <v>41</v>
      </c>
      <c r="F393" s="7" t="s">
        <v>42</v>
      </c>
      <c r="H393" s="7" t="s">
        <v>43</v>
      </c>
      <c r="I393" s="7">
        <v>1.98</v>
      </c>
    </row>
    <row r="394" spans="1:9" ht="14.25" customHeight="1" x14ac:dyDescent="0.2">
      <c r="A394" s="7">
        <v>393</v>
      </c>
      <c r="B394" s="7">
        <v>6</v>
      </c>
      <c r="C394" s="25">
        <f t="shared" si="1"/>
        <v>41550</v>
      </c>
      <c r="D394" s="26">
        <v>41550</v>
      </c>
      <c r="E394" s="7" t="s">
        <v>131</v>
      </c>
      <c r="F394" s="7" t="s">
        <v>132</v>
      </c>
      <c r="H394" s="7" t="s">
        <v>133</v>
      </c>
      <c r="I394" s="7">
        <v>1.98</v>
      </c>
    </row>
    <row r="395" spans="1:9" ht="14.25" customHeight="1" x14ac:dyDescent="0.2">
      <c r="A395" s="7">
        <v>394</v>
      </c>
      <c r="B395" s="7">
        <v>8</v>
      </c>
      <c r="C395" s="25">
        <f t="shared" si="1"/>
        <v>41551</v>
      </c>
      <c r="D395" s="26">
        <v>41551</v>
      </c>
      <c r="E395" s="7" t="s">
        <v>44</v>
      </c>
      <c r="F395" s="7" t="s">
        <v>45</v>
      </c>
      <c r="H395" s="7" t="s">
        <v>46</v>
      </c>
      <c r="I395" s="7">
        <v>3.96</v>
      </c>
    </row>
    <row r="396" spans="1:9" ht="14.25" customHeight="1" x14ac:dyDescent="0.2">
      <c r="A396" s="7">
        <v>395</v>
      </c>
      <c r="B396" s="7">
        <v>12</v>
      </c>
      <c r="C396" s="25">
        <f t="shared" si="1"/>
        <v>41552</v>
      </c>
      <c r="D396" s="26">
        <v>41552</v>
      </c>
      <c r="E396" s="7" t="s">
        <v>112</v>
      </c>
      <c r="F396" s="7" t="s">
        <v>113</v>
      </c>
      <c r="G396" s="7" t="s">
        <v>114</v>
      </c>
      <c r="H396" s="7" t="s">
        <v>100</v>
      </c>
      <c r="I396" s="7">
        <v>5.94</v>
      </c>
    </row>
    <row r="397" spans="1:9" ht="14.25" customHeight="1" x14ac:dyDescent="0.2">
      <c r="A397" s="7">
        <v>396</v>
      </c>
      <c r="B397" s="7">
        <v>18</v>
      </c>
      <c r="C397" s="25">
        <f t="shared" si="1"/>
        <v>41555</v>
      </c>
      <c r="D397" s="26">
        <v>41555</v>
      </c>
      <c r="E397" s="7" t="s">
        <v>185</v>
      </c>
      <c r="F397" s="7" t="s">
        <v>186</v>
      </c>
      <c r="G397" s="7" t="s">
        <v>187</v>
      </c>
      <c r="H397" s="7" t="s">
        <v>4790</v>
      </c>
      <c r="I397" s="7">
        <v>8.91</v>
      </c>
    </row>
    <row r="398" spans="1:9" ht="14.25" customHeight="1" x14ac:dyDescent="0.2">
      <c r="A398" s="7">
        <v>397</v>
      </c>
      <c r="B398" s="7">
        <v>27</v>
      </c>
      <c r="C398" s="25">
        <f t="shared" si="1"/>
        <v>41560</v>
      </c>
      <c r="D398" s="26">
        <v>41560</v>
      </c>
      <c r="E398" s="7" t="s">
        <v>121</v>
      </c>
      <c r="F398" s="7" t="s">
        <v>122</v>
      </c>
      <c r="G398" s="7" t="s">
        <v>123</v>
      </c>
      <c r="H398" s="7" t="s">
        <v>4790</v>
      </c>
      <c r="I398" s="7">
        <v>13.86</v>
      </c>
    </row>
    <row r="399" spans="1:9" ht="14.25" customHeight="1" x14ac:dyDescent="0.2">
      <c r="A399" s="7">
        <v>398</v>
      </c>
      <c r="B399" s="7">
        <v>41</v>
      </c>
      <c r="C399" s="25">
        <f t="shared" si="1"/>
        <v>41568</v>
      </c>
      <c r="D399" s="26">
        <v>41568</v>
      </c>
      <c r="E399" s="7" t="s">
        <v>183</v>
      </c>
      <c r="F399" s="7" t="s">
        <v>184</v>
      </c>
      <c r="H399" s="7" t="s">
        <v>60</v>
      </c>
      <c r="I399" s="7">
        <v>0.99</v>
      </c>
    </row>
    <row r="400" spans="1:9" ht="14.25" customHeight="1" x14ac:dyDescent="0.2">
      <c r="A400" s="7">
        <v>399</v>
      </c>
      <c r="B400" s="7">
        <v>42</v>
      </c>
      <c r="C400" s="25">
        <f t="shared" si="1"/>
        <v>41581</v>
      </c>
      <c r="D400" s="26">
        <v>41581</v>
      </c>
      <c r="E400" s="7" t="s">
        <v>61</v>
      </c>
      <c r="F400" s="7" t="s">
        <v>62</v>
      </c>
      <c r="H400" s="7" t="s">
        <v>60</v>
      </c>
      <c r="I400" s="7">
        <v>1.98</v>
      </c>
    </row>
    <row r="401" spans="1:9" ht="14.25" customHeight="1" x14ac:dyDescent="0.2">
      <c r="A401" s="7">
        <v>400</v>
      </c>
      <c r="B401" s="7">
        <v>44</v>
      </c>
      <c r="C401" s="25">
        <f t="shared" si="1"/>
        <v>41581</v>
      </c>
      <c r="D401" s="26">
        <v>41581</v>
      </c>
      <c r="E401" s="7" t="s">
        <v>142</v>
      </c>
      <c r="F401" s="7" t="s">
        <v>143</v>
      </c>
      <c r="H401" s="7" t="s">
        <v>144</v>
      </c>
      <c r="I401" s="7">
        <v>1.98</v>
      </c>
    </row>
    <row r="402" spans="1:9" ht="14.25" customHeight="1" x14ac:dyDescent="0.2">
      <c r="A402" s="7">
        <v>401</v>
      </c>
      <c r="B402" s="7">
        <v>46</v>
      </c>
      <c r="C402" s="25">
        <f t="shared" si="1"/>
        <v>41582</v>
      </c>
      <c r="D402" s="26">
        <v>41582</v>
      </c>
      <c r="E402" s="7" t="s">
        <v>63</v>
      </c>
      <c r="F402" s="7" t="s">
        <v>64</v>
      </c>
      <c r="G402" s="7" t="s">
        <v>64</v>
      </c>
      <c r="H402" s="7" t="s">
        <v>65</v>
      </c>
      <c r="I402" s="7">
        <v>3.96</v>
      </c>
    </row>
    <row r="403" spans="1:9" ht="14.25" customHeight="1" x14ac:dyDescent="0.2">
      <c r="A403" s="7">
        <v>402</v>
      </c>
      <c r="B403" s="7">
        <v>50</v>
      </c>
      <c r="C403" s="25">
        <f t="shared" si="1"/>
        <v>41583</v>
      </c>
      <c r="D403" s="26">
        <v>41583</v>
      </c>
      <c r="E403" s="7" t="s">
        <v>124</v>
      </c>
      <c r="F403" s="7" t="s">
        <v>125</v>
      </c>
      <c r="H403" s="7" t="s">
        <v>126</v>
      </c>
      <c r="I403" s="7">
        <v>5.94</v>
      </c>
    </row>
    <row r="404" spans="1:9" ht="14.25" customHeight="1" x14ac:dyDescent="0.2">
      <c r="A404" s="7">
        <v>403</v>
      </c>
      <c r="B404" s="7">
        <v>56</v>
      </c>
      <c r="C404" s="25">
        <f t="shared" si="1"/>
        <v>41586</v>
      </c>
      <c r="D404" s="26">
        <v>41586</v>
      </c>
      <c r="E404" s="7" t="s">
        <v>189</v>
      </c>
      <c r="F404" s="7" t="s">
        <v>190</v>
      </c>
      <c r="H404" s="7" t="s">
        <v>191</v>
      </c>
      <c r="I404" s="7">
        <v>8.91</v>
      </c>
    </row>
    <row r="405" spans="1:9" ht="14.25" customHeight="1" x14ac:dyDescent="0.2">
      <c r="A405" s="7">
        <v>404</v>
      </c>
      <c r="B405" s="7">
        <v>6</v>
      </c>
      <c r="C405" s="25">
        <f t="shared" si="1"/>
        <v>41591</v>
      </c>
      <c r="D405" s="26">
        <v>41591</v>
      </c>
      <c r="E405" s="7" t="s">
        <v>131</v>
      </c>
      <c r="F405" s="7" t="s">
        <v>132</v>
      </c>
      <c r="H405" s="7" t="s">
        <v>133</v>
      </c>
      <c r="I405" s="7">
        <v>25.86</v>
      </c>
    </row>
    <row r="406" spans="1:9" ht="14.25" customHeight="1" x14ac:dyDescent="0.2">
      <c r="A406" s="7">
        <v>405</v>
      </c>
      <c r="B406" s="7">
        <v>20</v>
      </c>
      <c r="C406" s="25">
        <f t="shared" si="1"/>
        <v>41599</v>
      </c>
      <c r="D406" s="26">
        <v>41599</v>
      </c>
      <c r="E406" s="7" t="s">
        <v>188</v>
      </c>
      <c r="F406" s="7" t="s">
        <v>69</v>
      </c>
      <c r="G406" s="7" t="s">
        <v>70</v>
      </c>
      <c r="H406" s="7" t="s">
        <v>4790</v>
      </c>
      <c r="I406" s="7">
        <v>0.99</v>
      </c>
    </row>
    <row r="407" spans="1:9" ht="14.25" customHeight="1" x14ac:dyDescent="0.2">
      <c r="A407" s="7">
        <v>406</v>
      </c>
      <c r="B407" s="7">
        <v>21</v>
      </c>
      <c r="C407" s="25">
        <f t="shared" si="1"/>
        <v>41612</v>
      </c>
      <c r="D407" s="26">
        <v>41612</v>
      </c>
      <c r="E407" s="7" t="s">
        <v>76</v>
      </c>
      <c r="F407" s="7" t="s">
        <v>77</v>
      </c>
      <c r="G407" s="7" t="s">
        <v>78</v>
      </c>
      <c r="H407" s="7" t="s">
        <v>4790</v>
      </c>
      <c r="I407" s="7">
        <v>1.98</v>
      </c>
    </row>
    <row r="408" spans="1:9" ht="14.25" customHeight="1" x14ac:dyDescent="0.2">
      <c r="A408" s="7">
        <v>407</v>
      </c>
      <c r="B408" s="7">
        <v>23</v>
      </c>
      <c r="C408" s="25">
        <f t="shared" si="1"/>
        <v>41612</v>
      </c>
      <c r="D408" s="26">
        <v>41612</v>
      </c>
      <c r="E408" s="7" t="s">
        <v>51</v>
      </c>
      <c r="F408" s="7" t="s">
        <v>52</v>
      </c>
      <c r="G408" s="7" t="s">
        <v>53</v>
      </c>
      <c r="H408" s="7" t="s">
        <v>4790</v>
      </c>
      <c r="I408" s="7">
        <v>1.98</v>
      </c>
    </row>
    <row r="409" spans="1:9" ht="14.25" customHeight="1" x14ac:dyDescent="0.2">
      <c r="A409" s="7">
        <v>408</v>
      </c>
      <c r="B409" s="7">
        <v>25</v>
      </c>
      <c r="C409" s="25">
        <f t="shared" si="1"/>
        <v>41613</v>
      </c>
      <c r="D409" s="26">
        <v>41613</v>
      </c>
      <c r="E409" s="7" t="s">
        <v>79</v>
      </c>
      <c r="F409" s="7" t="s">
        <v>80</v>
      </c>
      <c r="G409" s="7" t="s">
        <v>81</v>
      </c>
      <c r="H409" s="7" t="s">
        <v>4790</v>
      </c>
      <c r="I409" s="7">
        <v>3.96</v>
      </c>
    </row>
    <row r="410" spans="1:9" ht="14.25" customHeight="1" x14ac:dyDescent="0.2">
      <c r="A410" s="7">
        <v>409</v>
      </c>
      <c r="B410" s="7">
        <v>29</v>
      </c>
      <c r="C410" s="25">
        <f t="shared" si="1"/>
        <v>41614</v>
      </c>
      <c r="D410" s="26">
        <v>41614</v>
      </c>
      <c r="E410" s="7" t="s">
        <v>134</v>
      </c>
      <c r="F410" s="7" t="s">
        <v>135</v>
      </c>
      <c r="G410" s="7" t="s">
        <v>136</v>
      </c>
      <c r="H410" s="7" t="s">
        <v>50</v>
      </c>
      <c r="I410" s="7">
        <v>5.94</v>
      </c>
    </row>
    <row r="411" spans="1:9" ht="14.25" customHeight="1" x14ac:dyDescent="0.2">
      <c r="A411" s="7">
        <v>410</v>
      </c>
      <c r="B411" s="7">
        <v>35</v>
      </c>
      <c r="C411" s="25">
        <f t="shared" si="1"/>
        <v>41617</v>
      </c>
      <c r="D411" s="26">
        <v>41617</v>
      </c>
      <c r="E411" s="7" t="s">
        <v>194</v>
      </c>
      <c r="F411" s="7" t="s">
        <v>195</v>
      </c>
      <c r="H411" s="7" t="s">
        <v>106</v>
      </c>
      <c r="I411" s="7">
        <v>8.91</v>
      </c>
    </row>
    <row r="412" spans="1:9" ht="14.25" customHeight="1" x14ac:dyDescent="0.2">
      <c r="A412" s="7">
        <v>411</v>
      </c>
      <c r="B412" s="7">
        <v>44</v>
      </c>
      <c r="C412" s="25">
        <f t="shared" si="1"/>
        <v>41622</v>
      </c>
      <c r="D412" s="26">
        <v>41622</v>
      </c>
      <c r="E412" s="7" t="s">
        <v>142</v>
      </c>
      <c r="F412" s="7" t="s">
        <v>143</v>
      </c>
      <c r="H412" s="7" t="s">
        <v>144</v>
      </c>
      <c r="I412" s="7">
        <v>13.86</v>
      </c>
    </row>
    <row r="413" spans="1:9" ht="14.25" customHeight="1" x14ac:dyDescent="0.2">
      <c r="A413" s="7">
        <v>412</v>
      </c>
      <c r="B413" s="7">
        <v>58</v>
      </c>
      <c r="C413" s="25">
        <f t="shared" si="1"/>
        <v>41630</v>
      </c>
      <c r="D413" s="26">
        <v>41630</v>
      </c>
      <c r="E413" s="7" t="s">
        <v>192</v>
      </c>
      <c r="F413" s="7" t="s">
        <v>193</v>
      </c>
      <c r="H413" s="7" t="s">
        <v>96</v>
      </c>
      <c r="I413" s="7">
        <v>1.99</v>
      </c>
    </row>
    <row r="414" spans="1:9" ht="14.25" customHeight="1" x14ac:dyDescent="0.2"/>
    <row r="415" spans="1:9" ht="14.25" customHeight="1" x14ac:dyDescent="0.2"/>
    <row r="416" spans="1:9"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AB73A-AFF1-9543-B88E-2D61B3ADC6F3}">
  <dimension ref="A1:B3"/>
  <sheetViews>
    <sheetView workbookViewId="0">
      <selection activeCell="G9" sqref="G9"/>
    </sheetView>
  </sheetViews>
  <sheetFormatPr baseColWidth="10" defaultRowHeight="15" x14ac:dyDescent="0.2"/>
  <cols>
    <col min="1" max="1" width="20.5" customWidth="1"/>
  </cols>
  <sheetData>
    <row r="1" spans="1:2" x14ac:dyDescent="0.2">
      <c r="A1" s="41" t="s">
        <v>4793</v>
      </c>
      <c r="B1" s="41"/>
    </row>
    <row r="2" spans="1:2" x14ac:dyDescent="0.2">
      <c r="A2" s="42"/>
      <c r="B2" s="42"/>
    </row>
    <row r="3" spans="1:2" ht="16" thickBot="1" x14ac:dyDescent="0.25">
      <c r="A3" s="43" t="s">
        <v>4794</v>
      </c>
      <c r="B3" s="43">
        <v>0.45956372893534342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2A52B-B080-CF42-8671-305A22ACAE51}">
  <dimension ref="A1:F31"/>
  <sheetViews>
    <sheetView workbookViewId="0">
      <selection activeCell="K20" sqref="K20"/>
    </sheetView>
  </sheetViews>
  <sheetFormatPr baseColWidth="10" defaultRowHeight="15" x14ac:dyDescent="0.2"/>
  <cols>
    <col min="1" max="1" width="17.1640625" bestFit="1" customWidth="1"/>
    <col min="2" max="2" width="15.6640625" bestFit="1" customWidth="1"/>
    <col min="3" max="5" width="7.1640625" bestFit="1" customWidth="1"/>
    <col min="6" max="7" width="10" bestFit="1" customWidth="1"/>
    <col min="8" max="13" width="8.5" bestFit="1" customWidth="1"/>
    <col min="14" max="19" width="8.83203125" bestFit="1" customWidth="1"/>
    <col min="20" max="25" width="8.5" bestFit="1" customWidth="1"/>
    <col min="26" max="31" width="9" bestFit="1" customWidth="1"/>
    <col min="32" max="37" width="8.33203125" bestFit="1" customWidth="1"/>
    <col min="38" max="43" width="7.83203125" bestFit="1" customWidth="1"/>
    <col min="44" max="49" width="8.6640625" bestFit="1" customWidth="1"/>
    <col min="50" max="55" width="8.5" bestFit="1" customWidth="1"/>
    <col min="56" max="61" width="8.33203125" bestFit="1" customWidth="1"/>
    <col min="62" max="73" width="8.6640625" bestFit="1" customWidth="1"/>
    <col min="74" max="79" width="8.1640625" bestFit="1" customWidth="1"/>
    <col min="80" max="85" width="8.5" bestFit="1" customWidth="1"/>
    <col min="86" max="91" width="8.83203125" bestFit="1" customWidth="1"/>
    <col min="92" max="97" width="8.5" bestFit="1" customWidth="1"/>
    <col min="98" max="103" width="9" bestFit="1" customWidth="1"/>
    <col min="104" max="109" width="8.33203125" bestFit="1" customWidth="1"/>
    <col min="110" max="115" width="7.83203125" bestFit="1" customWidth="1"/>
    <col min="116" max="121" width="8.6640625" bestFit="1" customWidth="1"/>
    <col min="122" max="126" width="8.5" bestFit="1" customWidth="1"/>
    <col min="127" max="132" width="8.33203125" bestFit="1" customWidth="1"/>
    <col min="133" max="144" width="8.6640625" bestFit="1" customWidth="1"/>
    <col min="145" max="150" width="8.1640625" bestFit="1" customWidth="1"/>
    <col min="151" max="156" width="8.5" bestFit="1" customWidth="1"/>
    <col min="157" max="162" width="8.83203125" bestFit="1" customWidth="1"/>
    <col min="163" max="168" width="8.5" bestFit="1" customWidth="1"/>
    <col min="169" max="174" width="9" bestFit="1" customWidth="1"/>
    <col min="175" max="180" width="8.33203125" bestFit="1" customWidth="1"/>
    <col min="181" max="186" width="7.83203125" bestFit="1" customWidth="1"/>
    <col min="187" max="192" width="8.6640625" bestFit="1" customWidth="1"/>
    <col min="193" max="198" width="8.5" bestFit="1" customWidth="1"/>
    <col min="199" max="204" width="8.33203125" bestFit="1" customWidth="1"/>
    <col min="205" max="215" width="8.6640625" bestFit="1" customWidth="1"/>
    <col min="216" max="221" width="8.1640625" bestFit="1" customWidth="1"/>
    <col min="222" max="227" width="8.5" bestFit="1" customWidth="1"/>
    <col min="228" max="233" width="8.83203125" bestFit="1" customWidth="1"/>
    <col min="234" max="239" width="8.5" bestFit="1" customWidth="1"/>
    <col min="240" max="245" width="9" bestFit="1" customWidth="1"/>
    <col min="246" max="251" width="8.33203125" bestFit="1" customWidth="1"/>
    <col min="252" max="257" width="7.83203125" bestFit="1" customWidth="1"/>
    <col min="258" max="263" width="8.6640625" bestFit="1" customWidth="1"/>
    <col min="264" max="268" width="8.5" bestFit="1" customWidth="1"/>
    <col min="269" max="274" width="8.33203125" bestFit="1" customWidth="1"/>
    <col min="275" max="286" width="8.6640625" bestFit="1" customWidth="1"/>
    <col min="287" max="292" width="8.1640625" bestFit="1" customWidth="1"/>
    <col min="293" max="296" width="8.5" bestFit="1" customWidth="1"/>
    <col min="297" max="302" width="8.83203125" bestFit="1" customWidth="1"/>
    <col min="303" max="307" width="8.5" bestFit="1" customWidth="1"/>
    <col min="308" max="313" width="9" bestFit="1" customWidth="1"/>
    <col min="314" max="319" width="8.33203125" bestFit="1" customWidth="1"/>
    <col min="320" max="325" width="7.83203125" bestFit="1" customWidth="1"/>
    <col min="326" max="331" width="8.6640625" bestFit="1" customWidth="1"/>
    <col min="332" max="337" width="8.5" bestFit="1" customWidth="1"/>
    <col min="338" max="343" width="8.33203125" bestFit="1" customWidth="1"/>
    <col min="344" max="355" width="8.6640625" bestFit="1" customWidth="1"/>
    <col min="356" max="356" width="10" bestFit="1" customWidth="1"/>
  </cols>
  <sheetData>
    <row r="1" spans="1:6" x14ac:dyDescent="0.2">
      <c r="A1" s="44" t="s">
        <v>4803</v>
      </c>
      <c r="B1" t="s">
        <v>4804</v>
      </c>
    </row>
    <row r="3" spans="1:6" x14ac:dyDescent="0.2">
      <c r="A3" s="44" t="s">
        <v>4798</v>
      </c>
      <c r="B3" s="44" t="s">
        <v>4797</v>
      </c>
    </row>
    <row r="4" spans="1:6" x14ac:dyDescent="0.2">
      <c r="B4" t="s">
        <v>4799</v>
      </c>
      <c r="C4" t="s">
        <v>4800</v>
      </c>
      <c r="D4" t="s">
        <v>4801</v>
      </c>
      <c r="E4" t="s">
        <v>4802</v>
      </c>
      <c r="F4" t="s">
        <v>4796</v>
      </c>
    </row>
    <row r="6" spans="1:6" x14ac:dyDescent="0.2">
      <c r="A6" s="44" t="s">
        <v>4795</v>
      </c>
    </row>
    <row r="7" spans="1:6" x14ac:dyDescent="0.2">
      <c r="A7" s="45" t="s">
        <v>191</v>
      </c>
      <c r="C7">
        <v>1.98</v>
      </c>
      <c r="D7">
        <v>4.95</v>
      </c>
      <c r="E7">
        <v>5.94</v>
      </c>
      <c r="F7">
        <v>12.870000000000001</v>
      </c>
    </row>
    <row r="8" spans="1:6" x14ac:dyDescent="0.2">
      <c r="A8" s="45" t="s">
        <v>90</v>
      </c>
      <c r="C8">
        <v>0.99</v>
      </c>
      <c r="E8">
        <v>1.98</v>
      </c>
      <c r="F8">
        <v>2.9699999999999998</v>
      </c>
    </row>
    <row r="9" spans="1:6" x14ac:dyDescent="0.2">
      <c r="A9" s="45" t="s">
        <v>165</v>
      </c>
      <c r="B9">
        <v>18.86</v>
      </c>
      <c r="D9">
        <v>8.91</v>
      </c>
      <c r="F9">
        <v>27.77</v>
      </c>
    </row>
    <row r="10" spans="1:6" x14ac:dyDescent="0.2">
      <c r="A10" s="45" t="s">
        <v>46</v>
      </c>
      <c r="B10">
        <v>15.84</v>
      </c>
      <c r="E10">
        <v>8.91</v>
      </c>
      <c r="F10">
        <v>24.75</v>
      </c>
    </row>
    <row r="11" spans="1:6" x14ac:dyDescent="0.2">
      <c r="A11" s="45" t="s">
        <v>100</v>
      </c>
      <c r="B11">
        <v>7.9399999999999995</v>
      </c>
      <c r="C11">
        <v>19.8</v>
      </c>
      <c r="D11">
        <v>15.84</v>
      </c>
      <c r="E11">
        <v>17.82</v>
      </c>
      <c r="F11">
        <v>61.4</v>
      </c>
    </row>
    <row r="12" spans="1:6" x14ac:dyDescent="0.2">
      <c r="A12" s="45" t="s">
        <v>50</v>
      </c>
      <c r="B12">
        <v>45.570000000000007</v>
      </c>
      <c r="C12">
        <v>28.71</v>
      </c>
      <c r="D12">
        <v>10.89</v>
      </c>
      <c r="E12">
        <v>46.53</v>
      </c>
      <c r="F12">
        <v>131.69999999999999</v>
      </c>
    </row>
    <row r="13" spans="1:6" x14ac:dyDescent="0.2">
      <c r="A13" s="45" t="s">
        <v>93</v>
      </c>
      <c r="B13">
        <v>17.91</v>
      </c>
      <c r="D13">
        <v>1.98</v>
      </c>
      <c r="E13">
        <v>3.96</v>
      </c>
      <c r="F13">
        <v>23.85</v>
      </c>
    </row>
    <row r="14" spans="1:6" x14ac:dyDescent="0.2">
      <c r="A14" s="45" t="s">
        <v>133</v>
      </c>
      <c r="B14">
        <v>6.93</v>
      </c>
      <c r="C14">
        <v>9.9</v>
      </c>
      <c r="D14">
        <v>5.94</v>
      </c>
      <c r="F14">
        <v>22.77</v>
      </c>
    </row>
    <row r="15" spans="1:6" x14ac:dyDescent="0.2">
      <c r="A15" s="45" t="s">
        <v>147</v>
      </c>
      <c r="B15">
        <v>5.94</v>
      </c>
      <c r="E15">
        <v>0.99</v>
      </c>
      <c r="F15">
        <v>6.9300000000000006</v>
      </c>
    </row>
    <row r="16" spans="1:6" x14ac:dyDescent="0.2">
      <c r="A16" s="45" t="s">
        <v>144</v>
      </c>
      <c r="B16">
        <v>1.98</v>
      </c>
      <c r="C16">
        <v>7.96</v>
      </c>
      <c r="D16">
        <v>5.94</v>
      </c>
      <c r="F16">
        <v>15.879999999999999</v>
      </c>
    </row>
    <row r="17" spans="1:6" x14ac:dyDescent="0.2">
      <c r="A17" s="45" t="s">
        <v>60</v>
      </c>
      <c r="B17">
        <v>11.88</v>
      </c>
      <c r="C17">
        <v>30.73</v>
      </c>
      <c r="D17">
        <v>27.720000000000002</v>
      </c>
      <c r="E17">
        <v>11.88</v>
      </c>
      <c r="F17">
        <v>82.21</v>
      </c>
    </row>
    <row r="18" spans="1:6" x14ac:dyDescent="0.2">
      <c r="A18" s="45" t="s">
        <v>40</v>
      </c>
      <c r="B18">
        <v>9.9</v>
      </c>
      <c r="C18">
        <v>16.89</v>
      </c>
      <c r="D18">
        <v>23.759999999999998</v>
      </c>
      <c r="E18">
        <v>23.759999999999998</v>
      </c>
      <c r="F18">
        <v>74.31</v>
      </c>
    </row>
    <row r="19" spans="1:6" x14ac:dyDescent="0.2">
      <c r="A19" s="45" t="s">
        <v>170</v>
      </c>
      <c r="B19">
        <v>23.84</v>
      </c>
      <c r="E19">
        <v>8.91</v>
      </c>
      <c r="F19">
        <v>32.75</v>
      </c>
    </row>
    <row r="20" spans="1:6" x14ac:dyDescent="0.2">
      <c r="A20" s="45" t="s">
        <v>96</v>
      </c>
      <c r="B20">
        <v>10.9</v>
      </c>
      <c r="C20">
        <v>1.98</v>
      </c>
      <c r="D20">
        <v>29.7</v>
      </c>
      <c r="F20">
        <v>42.58</v>
      </c>
    </row>
    <row r="21" spans="1:6" x14ac:dyDescent="0.2">
      <c r="A21" s="45" t="s">
        <v>65</v>
      </c>
      <c r="B21">
        <v>1.98</v>
      </c>
      <c r="C21">
        <v>21.86</v>
      </c>
      <c r="E21">
        <v>8.91</v>
      </c>
      <c r="F21">
        <v>32.75</v>
      </c>
    </row>
    <row r="22" spans="1:6" x14ac:dyDescent="0.2">
      <c r="A22" s="45" t="s">
        <v>152</v>
      </c>
      <c r="B22">
        <v>3.96</v>
      </c>
      <c r="C22">
        <v>5.94</v>
      </c>
      <c r="E22">
        <v>0.99</v>
      </c>
      <c r="F22">
        <v>10.89</v>
      </c>
    </row>
    <row r="23" spans="1:6" x14ac:dyDescent="0.2">
      <c r="A23" s="45" t="s">
        <v>111</v>
      </c>
      <c r="B23">
        <v>3.96</v>
      </c>
      <c r="C23">
        <v>8.94</v>
      </c>
      <c r="E23">
        <v>1.98</v>
      </c>
      <c r="F23">
        <v>14.879999999999999</v>
      </c>
    </row>
    <row r="24" spans="1:6" x14ac:dyDescent="0.2">
      <c r="A24" s="45" t="s">
        <v>43</v>
      </c>
      <c r="C24">
        <v>17.84</v>
      </c>
      <c r="F24">
        <v>17.84</v>
      </c>
    </row>
    <row r="25" spans="1:6" x14ac:dyDescent="0.2">
      <c r="A25" s="45" t="s">
        <v>155</v>
      </c>
      <c r="D25">
        <v>8.91</v>
      </c>
      <c r="F25">
        <v>8.91</v>
      </c>
    </row>
    <row r="26" spans="1:6" x14ac:dyDescent="0.2">
      <c r="A26" s="45" t="s">
        <v>106</v>
      </c>
      <c r="B26">
        <v>5.94</v>
      </c>
      <c r="C26">
        <v>0.99</v>
      </c>
      <c r="D26">
        <v>2.9699999999999998</v>
      </c>
      <c r="E26">
        <v>5.9399999999999995</v>
      </c>
      <c r="F26">
        <v>15.84</v>
      </c>
    </row>
    <row r="27" spans="1:6" x14ac:dyDescent="0.2">
      <c r="A27" s="45" t="s">
        <v>126</v>
      </c>
      <c r="B27">
        <v>13.86</v>
      </c>
      <c r="D27">
        <v>8.91</v>
      </c>
      <c r="E27">
        <v>1.98</v>
      </c>
      <c r="F27">
        <v>24.75</v>
      </c>
    </row>
    <row r="28" spans="1:6" x14ac:dyDescent="0.2">
      <c r="A28" s="45" t="s">
        <v>129</v>
      </c>
      <c r="B28">
        <v>6.94</v>
      </c>
      <c r="D28">
        <v>0.99</v>
      </c>
      <c r="F28">
        <v>7.9300000000000006</v>
      </c>
    </row>
    <row r="29" spans="1:6" x14ac:dyDescent="0.2">
      <c r="A29" s="45" t="s">
        <v>4791</v>
      </c>
      <c r="B29">
        <v>5.94</v>
      </c>
      <c r="C29">
        <v>17.82</v>
      </c>
      <c r="D29">
        <v>3.96</v>
      </c>
      <c r="E29">
        <v>20.79</v>
      </c>
      <c r="F29">
        <v>48.510000000000005</v>
      </c>
    </row>
    <row r="30" spans="1:6" x14ac:dyDescent="0.2">
      <c r="A30" s="45" t="s">
        <v>4790</v>
      </c>
      <c r="B30">
        <v>36.650000000000006</v>
      </c>
      <c r="C30">
        <v>65.389999999999986</v>
      </c>
      <c r="D30">
        <v>63.36</v>
      </c>
      <c r="E30">
        <v>40.590000000000003</v>
      </c>
      <c r="F30">
        <v>205.98999999999998</v>
      </c>
    </row>
    <row r="31" spans="1:6" x14ac:dyDescent="0.2">
      <c r="A31" s="45" t="s">
        <v>4796</v>
      </c>
      <c r="B31">
        <v>256.72000000000003</v>
      </c>
      <c r="C31">
        <v>257.72000000000003</v>
      </c>
      <c r="D31">
        <v>224.73000000000002</v>
      </c>
      <c r="E31">
        <v>211.85999999999996</v>
      </c>
      <c r="F31">
        <v>951.03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election activeCell="F6" sqref="F6"/>
    </sheetView>
  </sheetViews>
  <sheetFormatPr baseColWidth="10" defaultColWidth="14.5" defaultRowHeight="15" customHeight="1" x14ac:dyDescent="0.2"/>
  <cols>
    <col min="1" max="1" width="11.1640625" customWidth="1"/>
    <col min="2" max="2" width="14" customWidth="1"/>
    <col min="3" max="3" width="15.6640625" customWidth="1"/>
    <col min="4" max="4" width="11.5" customWidth="1"/>
    <col min="5" max="5" width="15.6640625" customWidth="1"/>
    <col min="6" max="6" width="15.5" customWidth="1"/>
    <col min="7" max="26" width="11.5" customWidth="1"/>
  </cols>
  <sheetData>
    <row r="1" spans="1:6" ht="14.25" customHeight="1" x14ac:dyDescent="0.2">
      <c r="A1" s="27" t="s">
        <v>4790</v>
      </c>
      <c r="B1" s="27" t="s">
        <v>40</v>
      </c>
      <c r="C1" s="27" t="s">
        <v>4791</v>
      </c>
    </row>
    <row r="2" spans="1:6" ht="14.25" customHeight="1" x14ac:dyDescent="0.2">
      <c r="A2" s="28">
        <v>13.86</v>
      </c>
      <c r="B2" s="28">
        <v>1.98</v>
      </c>
      <c r="C2" s="28">
        <v>8.91</v>
      </c>
      <c r="E2" s="29"/>
      <c r="F2" s="30" t="s">
        <v>21</v>
      </c>
    </row>
    <row r="3" spans="1:6" ht="14.25" customHeight="1" x14ac:dyDescent="0.2">
      <c r="A3" s="28">
        <v>0.99</v>
      </c>
      <c r="B3" s="28">
        <v>0.99</v>
      </c>
      <c r="C3" s="28">
        <v>0.99</v>
      </c>
      <c r="E3" s="31" t="s">
        <v>4790</v>
      </c>
      <c r="F3" s="32">
        <f>MEDIAN(A2:A92)</f>
        <v>3.96</v>
      </c>
    </row>
    <row r="4" spans="1:6" ht="14.25" customHeight="1" x14ac:dyDescent="0.2">
      <c r="A4" s="28">
        <v>1.98</v>
      </c>
      <c r="B4" s="28">
        <v>1.98</v>
      </c>
      <c r="C4" s="28">
        <v>1.98</v>
      </c>
      <c r="E4" s="31" t="s">
        <v>40</v>
      </c>
      <c r="F4" s="32">
        <f>MEDIAN(B2:B29)</f>
        <v>3.96</v>
      </c>
    </row>
    <row r="5" spans="1:6" ht="14.25" customHeight="1" x14ac:dyDescent="0.2">
      <c r="A5" s="28">
        <v>1.98</v>
      </c>
      <c r="B5" s="28">
        <v>13.86</v>
      </c>
      <c r="C5" s="28">
        <v>13.86</v>
      </c>
      <c r="E5" s="31" t="s">
        <v>4791</v>
      </c>
      <c r="F5" s="32">
        <f>MEDIAN(C2:C22)</f>
        <v>3.96</v>
      </c>
    </row>
    <row r="6" spans="1:6" ht="14.25" customHeight="1" x14ac:dyDescent="0.2">
      <c r="A6" s="28">
        <v>3.96</v>
      </c>
      <c r="B6" s="28">
        <v>1.98</v>
      </c>
      <c r="C6" s="28">
        <v>8.91</v>
      </c>
    </row>
    <row r="7" spans="1:6" ht="14.25" customHeight="1" x14ac:dyDescent="0.2">
      <c r="A7" s="28">
        <v>5.94</v>
      </c>
      <c r="B7" s="28">
        <v>3.96</v>
      </c>
      <c r="C7" s="28">
        <v>1.98</v>
      </c>
    </row>
    <row r="8" spans="1:6" ht="14.25" customHeight="1" x14ac:dyDescent="0.2">
      <c r="A8" s="28">
        <v>13.86</v>
      </c>
      <c r="B8" s="28">
        <v>13.86</v>
      </c>
      <c r="C8" s="28">
        <v>1.98</v>
      </c>
    </row>
    <row r="9" spans="1:6" ht="14.25" customHeight="1" x14ac:dyDescent="0.2">
      <c r="A9" s="28">
        <v>3.96</v>
      </c>
      <c r="B9" s="28">
        <v>5.94</v>
      </c>
      <c r="C9" s="28">
        <v>13.86</v>
      </c>
    </row>
    <row r="10" spans="1:6" ht="14.25" customHeight="1" x14ac:dyDescent="0.2">
      <c r="A10" s="28">
        <v>5.94</v>
      </c>
      <c r="B10" s="28">
        <v>8.91</v>
      </c>
      <c r="C10" s="28">
        <v>3.96</v>
      </c>
    </row>
    <row r="11" spans="1:6" ht="14.25" customHeight="1" x14ac:dyDescent="0.2">
      <c r="A11" s="28">
        <v>8.91</v>
      </c>
      <c r="B11" s="28">
        <v>8.91</v>
      </c>
      <c r="C11" s="28">
        <v>5.94</v>
      </c>
    </row>
    <row r="12" spans="1:6" ht="14.25" customHeight="1" x14ac:dyDescent="0.2">
      <c r="A12" s="28">
        <v>5.94</v>
      </c>
      <c r="B12" s="28">
        <v>0.99</v>
      </c>
      <c r="C12" s="28">
        <v>8.91</v>
      </c>
    </row>
    <row r="13" spans="1:6" ht="14.25" customHeight="1" x14ac:dyDescent="0.2">
      <c r="A13" s="28">
        <v>8.91</v>
      </c>
      <c r="B13" s="28">
        <v>1.98</v>
      </c>
      <c r="C13" s="28">
        <v>0.99</v>
      </c>
    </row>
    <row r="14" spans="1:6" ht="14.25" customHeight="1" x14ac:dyDescent="0.2">
      <c r="A14" s="28">
        <v>0.99</v>
      </c>
      <c r="B14" s="28">
        <v>13.86</v>
      </c>
      <c r="C14" s="28">
        <v>1.98</v>
      </c>
    </row>
    <row r="15" spans="1:6" ht="14.25" customHeight="1" x14ac:dyDescent="0.2">
      <c r="A15" s="28">
        <v>1.98</v>
      </c>
      <c r="B15" s="28">
        <v>14.91</v>
      </c>
      <c r="C15" s="28">
        <v>3.96</v>
      </c>
    </row>
    <row r="16" spans="1:6" ht="14.25" customHeight="1" x14ac:dyDescent="0.2">
      <c r="A16" s="28">
        <v>1.98</v>
      </c>
      <c r="B16" s="28">
        <v>1.98</v>
      </c>
      <c r="C16" s="28">
        <v>5.94</v>
      </c>
    </row>
    <row r="17" spans="1:3" ht="14.25" customHeight="1" x14ac:dyDescent="0.2">
      <c r="A17" s="28">
        <v>8.91</v>
      </c>
      <c r="B17" s="28">
        <v>3.96</v>
      </c>
      <c r="C17" s="28">
        <v>0.99</v>
      </c>
    </row>
    <row r="18" spans="1:3" ht="14.25" customHeight="1" x14ac:dyDescent="0.2">
      <c r="A18" s="28">
        <v>13.86</v>
      </c>
      <c r="B18" s="28">
        <v>1.98</v>
      </c>
      <c r="C18" s="28">
        <v>1.98</v>
      </c>
    </row>
    <row r="19" spans="1:3" ht="14.25" customHeight="1" x14ac:dyDescent="0.2">
      <c r="A19" s="28">
        <v>0.99</v>
      </c>
      <c r="B19" s="28">
        <v>1.98</v>
      </c>
      <c r="C19" s="28">
        <v>1.98</v>
      </c>
    </row>
    <row r="20" spans="1:3" ht="14.25" customHeight="1" x14ac:dyDescent="0.2">
      <c r="A20" s="28">
        <v>1.98</v>
      </c>
      <c r="B20" s="28">
        <v>13.86</v>
      </c>
      <c r="C20" s="28">
        <v>3.96</v>
      </c>
    </row>
    <row r="21" spans="1:3" ht="14.25" customHeight="1" x14ac:dyDescent="0.2">
      <c r="A21" s="28">
        <v>1.98</v>
      </c>
      <c r="B21" s="28">
        <v>5.94</v>
      </c>
      <c r="C21" s="28">
        <v>13.86</v>
      </c>
    </row>
    <row r="22" spans="1:3" ht="14.25" customHeight="1" x14ac:dyDescent="0.2">
      <c r="A22" s="28">
        <v>3.96</v>
      </c>
      <c r="B22" s="28">
        <v>3.96</v>
      </c>
      <c r="C22" s="28">
        <v>5.94</v>
      </c>
    </row>
    <row r="23" spans="1:3" ht="14.25" customHeight="1" x14ac:dyDescent="0.2">
      <c r="A23" s="28">
        <v>15.86</v>
      </c>
      <c r="B23" s="28">
        <v>5.94</v>
      </c>
      <c r="C23" s="28"/>
    </row>
    <row r="24" spans="1:3" ht="14.25" customHeight="1" x14ac:dyDescent="0.2">
      <c r="A24" s="28">
        <v>0.99</v>
      </c>
      <c r="B24" s="28">
        <v>8.91</v>
      </c>
      <c r="C24" s="28"/>
    </row>
    <row r="25" spans="1:3" ht="14.25" customHeight="1" x14ac:dyDescent="0.2">
      <c r="A25" s="28">
        <v>1.98</v>
      </c>
      <c r="B25" s="28">
        <v>0.99</v>
      </c>
      <c r="C25" s="28"/>
    </row>
    <row r="26" spans="1:3" ht="14.25" customHeight="1" x14ac:dyDescent="0.2">
      <c r="A26" s="28">
        <v>1.98</v>
      </c>
      <c r="B26" s="28">
        <v>0.99</v>
      </c>
      <c r="C26" s="28"/>
    </row>
    <row r="27" spans="1:3" ht="14.25" customHeight="1" x14ac:dyDescent="0.2">
      <c r="A27" s="28">
        <v>3.96</v>
      </c>
      <c r="B27" s="28">
        <v>1.98</v>
      </c>
      <c r="C27" s="28"/>
    </row>
    <row r="28" spans="1:3" ht="14.25" customHeight="1" x14ac:dyDescent="0.2">
      <c r="A28" s="28">
        <v>5.94</v>
      </c>
      <c r="B28" s="28">
        <v>3.96</v>
      </c>
      <c r="C28" s="28"/>
    </row>
    <row r="29" spans="1:3" ht="14.25" customHeight="1" x14ac:dyDescent="0.2">
      <c r="A29" s="28">
        <v>13.86</v>
      </c>
      <c r="B29" s="28">
        <v>5.94</v>
      </c>
      <c r="C29" s="28"/>
    </row>
    <row r="30" spans="1:3" ht="14.25" customHeight="1" x14ac:dyDescent="0.2">
      <c r="A30" s="28">
        <v>1.98</v>
      </c>
      <c r="B30" s="28"/>
      <c r="C30" s="28"/>
    </row>
    <row r="31" spans="1:3" ht="14.25" customHeight="1" x14ac:dyDescent="0.2">
      <c r="A31" s="28">
        <v>3.96</v>
      </c>
      <c r="B31" s="28"/>
      <c r="C31" s="28"/>
    </row>
    <row r="32" spans="1:3" ht="14.25" customHeight="1" x14ac:dyDescent="0.2">
      <c r="A32" s="28">
        <v>5.94</v>
      </c>
      <c r="B32" s="28"/>
      <c r="C32" s="28"/>
    </row>
    <row r="33" spans="1:3" ht="14.25" customHeight="1" x14ac:dyDescent="0.2">
      <c r="A33" s="28">
        <v>8.91</v>
      </c>
      <c r="B33" s="28"/>
      <c r="C33" s="28"/>
    </row>
    <row r="34" spans="1:3" ht="14.25" customHeight="1" x14ac:dyDescent="0.2">
      <c r="A34" s="28">
        <v>13.86</v>
      </c>
      <c r="B34" s="28"/>
      <c r="C34" s="28"/>
    </row>
    <row r="35" spans="1:3" ht="14.25" customHeight="1" x14ac:dyDescent="0.2">
      <c r="A35" s="28">
        <v>5.94</v>
      </c>
      <c r="B35" s="28"/>
      <c r="C35" s="28"/>
    </row>
    <row r="36" spans="1:3" ht="14.25" customHeight="1" x14ac:dyDescent="0.2">
      <c r="A36" s="28">
        <v>8.91</v>
      </c>
      <c r="B36" s="28"/>
      <c r="C36" s="28"/>
    </row>
    <row r="37" spans="1:3" ht="14.25" customHeight="1" x14ac:dyDescent="0.2">
      <c r="A37" s="28">
        <v>0.99</v>
      </c>
      <c r="B37" s="28"/>
      <c r="C37" s="28"/>
    </row>
    <row r="38" spans="1:3" ht="14.25" customHeight="1" x14ac:dyDescent="0.2">
      <c r="A38" s="28">
        <v>1.98</v>
      </c>
      <c r="B38" s="28"/>
      <c r="C38" s="28"/>
    </row>
    <row r="39" spans="1:3" ht="14.25" customHeight="1" x14ac:dyDescent="0.2">
      <c r="A39" s="28">
        <v>8.91</v>
      </c>
      <c r="B39" s="28"/>
      <c r="C39" s="28"/>
    </row>
    <row r="40" spans="1:3" ht="14.25" customHeight="1" x14ac:dyDescent="0.2">
      <c r="A40" s="28">
        <v>0.99</v>
      </c>
      <c r="B40" s="28"/>
      <c r="C40" s="28"/>
    </row>
    <row r="41" spans="1:3" ht="14.25" customHeight="1" x14ac:dyDescent="0.2">
      <c r="A41" s="28">
        <v>1.98</v>
      </c>
      <c r="B41" s="28"/>
      <c r="C41" s="28"/>
    </row>
    <row r="42" spans="1:3" ht="14.25" customHeight="1" x14ac:dyDescent="0.2">
      <c r="A42" s="28">
        <v>1.98</v>
      </c>
      <c r="B42" s="28"/>
      <c r="C42" s="28"/>
    </row>
    <row r="43" spans="1:3" ht="14.25" customHeight="1" x14ac:dyDescent="0.2">
      <c r="A43" s="28">
        <v>3.96</v>
      </c>
      <c r="B43" s="28"/>
      <c r="C43" s="28"/>
    </row>
    <row r="44" spans="1:3" ht="14.25" customHeight="1" x14ac:dyDescent="0.2">
      <c r="A44" s="28">
        <v>8.91</v>
      </c>
      <c r="B44" s="28"/>
      <c r="C44" s="28"/>
    </row>
    <row r="45" spans="1:3" ht="14.25" customHeight="1" x14ac:dyDescent="0.2">
      <c r="A45" s="28">
        <v>18.86</v>
      </c>
      <c r="B45" s="28"/>
      <c r="C45" s="28"/>
    </row>
    <row r="46" spans="1:3" ht="14.25" customHeight="1" x14ac:dyDescent="0.2">
      <c r="A46" s="28">
        <v>0.99</v>
      </c>
      <c r="B46" s="28"/>
      <c r="C46" s="28"/>
    </row>
    <row r="47" spans="1:3" ht="14.25" customHeight="1" x14ac:dyDescent="0.2">
      <c r="A47" s="28">
        <v>1.98</v>
      </c>
      <c r="B47" s="28"/>
      <c r="C47" s="28"/>
    </row>
    <row r="48" spans="1:3" ht="14.25" customHeight="1" x14ac:dyDescent="0.2">
      <c r="A48" s="28">
        <v>1.98</v>
      </c>
      <c r="B48" s="28"/>
      <c r="C48" s="28"/>
    </row>
    <row r="49" spans="1:3" ht="14.25" customHeight="1" x14ac:dyDescent="0.2">
      <c r="A49" s="28">
        <v>3.96</v>
      </c>
      <c r="B49" s="28"/>
      <c r="C49" s="28"/>
    </row>
    <row r="50" spans="1:3" ht="14.25" customHeight="1" x14ac:dyDescent="0.2">
      <c r="A50" s="28">
        <v>5.94</v>
      </c>
      <c r="B50" s="28"/>
      <c r="C50" s="28"/>
    </row>
    <row r="51" spans="1:3" ht="14.25" customHeight="1" x14ac:dyDescent="0.2">
      <c r="A51" s="28">
        <v>13.86</v>
      </c>
      <c r="B51" s="28"/>
      <c r="C51" s="28"/>
    </row>
    <row r="52" spans="1:3" ht="14.25" customHeight="1" x14ac:dyDescent="0.2">
      <c r="A52" s="28">
        <v>1.98</v>
      </c>
      <c r="B52" s="28"/>
      <c r="C52" s="28"/>
    </row>
    <row r="53" spans="1:3" ht="14.25" customHeight="1" x14ac:dyDescent="0.2">
      <c r="A53" s="28">
        <v>3.96</v>
      </c>
      <c r="B53" s="28"/>
      <c r="C53" s="28"/>
    </row>
    <row r="54" spans="1:3" ht="14.25" customHeight="1" x14ac:dyDescent="0.2">
      <c r="A54" s="28">
        <v>5.94</v>
      </c>
      <c r="B54" s="28"/>
      <c r="C54" s="28"/>
    </row>
    <row r="55" spans="1:3" ht="14.25" customHeight="1" x14ac:dyDescent="0.2">
      <c r="A55" s="28">
        <v>13.86</v>
      </c>
      <c r="B55" s="28"/>
      <c r="C55" s="28"/>
    </row>
    <row r="56" spans="1:3" ht="14.25" customHeight="1" x14ac:dyDescent="0.2">
      <c r="A56" s="28">
        <v>5.94</v>
      </c>
      <c r="B56" s="28"/>
      <c r="C56" s="28"/>
    </row>
    <row r="57" spans="1:3" ht="14.25" customHeight="1" x14ac:dyDescent="0.2">
      <c r="A57" s="28">
        <v>8.91</v>
      </c>
      <c r="B57" s="28"/>
      <c r="C57" s="28"/>
    </row>
    <row r="58" spans="1:3" ht="14.25" customHeight="1" x14ac:dyDescent="0.2">
      <c r="A58" s="28">
        <v>0.99</v>
      </c>
      <c r="B58" s="28"/>
      <c r="C58" s="28"/>
    </row>
    <row r="59" spans="1:3" ht="14.25" customHeight="1" x14ac:dyDescent="0.2">
      <c r="A59" s="28">
        <v>1.98</v>
      </c>
      <c r="B59" s="28"/>
      <c r="C59" s="28"/>
    </row>
    <row r="60" spans="1:3" ht="14.25" customHeight="1" x14ac:dyDescent="0.2">
      <c r="A60" s="28">
        <v>8.91</v>
      </c>
      <c r="B60" s="28"/>
      <c r="C60" s="28"/>
    </row>
    <row r="61" spans="1:3" ht="14.25" customHeight="1" x14ac:dyDescent="0.2">
      <c r="A61" s="28">
        <v>0.99</v>
      </c>
      <c r="B61" s="28"/>
      <c r="C61" s="28"/>
    </row>
    <row r="62" spans="1:3" ht="14.25" customHeight="1" x14ac:dyDescent="0.2">
      <c r="A62" s="28">
        <v>1.98</v>
      </c>
      <c r="B62" s="28"/>
      <c r="C62" s="28"/>
    </row>
    <row r="63" spans="1:3" ht="14.25" customHeight="1" x14ac:dyDescent="0.2">
      <c r="A63" s="28">
        <v>1.98</v>
      </c>
      <c r="B63" s="28"/>
      <c r="C63" s="28"/>
    </row>
    <row r="64" spans="1:3" ht="14.25" customHeight="1" x14ac:dyDescent="0.2">
      <c r="A64" s="28">
        <v>3.96</v>
      </c>
      <c r="B64" s="28"/>
      <c r="C64" s="28"/>
    </row>
    <row r="65" spans="1:3" ht="14.25" customHeight="1" x14ac:dyDescent="0.2">
      <c r="A65" s="28">
        <v>10.91</v>
      </c>
      <c r="B65" s="28"/>
      <c r="C65" s="28"/>
    </row>
    <row r="66" spans="1:3" ht="14.25" customHeight="1" x14ac:dyDescent="0.2">
      <c r="A66" s="28">
        <v>23.86</v>
      </c>
      <c r="B66" s="28"/>
      <c r="C66" s="28"/>
    </row>
    <row r="67" spans="1:3" ht="14.25" customHeight="1" x14ac:dyDescent="0.2">
      <c r="A67" s="28">
        <v>1.99</v>
      </c>
      <c r="B67" s="28"/>
      <c r="C67" s="28"/>
    </row>
    <row r="68" spans="1:3" ht="14.25" customHeight="1" x14ac:dyDescent="0.2">
      <c r="A68" s="28">
        <v>3.98</v>
      </c>
      <c r="B68" s="28"/>
      <c r="C68" s="28"/>
    </row>
    <row r="69" spans="1:3" ht="14.25" customHeight="1" x14ac:dyDescent="0.2">
      <c r="A69" s="28">
        <v>3.98</v>
      </c>
      <c r="B69" s="28"/>
      <c r="C69" s="28"/>
    </row>
    <row r="70" spans="1:3" ht="14.25" customHeight="1" x14ac:dyDescent="0.2">
      <c r="A70" s="28">
        <v>7.96</v>
      </c>
      <c r="B70" s="28"/>
      <c r="C70" s="28"/>
    </row>
    <row r="71" spans="1:3" ht="14.25" customHeight="1" x14ac:dyDescent="0.2">
      <c r="A71" s="28">
        <v>11.94</v>
      </c>
      <c r="B71" s="28"/>
      <c r="C71" s="28"/>
    </row>
    <row r="72" spans="1:3" ht="14.25" customHeight="1" x14ac:dyDescent="0.2">
      <c r="A72" s="28">
        <v>13.86</v>
      </c>
      <c r="B72" s="28"/>
      <c r="C72" s="28"/>
    </row>
    <row r="73" spans="1:3" ht="14.25" customHeight="1" x14ac:dyDescent="0.2">
      <c r="A73" s="28">
        <v>1.98</v>
      </c>
      <c r="B73" s="28"/>
      <c r="C73" s="28"/>
    </row>
    <row r="74" spans="1:3" ht="14.25" customHeight="1" x14ac:dyDescent="0.2">
      <c r="A74" s="28">
        <v>1.98</v>
      </c>
      <c r="B74" s="28"/>
      <c r="C74" s="28"/>
    </row>
    <row r="75" spans="1:3" ht="14.25" customHeight="1" x14ac:dyDescent="0.2">
      <c r="A75" s="28">
        <v>3.96</v>
      </c>
      <c r="B75" s="28"/>
      <c r="C75" s="28"/>
    </row>
    <row r="76" spans="1:3" ht="14.25" customHeight="1" x14ac:dyDescent="0.2">
      <c r="A76" s="28">
        <v>5.94</v>
      </c>
      <c r="B76" s="28"/>
      <c r="C76" s="28"/>
    </row>
    <row r="77" spans="1:3" ht="14.25" customHeight="1" x14ac:dyDescent="0.2">
      <c r="A77" s="28">
        <v>13.86</v>
      </c>
      <c r="B77" s="28"/>
      <c r="C77" s="28"/>
    </row>
    <row r="78" spans="1:3" ht="14.25" customHeight="1" x14ac:dyDescent="0.2">
      <c r="A78" s="28">
        <v>3.96</v>
      </c>
      <c r="B78" s="28"/>
      <c r="C78" s="28"/>
    </row>
    <row r="79" spans="1:3" ht="14.25" customHeight="1" x14ac:dyDescent="0.2">
      <c r="A79" s="28">
        <v>5.94</v>
      </c>
      <c r="B79" s="28"/>
      <c r="C79" s="28"/>
    </row>
    <row r="80" spans="1:3" ht="14.25" customHeight="1" x14ac:dyDescent="0.2">
      <c r="A80" s="28">
        <v>8.91</v>
      </c>
      <c r="B80" s="28"/>
      <c r="C80" s="28"/>
    </row>
    <row r="81" spans="1:3" ht="14.25" customHeight="1" x14ac:dyDescent="0.2">
      <c r="A81" s="28">
        <v>0.99</v>
      </c>
      <c r="B81" s="28"/>
      <c r="C81" s="28"/>
    </row>
    <row r="82" spans="1:3" ht="14.25" customHeight="1" x14ac:dyDescent="0.2">
      <c r="A82" s="28">
        <v>5.94</v>
      </c>
      <c r="B82" s="28"/>
      <c r="C82" s="28"/>
    </row>
    <row r="83" spans="1:3" ht="14.25" customHeight="1" x14ac:dyDescent="0.2">
      <c r="A83" s="28">
        <v>8.91</v>
      </c>
      <c r="B83" s="28"/>
      <c r="C83" s="28"/>
    </row>
    <row r="84" spans="1:3" ht="14.25" customHeight="1" x14ac:dyDescent="0.2">
      <c r="A84" s="28">
        <v>0.99</v>
      </c>
      <c r="B84" s="28"/>
      <c r="C84" s="28"/>
    </row>
    <row r="85" spans="1:3" ht="14.25" customHeight="1" x14ac:dyDescent="0.2">
      <c r="A85" s="28">
        <v>1.98</v>
      </c>
      <c r="B85" s="28"/>
      <c r="C85" s="28"/>
    </row>
    <row r="86" spans="1:3" ht="14.25" customHeight="1" x14ac:dyDescent="0.2">
      <c r="A86" s="28">
        <v>1.98</v>
      </c>
      <c r="B86" s="28"/>
      <c r="C86" s="28"/>
    </row>
    <row r="87" spans="1:3" ht="14.25" customHeight="1" x14ac:dyDescent="0.2">
      <c r="A87" s="28">
        <v>8.91</v>
      </c>
      <c r="B87" s="28"/>
      <c r="C87" s="28"/>
    </row>
    <row r="88" spans="1:3" ht="14.25" customHeight="1" x14ac:dyDescent="0.2">
      <c r="A88" s="28">
        <v>13.86</v>
      </c>
      <c r="B88" s="28"/>
      <c r="C88" s="28"/>
    </row>
    <row r="89" spans="1:3" ht="14.25" customHeight="1" x14ac:dyDescent="0.2">
      <c r="A89" s="28">
        <v>0.99</v>
      </c>
      <c r="B89" s="28"/>
      <c r="C89" s="28"/>
    </row>
    <row r="90" spans="1:3" ht="14.25" customHeight="1" x14ac:dyDescent="0.2">
      <c r="A90" s="28">
        <v>1.98</v>
      </c>
      <c r="B90" s="28"/>
      <c r="C90" s="28"/>
    </row>
    <row r="91" spans="1:3" ht="14.25" customHeight="1" x14ac:dyDescent="0.2">
      <c r="A91" s="28">
        <v>1.98</v>
      </c>
      <c r="B91" s="28"/>
      <c r="C91" s="28"/>
    </row>
    <row r="92" spans="1:3" ht="14.25" customHeight="1" x14ac:dyDescent="0.2">
      <c r="A92" s="28">
        <v>3.96</v>
      </c>
      <c r="B92" s="28"/>
      <c r="C92" s="28"/>
    </row>
    <row r="93" spans="1:3" ht="14.25" customHeight="1" x14ac:dyDescent="0.2"/>
    <row r="94" spans="1:3" ht="14.25" customHeight="1" x14ac:dyDescent="0.2"/>
    <row r="95" spans="1:3" ht="14.25" customHeight="1" x14ac:dyDescent="0.2"/>
    <row r="96" spans="1:3"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6F50B-8010-654F-A069-1C0570BA1F66}">
  <dimension ref="A1:G15"/>
  <sheetViews>
    <sheetView workbookViewId="0">
      <selection activeCell="I15" sqref="I15"/>
    </sheetView>
  </sheetViews>
  <sheetFormatPr baseColWidth="10" defaultRowHeight="15" x14ac:dyDescent="0.2"/>
  <cols>
    <col min="1" max="1" width="15.83203125" customWidth="1"/>
  </cols>
  <sheetData>
    <row r="1" spans="1:7" x14ac:dyDescent="0.2">
      <c r="A1" t="s">
        <v>4805</v>
      </c>
    </row>
    <row r="3" spans="1:7" ht="16" thickBot="1" x14ac:dyDescent="0.25">
      <c r="A3" t="s">
        <v>4806</v>
      </c>
    </row>
    <row r="4" spans="1:7" x14ac:dyDescent="0.2">
      <c r="A4" s="39" t="s">
        <v>4807</v>
      </c>
      <c r="B4" s="39" t="s">
        <v>4808</v>
      </c>
      <c r="C4" s="39" t="s">
        <v>4809</v>
      </c>
      <c r="D4" s="39" t="s">
        <v>4810</v>
      </c>
      <c r="E4" s="39" t="s">
        <v>26</v>
      </c>
    </row>
    <row r="5" spans="1:7" x14ac:dyDescent="0.2">
      <c r="A5" s="37" t="s">
        <v>4811</v>
      </c>
      <c r="B5" s="37">
        <v>21</v>
      </c>
      <c r="C5" s="37">
        <v>112.85999999999999</v>
      </c>
      <c r="D5" s="37">
        <v>5.3742857142857137</v>
      </c>
      <c r="E5" s="37">
        <v>19.363975714285715</v>
      </c>
    </row>
    <row r="6" spans="1:7" x14ac:dyDescent="0.2">
      <c r="A6" s="37" t="s">
        <v>4812</v>
      </c>
      <c r="B6" s="37">
        <v>21</v>
      </c>
      <c r="C6" s="37">
        <v>127.76999999999998</v>
      </c>
      <c r="D6" s="37">
        <v>6.0842857142857136</v>
      </c>
      <c r="E6" s="37">
        <v>25.955425714285706</v>
      </c>
    </row>
    <row r="7" spans="1:7" ht="16" thickBot="1" x14ac:dyDescent="0.25">
      <c r="A7" s="38" t="s">
        <v>4813</v>
      </c>
      <c r="B7" s="38">
        <v>21</v>
      </c>
      <c r="C7" s="38">
        <v>112.85999999999999</v>
      </c>
      <c r="D7" s="38">
        <v>5.3742857142857137</v>
      </c>
      <c r="E7" s="38">
        <v>19.363975714285715</v>
      </c>
    </row>
    <row r="10" spans="1:7" ht="16" thickBot="1" x14ac:dyDescent="0.25">
      <c r="A10" t="s">
        <v>4814</v>
      </c>
    </row>
    <row r="11" spans="1:7" x14ac:dyDescent="0.2">
      <c r="A11" s="39" t="s">
        <v>4815</v>
      </c>
      <c r="B11" s="39" t="s">
        <v>4816</v>
      </c>
      <c r="C11" s="39" t="s">
        <v>4817</v>
      </c>
      <c r="D11" s="39" t="s">
        <v>4818</v>
      </c>
      <c r="E11" s="39" t="s">
        <v>4819</v>
      </c>
      <c r="F11" s="39" t="s">
        <v>4820</v>
      </c>
      <c r="G11" s="39" t="s">
        <v>4821</v>
      </c>
    </row>
    <row r="12" spans="1:7" x14ac:dyDescent="0.2">
      <c r="A12" s="37" t="s">
        <v>4822</v>
      </c>
      <c r="B12" s="37">
        <v>7.0574000000005981</v>
      </c>
      <c r="C12" s="37">
        <v>2</v>
      </c>
      <c r="D12" s="37">
        <v>3.528700000000299</v>
      </c>
      <c r="E12" s="37">
        <v>0.163660285959109</v>
      </c>
      <c r="F12" s="37">
        <v>0.84940812853581293</v>
      </c>
      <c r="G12" s="37">
        <v>3.1504113105827263</v>
      </c>
    </row>
    <row r="13" spans="1:7" x14ac:dyDescent="0.2">
      <c r="A13" s="37" t="s">
        <v>4823</v>
      </c>
      <c r="B13" s="37">
        <v>1293.6675428571432</v>
      </c>
      <c r="C13" s="37">
        <v>60</v>
      </c>
      <c r="D13" s="37">
        <v>21.561125714285719</v>
      </c>
      <c r="E13" s="37"/>
      <c r="F13" s="37"/>
      <c r="G13" s="37"/>
    </row>
    <row r="14" spans="1:7" x14ac:dyDescent="0.2">
      <c r="A14" s="37"/>
      <c r="B14" s="37"/>
      <c r="C14" s="37"/>
      <c r="D14" s="37"/>
      <c r="E14" s="37"/>
      <c r="F14" s="37"/>
      <c r="G14" s="37"/>
    </row>
    <row r="15" spans="1:7" ht="16" thickBot="1" x14ac:dyDescent="0.25">
      <c r="A15" s="38" t="s">
        <v>4824</v>
      </c>
      <c r="B15" s="38">
        <v>1300.7249428571438</v>
      </c>
      <c r="C15" s="38">
        <v>62</v>
      </c>
      <c r="D15" s="38"/>
      <c r="E15" s="38"/>
      <c r="F15" s="38"/>
      <c r="G15" s="3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504"/>
  <sheetViews>
    <sheetView topLeftCell="C1" workbookViewId="0"/>
  </sheetViews>
  <sheetFormatPr baseColWidth="10" defaultColWidth="14.5" defaultRowHeight="15" customHeight="1" x14ac:dyDescent="0.2"/>
  <cols>
    <col min="1" max="1" width="8.33203125" customWidth="1"/>
    <col min="2" max="2" width="35.1640625" customWidth="1"/>
    <col min="3" max="3" width="36.33203125" customWidth="1"/>
    <col min="4" max="4" width="18.6640625" customWidth="1"/>
    <col min="5" max="5" width="23.5" customWidth="1"/>
    <col min="6" max="6" width="11.1640625" customWidth="1"/>
    <col min="7" max="7" width="42.83203125" customWidth="1"/>
    <col min="8" max="8" width="9.6640625" customWidth="1"/>
    <col min="9" max="9" width="12" customWidth="1"/>
    <col min="10" max="10" width="9.83203125" customWidth="1"/>
    <col min="11" max="11" width="13.33203125" customWidth="1"/>
    <col min="12" max="12" width="12.1640625" customWidth="1"/>
  </cols>
  <sheetData>
    <row r="1" spans="1:12" ht="14.25" customHeight="1" x14ac:dyDescent="0.2">
      <c r="A1" s="27" t="s">
        <v>196</v>
      </c>
      <c r="B1" s="27" t="s">
        <v>197</v>
      </c>
      <c r="C1" s="27" t="s">
        <v>198</v>
      </c>
      <c r="D1" s="27" t="s">
        <v>199</v>
      </c>
      <c r="E1" s="27" t="s">
        <v>200</v>
      </c>
      <c r="F1" s="27" t="s">
        <v>201</v>
      </c>
      <c r="G1" s="27" t="s">
        <v>202</v>
      </c>
      <c r="H1" s="27" t="s">
        <v>203</v>
      </c>
      <c r="I1" s="27" t="s">
        <v>204</v>
      </c>
      <c r="J1" s="27" t="s">
        <v>205</v>
      </c>
      <c r="K1" s="27" t="s">
        <v>206</v>
      </c>
      <c r="L1" s="27" t="s">
        <v>207</v>
      </c>
    </row>
    <row r="2" spans="1:12" ht="14.25" customHeight="1" x14ac:dyDescent="0.2">
      <c r="A2" s="28">
        <v>1</v>
      </c>
      <c r="B2" s="28" t="s">
        <v>208</v>
      </c>
      <c r="C2" s="28" t="s">
        <v>209</v>
      </c>
      <c r="D2" s="28" t="s">
        <v>210</v>
      </c>
      <c r="E2" s="28" t="s">
        <v>211</v>
      </c>
      <c r="F2" s="28" t="s">
        <v>212</v>
      </c>
      <c r="G2" s="28" t="s">
        <v>213</v>
      </c>
      <c r="H2" s="28">
        <v>11170334</v>
      </c>
      <c r="I2" s="28">
        <v>343719</v>
      </c>
      <c r="J2" s="28">
        <v>0.99</v>
      </c>
      <c r="K2" s="28">
        <v>25</v>
      </c>
      <c r="L2" s="28">
        <v>1</v>
      </c>
    </row>
    <row r="3" spans="1:12" ht="14.25" customHeight="1" x14ac:dyDescent="0.2">
      <c r="A3" s="28">
        <v>2</v>
      </c>
      <c r="B3" s="28" t="s">
        <v>214</v>
      </c>
      <c r="C3" s="28" t="s">
        <v>214</v>
      </c>
      <c r="D3" s="28" t="s">
        <v>215</v>
      </c>
      <c r="E3" s="28" t="s">
        <v>216</v>
      </c>
      <c r="F3" s="28" t="s">
        <v>212</v>
      </c>
      <c r="G3" s="28"/>
      <c r="H3" s="28">
        <v>5510424</v>
      </c>
      <c r="I3" s="28">
        <v>342562</v>
      </c>
      <c r="J3" s="28">
        <v>0.99</v>
      </c>
      <c r="K3" s="28">
        <v>71</v>
      </c>
      <c r="L3" s="28">
        <v>2</v>
      </c>
    </row>
    <row r="4" spans="1:12" ht="14.25" customHeight="1" x14ac:dyDescent="0.2">
      <c r="A4" s="28">
        <v>3</v>
      </c>
      <c r="B4" s="28" t="s">
        <v>217</v>
      </c>
      <c r="C4" s="28" t="s">
        <v>218</v>
      </c>
      <c r="D4" s="28" t="s">
        <v>215</v>
      </c>
      <c r="E4" s="28" t="s">
        <v>216</v>
      </c>
      <c r="F4" s="28" t="s">
        <v>212</v>
      </c>
      <c r="G4" s="28" t="s">
        <v>219</v>
      </c>
      <c r="H4" s="28">
        <v>3990994</v>
      </c>
      <c r="I4" s="28">
        <v>230619</v>
      </c>
      <c r="J4" s="28">
        <v>0.99</v>
      </c>
      <c r="K4" s="28">
        <v>15</v>
      </c>
      <c r="L4" s="28">
        <v>1</v>
      </c>
    </row>
    <row r="5" spans="1:12" ht="14.25" customHeight="1" x14ac:dyDescent="0.2">
      <c r="A5" s="28">
        <v>4</v>
      </c>
      <c r="B5" s="28" t="s">
        <v>218</v>
      </c>
      <c r="C5" s="28" t="s">
        <v>218</v>
      </c>
      <c r="D5" s="28" t="s">
        <v>215</v>
      </c>
      <c r="E5" s="28" t="s">
        <v>216</v>
      </c>
      <c r="F5" s="28" t="s">
        <v>212</v>
      </c>
      <c r="G5" s="28" t="s">
        <v>220</v>
      </c>
      <c r="H5" s="28">
        <v>4331779</v>
      </c>
      <c r="I5" s="28">
        <v>252051</v>
      </c>
      <c r="J5" s="28">
        <v>0.99</v>
      </c>
      <c r="K5" s="28">
        <v>97</v>
      </c>
      <c r="L5" s="28">
        <v>1</v>
      </c>
    </row>
    <row r="6" spans="1:12" ht="14.25" customHeight="1" x14ac:dyDescent="0.2">
      <c r="A6" s="28">
        <v>5</v>
      </c>
      <c r="B6" s="28" t="s">
        <v>221</v>
      </c>
      <c r="C6" s="28" t="s">
        <v>218</v>
      </c>
      <c r="D6" s="28" t="s">
        <v>215</v>
      </c>
      <c r="E6" s="28" t="s">
        <v>216</v>
      </c>
      <c r="F6" s="28" t="s">
        <v>212</v>
      </c>
      <c r="G6" s="28" t="s">
        <v>222</v>
      </c>
      <c r="H6" s="28">
        <v>6290521</v>
      </c>
      <c r="I6" s="28">
        <v>375418</v>
      </c>
      <c r="J6" s="28">
        <v>0.99</v>
      </c>
      <c r="K6" s="28">
        <v>12</v>
      </c>
      <c r="L6" s="28">
        <v>1</v>
      </c>
    </row>
    <row r="7" spans="1:12" ht="14.25" customHeight="1" x14ac:dyDescent="0.2">
      <c r="A7" s="28">
        <v>6</v>
      </c>
      <c r="B7" s="28" t="s">
        <v>223</v>
      </c>
      <c r="C7" s="28" t="s">
        <v>209</v>
      </c>
      <c r="D7" s="28" t="s">
        <v>210</v>
      </c>
      <c r="E7" s="28" t="s">
        <v>211</v>
      </c>
      <c r="F7" s="28" t="s">
        <v>212</v>
      </c>
      <c r="G7" s="28" t="s">
        <v>213</v>
      </c>
      <c r="H7" s="28">
        <v>6713451</v>
      </c>
      <c r="I7" s="28">
        <v>205662</v>
      </c>
      <c r="J7" s="28">
        <v>0.99</v>
      </c>
      <c r="K7" s="28">
        <v>45</v>
      </c>
      <c r="L7" s="28">
        <v>1</v>
      </c>
    </row>
    <row r="8" spans="1:12" ht="14.25" customHeight="1" x14ac:dyDescent="0.2">
      <c r="A8" s="28">
        <v>7</v>
      </c>
      <c r="B8" s="28" t="s">
        <v>224</v>
      </c>
      <c r="C8" s="28" t="s">
        <v>209</v>
      </c>
      <c r="D8" s="28" t="s">
        <v>210</v>
      </c>
      <c r="E8" s="28" t="s">
        <v>211</v>
      </c>
      <c r="F8" s="28" t="s">
        <v>212</v>
      </c>
      <c r="G8" s="28" t="s">
        <v>213</v>
      </c>
      <c r="H8" s="28">
        <v>7636561</v>
      </c>
      <c r="I8" s="28">
        <v>233926</v>
      </c>
      <c r="J8" s="28">
        <v>0.99</v>
      </c>
      <c r="K8" s="28">
        <v>31</v>
      </c>
      <c r="L8" s="28">
        <v>0</v>
      </c>
    </row>
    <row r="9" spans="1:12" ht="14.25" customHeight="1" x14ac:dyDescent="0.2">
      <c r="A9" s="28">
        <v>8</v>
      </c>
      <c r="B9" s="28" t="s">
        <v>225</v>
      </c>
      <c r="C9" s="28" t="s">
        <v>209</v>
      </c>
      <c r="D9" s="28" t="s">
        <v>210</v>
      </c>
      <c r="E9" s="28" t="s">
        <v>211</v>
      </c>
      <c r="F9" s="28" t="s">
        <v>212</v>
      </c>
      <c r="G9" s="28" t="s">
        <v>213</v>
      </c>
      <c r="H9" s="28">
        <v>6852860</v>
      </c>
      <c r="I9" s="28">
        <v>210834</v>
      </c>
      <c r="J9" s="28">
        <v>0.99</v>
      </c>
      <c r="K9" s="28">
        <v>99</v>
      </c>
      <c r="L9" s="28">
        <v>2</v>
      </c>
    </row>
    <row r="10" spans="1:12" ht="14.25" customHeight="1" x14ac:dyDescent="0.2">
      <c r="A10" s="28">
        <v>9</v>
      </c>
      <c r="B10" s="28" t="s">
        <v>226</v>
      </c>
      <c r="C10" s="28" t="s">
        <v>209</v>
      </c>
      <c r="D10" s="28" t="s">
        <v>210</v>
      </c>
      <c r="E10" s="28" t="s">
        <v>211</v>
      </c>
      <c r="F10" s="28" t="s">
        <v>212</v>
      </c>
      <c r="G10" s="28" t="s">
        <v>213</v>
      </c>
      <c r="H10" s="28">
        <v>6599424</v>
      </c>
      <c r="I10" s="28">
        <v>203102</v>
      </c>
      <c r="J10" s="28">
        <v>0.99</v>
      </c>
      <c r="K10" s="28">
        <v>29</v>
      </c>
      <c r="L10" s="28">
        <v>2</v>
      </c>
    </row>
    <row r="11" spans="1:12" ht="14.25" customHeight="1" x14ac:dyDescent="0.2">
      <c r="A11" s="28">
        <v>10</v>
      </c>
      <c r="B11" s="28" t="s">
        <v>227</v>
      </c>
      <c r="C11" s="28" t="s">
        <v>209</v>
      </c>
      <c r="D11" s="28" t="s">
        <v>210</v>
      </c>
      <c r="E11" s="28" t="s">
        <v>211</v>
      </c>
      <c r="F11" s="28" t="s">
        <v>212</v>
      </c>
      <c r="G11" s="28" t="s">
        <v>213</v>
      </c>
      <c r="H11" s="28">
        <v>8611245</v>
      </c>
      <c r="I11" s="28">
        <v>263497</v>
      </c>
      <c r="J11" s="28">
        <v>0.99</v>
      </c>
      <c r="K11" s="28">
        <v>50</v>
      </c>
      <c r="L11" s="28">
        <v>1</v>
      </c>
    </row>
    <row r="12" spans="1:12" ht="14.25" customHeight="1" x14ac:dyDescent="0.2">
      <c r="A12" s="28">
        <v>11</v>
      </c>
      <c r="B12" s="28" t="s">
        <v>228</v>
      </c>
      <c r="C12" s="28" t="s">
        <v>209</v>
      </c>
      <c r="D12" s="28" t="s">
        <v>210</v>
      </c>
      <c r="E12" s="28" t="s">
        <v>211</v>
      </c>
      <c r="F12" s="28" t="s">
        <v>212</v>
      </c>
      <c r="G12" s="28" t="s">
        <v>213</v>
      </c>
      <c r="H12" s="28">
        <v>6566314</v>
      </c>
      <c r="I12" s="28">
        <v>199836</v>
      </c>
      <c r="J12" s="28">
        <v>0.99</v>
      </c>
      <c r="K12" s="28">
        <v>67</v>
      </c>
      <c r="L12" s="28">
        <v>0</v>
      </c>
    </row>
    <row r="13" spans="1:12" ht="14.25" customHeight="1" x14ac:dyDescent="0.2">
      <c r="A13" s="28">
        <v>12</v>
      </c>
      <c r="B13" s="28" t="s">
        <v>229</v>
      </c>
      <c r="C13" s="28" t="s">
        <v>209</v>
      </c>
      <c r="D13" s="28" t="s">
        <v>210</v>
      </c>
      <c r="E13" s="28" t="s">
        <v>211</v>
      </c>
      <c r="F13" s="28" t="s">
        <v>212</v>
      </c>
      <c r="G13" s="28" t="s">
        <v>213</v>
      </c>
      <c r="H13" s="28">
        <v>8596840</v>
      </c>
      <c r="I13" s="28">
        <v>263288</v>
      </c>
      <c r="J13" s="28">
        <v>0.99</v>
      </c>
      <c r="K13" s="28">
        <v>72</v>
      </c>
      <c r="L13" s="28">
        <v>1</v>
      </c>
    </row>
    <row r="14" spans="1:12" ht="14.25" customHeight="1" x14ac:dyDescent="0.2">
      <c r="A14" s="28">
        <v>13</v>
      </c>
      <c r="B14" s="28" t="s">
        <v>230</v>
      </c>
      <c r="C14" s="28" t="s">
        <v>209</v>
      </c>
      <c r="D14" s="28" t="s">
        <v>210</v>
      </c>
      <c r="E14" s="28" t="s">
        <v>211</v>
      </c>
      <c r="F14" s="28" t="s">
        <v>212</v>
      </c>
      <c r="G14" s="28" t="s">
        <v>213</v>
      </c>
      <c r="H14" s="28">
        <v>6706347</v>
      </c>
      <c r="I14" s="28">
        <v>205688</v>
      </c>
      <c r="J14" s="28">
        <v>0.99</v>
      </c>
      <c r="K14" s="28">
        <v>84</v>
      </c>
      <c r="L14" s="28">
        <v>1</v>
      </c>
    </row>
    <row r="15" spans="1:12" ht="14.25" customHeight="1" x14ac:dyDescent="0.2">
      <c r="A15" s="28">
        <v>14</v>
      </c>
      <c r="B15" s="28" t="s">
        <v>231</v>
      </c>
      <c r="C15" s="28" t="s">
        <v>209</v>
      </c>
      <c r="D15" s="28" t="s">
        <v>210</v>
      </c>
      <c r="E15" s="28" t="s">
        <v>211</v>
      </c>
      <c r="F15" s="28" t="s">
        <v>212</v>
      </c>
      <c r="G15" s="28" t="s">
        <v>213</v>
      </c>
      <c r="H15" s="28">
        <v>8817038</v>
      </c>
      <c r="I15" s="28">
        <v>270863</v>
      </c>
      <c r="J15" s="28">
        <v>0.99</v>
      </c>
      <c r="K15" s="28">
        <v>46</v>
      </c>
      <c r="L15" s="28">
        <v>1</v>
      </c>
    </row>
    <row r="16" spans="1:12" ht="14.25" customHeight="1" x14ac:dyDescent="0.2">
      <c r="A16" s="28">
        <v>15</v>
      </c>
      <c r="B16" s="28" t="s">
        <v>232</v>
      </c>
      <c r="C16" s="28" t="s">
        <v>233</v>
      </c>
      <c r="D16" s="28" t="s">
        <v>210</v>
      </c>
      <c r="E16" s="28" t="s">
        <v>211</v>
      </c>
      <c r="F16" s="28" t="s">
        <v>212</v>
      </c>
      <c r="G16" s="28" t="s">
        <v>210</v>
      </c>
      <c r="H16" s="28">
        <v>10847611</v>
      </c>
      <c r="I16" s="28">
        <v>331180</v>
      </c>
      <c r="J16" s="28">
        <v>0.99</v>
      </c>
      <c r="K16" s="28">
        <v>52</v>
      </c>
      <c r="L16" s="28">
        <v>1</v>
      </c>
    </row>
    <row r="17" spans="1:12" ht="14.25" customHeight="1" x14ac:dyDescent="0.2">
      <c r="A17" s="28">
        <v>16</v>
      </c>
      <c r="B17" s="28" t="s">
        <v>234</v>
      </c>
      <c r="C17" s="28" t="s">
        <v>233</v>
      </c>
      <c r="D17" s="28" t="s">
        <v>210</v>
      </c>
      <c r="E17" s="28" t="s">
        <v>211</v>
      </c>
      <c r="F17" s="28" t="s">
        <v>212</v>
      </c>
      <c r="G17" s="28" t="s">
        <v>210</v>
      </c>
      <c r="H17" s="28">
        <v>7032162</v>
      </c>
      <c r="I17" s="28">
        <v>215196</v>
      </c>
      <c r="J17" s="28">
        <v>0.99</v>
      </c>
      <c r="K17" s="28">
        <v>62</v>
      </c>
      <c r="L17" s="28">
        <v>1</v>
      </c>
    </row>
    <row r="18" spans="1:12" ht="14.25" customHeight="1" x14ac:dyDescent="0.2">
      <c r="A18" s="28">
        <v>17</v>
      </c>
      <c r="B18" s="28" t="s">
        <v>233</v>
      </c>
      <c r="C18" s="28" t="s">
        <v>233</v>
      </c>
      <c r="D18" s="28" t="s">
        <v>210</v>
      </c>
      <c r="E18" s="28" t="s">
        <v>211</v>
      </c>
      <c r="F18" s="28" t="s">
        <v>212</v>
      </c>
      <c r="G18" s="28" t="s">
        <v>210</v>
      </c>
      <c r="H18" s="28">
        <v>12021261</v>
      </c>
      <c r="I18" s="28">
        <v>366654</v>
      </c>
      <c r="J18" s="28">
        <v>0.99</v>
      </c>
      <c r="K18" s="28">
        <v>32</v>
      </c>
      <c r="L18" s="28">
        <v>0</v>
      </c>
    </row>
    <row r="19" spans="1:12" ht="14.25" customHeight="1" x14ac:dyDescent="0.2">
      <c r="A19" s="28">
        <v>18</v>
      </c>
      <c r="B19" s="28" t="s">
        <v>235</v>
      </c>
      <c r="C19" s="28" t="s">
        <v>233</v>
      </c>
      <c r="D19" s="28" t="s">
        <v>210</v>
      </c>
      <c r="E19" s="28" t="s">
        <v>211</v>
      </c>
      <c r="F19" s="28" t="s">
        <v>212</v>
      </c>
      <c r="G19" s="28" t="s">
        <v>210</v>
      </c>
      <c r="H19" s="28">
        <v>8776140</v>
      </c>
      <c r="I19" s="28">
        <v>267728</v>
      </c>
      <c r="J19" s="28">
        <v>0.99</v>
      </c>
      <c r="K19" s="28">
        <v>39</v>
      </c>
      <c r="L19" s="28">
        <v>0</v>
      </c>
    </row>
    <row r="20" spans="1:12" ht="14.25" customHeight="1" x14ac:dyDescent="0.2">
      <c r="A20" s="28">
        <v>19</v>
      </c>
      <c r="B20" s="28" t="s">
        <v>236</v>
      </c>
      <c r="C20" s="28" t="s">
        <v>233</v>
      </c>
      <c r="D20" s="28" t="s">
        <v>210</v>
      </c>
      <c r="E20" s="28" t="s">
        <v>211</v>
      </c>
      <c r="F20" s="28" t="s">
        <v>212</v>
      </c>
      <c r="G20" s="28" t="s">
        <v>210</v>
      </c>
      <c r="H20" s="28">
        <v>10617116</v>
      </c>
      <c r="I20" s="28">
        <v>325041</v>
      </c>
      <c r="J20" s="28">
        <v>0.99</v>
      </c>
      <c r="K20" s="28">
        <v>31</v>
      </c>
      <c r="L20" s="28">
        <v>1</v>
      </c>
    </row>
    <row r="21" spans="1:12" ht="14.25" customHeight="1" x14ac:dyDescent="0.2">
      <c r="A21" s="28">
        <v>20</v>
      </c>
      <c r="B21" s="28" t="s">
        <v>237</v>
      </c>
      <c r="C21" s="28" t="s">
        <v>233</v>
      </c>
      <c r="D21" s="28" t="s">
        <v>210</v>
      </c>
      <c r="E21" s="28" t="s">
        <v>211</v>
      </c>
      <c r="F21" s="28" t="s">
        <v>212</v>
      </c>
      <c r="G21" s="28" t="s">
        <v>210</v>
      </c>
      <c r="H21" s="28">
        <v>12066294</v>
      </c>
      <c r="I21" s="28">
        <v>369319</v>
      </c>
      <c r="J21" s="28">
        <v>0.99</v>
      </c>
      <c r="K21" s="28">
        <v>39</v>
      </c>
      <c r="L21" s="28">
        <v>2</v>
      </c>
    </row>
    <row r="22" spans="1:12" ht="14.25" customHeight="1" x14ac:dyDescent="0.2">
      <c r="A22" s="28">
        <v>21</v>
      </c>
      <c r="B22" s="28" t="s">
        <v>238</v>
      </c>
      <c r="C22" s="28" t="s">
        <v>233</v>
      </c>
      <c r="D22" s="28" t="s">
        <v>210</v>
      </c>
      <c r="E22" s="28" t="s">
        <v>211</v>
      </c>
      <c r="F22" s="28" t="s">
        <v>212</v>
      </c>
      <c r="G22" s="28" t="s">
        <v>210</v>
      </c>
      <c r="H22" s="28">
        <v>8331286</v>
      </c>
      <c r="I22" s="28">
        <v>254380</v>
      </c>
      <c r="J22" s="28">
        <v>0.99</v>
      </c>
      <c r="K22" s="28">
        <v>12</v>
      </c>
      <c r="L22" s="28">
        <v>1</v>
      </c>
    </row>
    <row r="23" spans="1:12" ht="14.25" customHeight="1" x14ac:dyDescent="0.2">
      <c r="A23" s="28">
        <v>22</v>
      </c>
      <c r="B23" s="28" t="s">
        <v>239</v>
      </c>
      <c r="C23" s="28" t="s">
        <v>233</v>
      </c>
      <c r="D23" s="28" t="s">
        <v>210</v>
      </c>
      <c r="E23" s="28" t="s">
        <v>211</v>
      </c>
      <c r="F23" s="28" t="s">
        <v>212</v>
      </c>
      <c r="G23" s="28" t="s">
        <v>210</v>
      </c>
      <c r="H23" s="28">
        <v>10547154</v>
      </c>
      <c r="I23" s="28">
        <v>323761</v>
      </c>
      <c r="J23" s="28">
        <v>0.99</v>
      </c>
      <c r="K23" s="28">
        <v>52</v>
      </c>
      <c r="L23" s="28">
        <v>0</v>
      </c>
    </row>
    <row r="24" spans="1:12" ht="14.25" customHeight="1" x14ac:dyDescent="0.2">
      <c r="A24" s="28">
        <v>23</v>
      </c>
      <c r="B24" s="28" t="s">
        <v>240</v>
      </c>
      <c r="C24" s="28" t="s">
        <v>241</v>
      </c>
      <c r="D24" s="28" t="s">
        <v>242</v>
      </c>
      <c r="E24" s="28" t="s">
        <v>211</v>
      </c>
      <c r="F24" s="28" t="s">
        <v>212</v>
      </c>
      <c r="G24" s="28" t="s">
        <v>243</v>
      </c>
      <c r="H24" s="28">
        <v>9719579</v>
      </c>
      <c r="I24" s="28">
        <v>295680</v>
      </c>
      <c r="J24" s="28">
        <v>0.99</v>
      </c>
      <c r="K24" s="28">
        <v>48</v>
      </c>
      <c r="L24" s="28">
        <v>0</v>
      </c>
    </row>
    <row r="25" spans="1:12" ht="14.25" customHeight="1" x14ac:dyDescent="0.2">
      <c r="A25" s="28">
        <v>24</v>
      </c>
      <c r="B25" s="28" t="s">
        <v>244</v>
      </c>
      <c r="C25" s="28" t="s">
        <v>241</v>
      </c>
      <c r="D25" s="28" t="s">
        <v>242</v>
      </c>
      <c r="E25" s="28" t="s">
        <v>211</v>
      </c>
      <c r="F25" s="28" t="s">
        <v>212</v>
      </c>
      <c r="G25" s="28" t="s">
        <v>245</v>
      </c>
      <c r="H25" s="28">
        <v>10552051</v>
      </c>
      <c r="I25" s="28">
        <v>321828</v>
      </c>
      <c r="J25" s="28">
        <v>0.99</v>
      </c>
      <c r="K25" s="28">
        <v>68</v>
      </c>
      <c r="L25" s="28">
        <v>1</v>
      </c>
    </row>
    <row r="26" spans="1:12" ht="14.25" customHeight="1" x14ac:dyDescent="0.2">
      <c r="A26" s="28">
        <v>25</v>
      </c>
      <c r="B26" s="28" t="s">
        <v>246</v>
      </c>
      <c r="C26" s="28" t="s">
        <v>241</v>
      </c>
      <c r="D26" s="28" t="s">
        <v>242</v>
      </c>
      <c r="E26" s="28" t="s">
        <v>211</v>
      </c>
      <c r="F26" s="28" t="s">
        <v>212</v>
      </c>
      <c r="G26" s="28" t="s">
        <v>247</v>
      </c>
      <c r="H26" s="28">
        <v>8675345</v>
      </c>
      <c r="I26" s="28">
        <v>264698</v>
      </c>
      <c r="J26" s="28">
        <v>0.99</v>
      </c>
      <c r="K26" s="28">
        <v>57</v>
      </c>
      <c r="L26" s="28">
        <v>1</v>
      </c>
    </row>
    <row r="27" spans="1:12" ht="14.25" customHeight="1" x14ac:dyDescent="0.2">
      <c r="A27" s="28">
        <v>26</v>
      </c>
      <c r="B27" s="28" t="s">
        <v>248</v>
      </c>
      <c r="C27" s="28" t="s">
        <v>241</v>
      </c>
      <c r="D27" s="28" t="s">
        <v>242</v>
      </c>
      <c r="E27" s="28" t="s">
        <v>211</v>
      </c>
      <c r="F27" s="28" t="s">
        <v>212</v>
      </c>
      <c r="G27" s="28" t="s">
        <v>249</v>
      </c>
      <c r="H27" s="28">
        <v>10144730</v>
      </c>
      <c r="I27" s="28">
        <v>310622</v>
      </c>
      <c r="J27" s="28">
        <v>0.99</v>
      </c>
      <c r="K27" s="28">
        <v>62</v>
      </c>
      <c r="L27" s="28">
        <v>1</v>
      </c>
    </row>
    <row r="28" spans="1:12" ht="14.25" customHeight="1" x14ac:dyDescent="0.2">
      <c r="A28" s="28">
        <v>27</v>
      </c>
      <c r="B28" s="28" t="s">
        <v>250</v>
      </c>
      <c r="C28" s="28" t="s">
        <v>241</v>
      </c>
      <c r="D28" s="28" t="s">
        <v>242</v>
      </c>
      <c r="E28" s="28" t="s">
        <v>211</v>
      </c>
      <c r="F28" s="28" t="s">
        <v>212</v>
      </c>
      <c r="G28" s="28" t="s">
        <v>249</v>
      </c>
      <c r="H28" s="28">
        <v>8679940</v>
      </c>
      <c r="I28" s="28">
        <v>264855</v>
      </c>
      <c r="J28" s="28">
        <v>0.99</v>
      </c>
      <c r="K28" s="28">
        <v>73</v>
      </c>
      <c r="L28" s="28">
        <v>0</v>
      </c>
    </row>
    <row r="29" spans="1:12" ht="14.25" customHeight="1" x14ac:dyDescent="0.2">
      <c r="A29" s="28">
        <v>28</v>
      </c>
      <c r="B29" s="28" t="s">
        <v>251</v>
      </c>
      <c r="C29" s="28" t="s">
        <v>241</v>
      </c>
      <c r="D29" s="28" t="s">
        <v>242</v>
      </c>
      <c r="E29" s="28" t="s">
        <v>211</v>
      </c>
      <c r="F29" s="28" t="s">
        <v>212</v>
      </c>
      <c r="G29" s="28" t="s">
        <v>252</v>
      </c>
      <c r="H29" s="28">
        <v>10869391</v>
      </c>
      <c r="I29" s="28">
        <v>330736</v>
      </c>
      <c r="J29" s="28">
        <v>0.99</v>
      </c>
      <c r="K29" s="28">
        <v>82</v>
      </c>
      <c r="L29" s="28">
        <v>1</v>
      </c>
    </row>
    <row r="30" spans="1:12" ht="14.25" customHeight="1" x14ac:dyDescent="0.2">
      <c r="A30" s="28">
        <v>29</v>
      </c>
      <c r="B30" s="28" t="s">
        <v>253</v>
      </c>
      <c r="C30" s="28" t="s">
        <v>241</v>
      </c>
      <c r="D30" s="28" t="s">
        <v>242</v>
      </c>
      <c r="E30" s="28" t="s">
        <v>211</v>
      </c>
      <c r="F30" s="28" t="s">
        <v>212</v>
      </c>
      <c r="G30" s="28" t="s">
        <v>254</v>
      </c>
      <c r="H30" s="28">
        <v>10056995</v>
      </c>
      <c r="I30" s="28">
        <v>309263</v>
      </c>
      <c r="J30" s="28">
        <v>0.99</v>
      </c>
      <c r="K30" s="28">
        <v>77</v>
      </c>
      <c r="L30" s="28">
        <v>0</v>
      </c>
    </row>
    <row r="31" spans="1:12" ht="14.25" customHeight="1" x14ac:dyDescent="0.2">
      <c r="A31" s="28">
        <v>30</v>
      </c>
      <c r="B31" s="28" t="s">
        <v>255</v>
      </c>
      <c r="C31" s="28" t="s">
        <v>241</v>
      </c>
      <c r="D31" s="28" t="s">
        <v>242</v>
      </c>
      <c r="E31" s="28" t="s">
        <v>211</v>
      </c>
      <c r="F31" s="28" t="s">
        <v>212</v>
      </c>
      <c r="G31" s="28" t="s">
        <v>256</v>
      </c>
      <c r="H31" s="28">
        <v>11616195</v>
      </c>
      <c r="I31" s="28">
        <v>356519</v>
      </c>
      <c r="J31" s="28">
        <v>0.99</v>
      </c>
      <c r="K31" s="28">
        <v>76</v>
      </c>
      <c r="L31" s="28">
        <v>1</v>
      </c>
    </row>
    <row r="32" spans="1:12" ht="14.25" customHeight="1" x14ac:dyDescent="0.2">
      <c r="A32" s="28">
        <v>31</v>
      </c>
      <c r="B32" s="28" t="s">
        <v>257</v>
      </c>
      <c r="C32" s="28" t="s">
        <v>241</v>
      </c>
      <c r="D32" s="28" t="s">
        <v>242</v>
      </c>
      <c r="E32" s="28" t="s">
        <v>211</v>
      </c>
      <c r="F32" s="28" t="s">
        <v>212</v>
      </c>
      <c r="G32" s="28" t="s">
        <v>254</v>
      </c>
      <c r="H32" s="28">
        <v>7877453</v>
      </c>
      <c r="I32" s="28">
        <v>240718</v>
      </c>
      <c r="J32" s="28">
        <v>0.99</v>
      </c>
      <c r="K32" s="28">
        <v>54</v>
      </c>
      <c r="L32" s="28">
        <v>1</v>
      </c>
    </row>
    <row r="33" spans="1:12" ht="14.25" customHeight="1" x14ac:dyDescent="0.2">
      <c r="A33" s="28">
        <v>32</v>
      </c>
      <c r="B33" s="28" t="s">
        <v>258</v>
      </c>
      <c r="C33" s="28" t="s">
        <v>241</v>
      </c>
      <c r="D33" s="28" t="s">
        <v>242</v>
      </c>
      <c r="E33" s="28" t="s">
        <v>211</v>
      </c>
      <c r="F33" s="28" t="s">
        <v>212</v>
      </c>
      <c r="G33" s="28" t="s">
        <v>259</v>
      </c>
      <c r="H33" s="28">
        <v>7074167</v>
      </c>
      <c r="I33" s="28">
        <v>215875</v>
      </c>
      <c r="J33" s="28">
        <v>0.99</v>
      </c>
      <c r="K33" s="28">
        <v>85</v>
      </c>
      <c r="L33" s="28">
        <v>2</v>
      </c>
    </row>
    <row r="34" spans="1:12" ht="14.25" customHeight="1" x14ac:dyDescent="0.2">
      <c r="A34" s="28">
        <v>33</v>
      </c>
      <c r="B34" s="28" t="s">
        <v>260</v>
      </c>
      <c r="C34" s="28" t="s">
        <v>241</v>
      </c>
      <c r="D34" s="28" t="s">
        <v>242</v>
      </c>
      <c r="E34" s="28" t="s">
        <v>211</v>
      </c>
      <c r="F34" s="28" t="s">
        <v>212</v>
      </c>
      <c r="G34" s="28" t="s">
        <v>259</v>
      </c>
      <c r="H34" s="28">
        <v>7983270</v>
      </c>
      <c r="I34" s="28">
        <v>244375</v>
      </c>
      <c r="J34" s="28">
        <v>0.99</v>
      </c>
      <c r="K34" s="28">
        <v>22</v>
      </c>
      <c r="L34" s="28">
        <v>0</v>
      </c>
    </row>
    <row r="35" spans="1:12" ht="14.25" customHeight="1" x14ac:dyDescent="0.2">
      <c r="A35" s="28">
        <v>34</v>
      </c>
      <c r="B35" s="28" t="s">
        <v>261</v>
      </c>
      <c r="C35" s="28" t="s">
        <v>241</v>
      </c>
      <c r="D35" s="28" t="s">
        <v>242</v>
      </c>
      <c r="E35" s="28" t="s">
        <v>211</v>
      </c>
      <c r="F35" s="28" t="s">
        <v>212</v>
      </c>
      <c r="G35" s="28" t="s">
        <v>249</v>
      </c>
      <c r="H35" s="28">
        <v>10402398</v>
      </c>
      <c r="I35" s="28">
        <v>316656</v>
      </c>
      <c r="J35" s="28">
        <v>0.99</v>
      </c>
      <c r="K35" s="28">
        <v>58</v>
      </c>
      <c r="L35" s="28">
        <v>0</v>
      </c>
    </row>
    <row r="36" spans="1:12" ht="14.25" customHeight="1" x14ac:dyDescent="0.2">
      <c r="A36" s="28">
        <v>35</v>
      </c>
      <c r="B36" s="28" t="s">
        <v>262</v>
      </c>
      <c r="C36" s="28" t="s">
        <v>241</v>
      </c>
      <c r="D36" s="28" t="s">
        <v>242</v>
      </c>
      <c r="E36" s="28" t="s">
        <v>211</v>
      </c>
      <c r="F36" s="28" t="s">
        <v>212</v>
      </c>
      <c r="G36" s="28" t="s">
        <v>263</v>
      </c>
      <c r="H36" s="28">
        <v>8262039</v>
      </c>
      <c r="I36" s="28">
        <v>251036</v>
      </c>
      <c r="J36" s="28">
        <v>0.99</v>
      </c>
      <c r="K36" s="28">
        <v>76</v>
      </c>
      <c r="L36" s="28">
        <v>0</v>
      </c>
    </row>
    <row r="37" spans="1:12" ht="14.25" customHeight="1" x14ac:dyDescent="0.2">
      <c r="A37" s="28">
        <v>36</v>
      </c>
      <c r="B37" s="28" t="s">
        <v>264</v>
      </c>
      <c r="C37" s="28" t="s">
        <v>241</v>
      </c>
      <c r="D37" s="28" t="s">
        <v>242</v>
      </c>
      <c r="E37" s="28" t="s">
        <v>211</v>
      </c>
      <c r="F37" s="28" t="s">
        <v>212</v>
      </c>
      <c r="G37" s="28" t="s">
        <v>265</v>
      </c>
      <c r="H37" s="28">
        <v>9989331</v>
      </c>
      <c r="I37" s="28">
        <v>307617</v>
      </c>
      <c r="J37" s="28">
        <v>0.99</v>
      </c>
      <c r="K37" s="28">
        <v>81</v>
      </c>
      <c r="L37" s="28">
        <v>1</v>
      </c>
    </row>
    <row r="38" spans="1:12" ht="14.25" customHeight="1" x14ac:dyDescent="0.2">
      <c r="A38" s="28">
        <v>37</v>
      </c>
      <c r="B38" s="28" t="s">
        <v>266</v>
      </c>
      <c r="C38" s="28" t="s">
        <v>241</v>
      </c>
      <c r="D38" s="28" t="s">
        <v>242</v>
      </c>
      <c r="E38" s="28" t="s">
        <v>211</v>
      </c>
      <c r="F38" s="28" t="s">
        <v>212</v>
      </c>
      <c r="G38" s="28" t="s">
        <v>267</v>
      </c>
      <c r="H38" s="28">
        <v>12374569</v>
      </c>
      <c r="I38" s="28">
        <v>381231</v>
      </c>
      <c r="J38" s="28">
        <v>0.99</v>
      </c>
      <c r="K38" s="28">
        <v>25</v>
      </c>
      <c r="L38" s="28">
        <v>1</v>
      </c>
    </row>
    <row r="39" spans="1:12" ht="14.25" customHeight="1" x14ac:dyDescent="0.2">
      <c r="A39" s="28">
        <v>38</v>
      </c>
      <c r="B39" s="28" t="s">
        <v>268</v>
      </c>
      <c r="C39" s="28" t="s">
        <v>269</v>
      </c>
      <c r="D39" s="28" t="s">
        <v>270</v>
      </c>
      <c r="E39" s="28" t="s">
        <v>211</v>
      </c>
      <c r="F39" s="28" t="s">
        <v>212</v>
      </c>
      <c r="G39" s="28" t="s">
        <v>271</v>
      </c>
      <c r="H39" s="28">
        <v>9375567</v>
      </c>
      <c r="I39" s="28">
        <v>284891</v>
      </c>
      <c r="J39" s="28">
        <v>0.99</v>
      </c>
      <c r="K39" s="28">
        <v>40</v>
      </c>
      <c r="L39" s="28">
        <v>1</v>
      </c>
    </row>
    <row r="40" spans="1:12" ht="14.25" customHeight="1" x14ac:dyDescent="0.2">
      <c r="A40" s="28">
        <v>39</v>
      </c>
      <c r="B40" s="28" t="s">
        <v>272</v>
      </c>
      <c r="C40" s="28" t="s">
        <v>269</v>
      </c>
      <c r="D40" s="28" t="s">
        <v>270</v>
      </c>
      <c r="E40" s="28" t="s">
        <v>211</v>
      </c>
      <c r="F40" s="28" t="s">
        <v>212</v>
      </c>
      <c r="G40" s="28" t="s">
        <v>271</v>
      </c>
      <c r="H40" s="28">
        <v>8196916</v>
      </c>
      <c r="I40" s="28">
        <v>249234</v>
      </c>
      <c r="J40" s="28">
        <v>0.99</v>
      </c>
      <c r="K40" s="28">
        <v>44</v>
      </c>
      <c r="L40" s="28">
        <v>1</v>
      </c>
    </row>
    <row r="41" spans="1:12" ht="14.25" customHeight="1" x14ac:dyDescent="0.2">
      <c r="A41" s="28">
        <v>40</v>
      </c>
      <c r="B41" s="28" t="s">
        <v>273</v>
      </c>
      <c r="C41" s="28" t="s">
        <v>269</v>
      </c>
      <c r="D41" s="28" t="s">
        <v>270</v>
      </c>
      <c r="E41" s="28" t="s">
        <v>211</v>
      </c>
      <c r="F41" s="28" t="s">
        <v>212</v>
      </c>
      <c r="G41" s="28" t="s">
        <v>271</v>
      </c>
      <c r="H41" s="28">
        <v>6145404</v>
      </c>
      <c r="I41" s="28">
        <v>188133</v>
      </c>
      <c r="J41" s="28">
        <v>0.99</v>
      </c>
      <c r="K41" s="28">
        <v>74</v>
      </c>
      <c r="L41" s="28">
        <v>0</v>
      </c>
    </row>
    <row r="42" spans="1:12" ht="14.25" customHeight="1" x14ac:dyDescent="0.2">
      <c r="A42" s="28">
        <v>41</v>
      </c>
      <c r="B42" s="28" t="s">
        <v>274</v>
      </c>
      <c r="C42" s="28" t="s">
        <v>269</v>
      </c>
      <c r="D42" s="28" t="s">
        <v>270</v>
      </c>
      <c r="E42" s="28" t="s">
        <v>211</v>
      </c>
      <c r="F42" s="28" t="s">
        <v>212</v>
      </c>
      <c r="G42" s="28" t="s">
        <v>271</v>
      </c>
      <c r="H42" s="28">
        <v>7224246</v>
      </c>
      <c r="I42" s="28">
        <v>221570</v>
      </c>
      <c r="J42" s="28">
        <v>0.99</v>
      </c>
      <c r="K42" s="28">
        <v>78</v>
      </c>
      <c r="L42" s="28">
        <v>0</v>
      </c>
    </row>
    <row r="43" spans="1:12" ht="14.25" customHeight="1" x14ac:dyDescent="0.2">
      <c r="A43" s="28">
        <v>42</v>
      </c>
      <c r="B43" s="28" t="s">
        <v>275</v>
      </c>
      <c r="C43" s="28" t="s">
        <v>269</v>
      </c>
      <c r="D43" s="28" t="s">
        <v>270</v>
      </c>
      <c r="E43" s="28" t="s">
        <v>211</v>
      </c>
      <c r="F43" s="28" t="s">
        <v>212</v>
      </c>
      <c r="G43" s="28" t="s">
        <v>271</v>
      </c>
      <c r="H43" s="28">
        <v>5793082</v>
      </c>
      <c r="I43" s="28">
        <v>176117</v>
      </c>
      <c r="J43" s="28">
        <v>0.99</v>
      </c>
      <c r="K43" s="28">
        <v>75</v>
      </c>
      <c r="L43" s="28">
        <v>1</v>
      </c>
    </row>
    <row r="44" spans="1:12" ht="14.25" customHeight="1" x14ac:dyDescent="0.2">
      <c r="A44" s="28">
        <v>43</v>
      </c>
      <c r="B44" s="28" t="s">
        <v>276</v>
      </c>
      <c r="C44" s="28" t="s">
        <v>269</v>
      </c>
      <c r="D44" s="28" t="s">
        <v>270</v>
      </c>
      <c r="E44" s="28" t="s">
        <v>211</v>
      </c>
      <c r="F44" s="28" t="s">
        <v>212</v>
      </c>
      <c r="G44" s="28" t="s">
        <v>271</v>
      </c>
      <c r="H44" s="28">
        <v>9753256</v>
      </c>
      <c r="I44" s="28">
        <v>300355</v>
      </c>
      <c r="J44" s="28">
        <v>0.99</v>
      </c>
      <c r="K44" s="28">
        <v>38</v>
      </c>
      <c r="L44" s="28">
        <v>1</v>
      </c>
    </row>
    <row r="45" spans="1:12" ht="14.25" customHeight="1" x14ac:dyDescent="0.2">
      <c r="A45" s="28">
        <v>44</v>
      </c>
      <c r="B45" s="28" t="s">
        <v>277</v>
      </c>
      <c r="C45" s="28" t="s">
        <v>269</v>
      </c>
      <c r="D45" s="28" t="s">
        <v>270</v>
      </c>
      <c r="E45" s="28" t="s">
        <v>211</v>
      </c>
      <c r="F45" s="28" t="s">
        <v>212</v>
      </c>
      <c r="G45" s="28" t="s">
        <v>271</v>
      </c>
      <c r="H45" s="28">
        <v>7824837</v>
      </c>
      <c r="I45" s="28">
        <v>239699</v>
      </c>
      <c r="J45" s="28">
        <v>0.99</v>
      </c>
      <c r="K45" s="28">
        <v>48</v>
      </c>
      <c r="L45" s="28">
        <v>1</v>
      </c>
    </row>
    <row r="46" spans="1:12" ht="14.25" customHeight="1" x14ac:dyDescent="0.2">
      <c r="A46" s="28">
        <v>45</v>
      </c>
      <c r="B46" s="28" t="s">
        <v>278</v>
      </c>
      <c r="C46" s="28" t="s">
        <v>269</v>
      </c>
      <c r="D46" s="28" t="s">
        <v>270</v>
      </c>
      <c r="E46" s="28" t="s">
        <v>211</v>
      </c>
      <c r="F46" s="28" t="s">
        <v>212</v>
      </c>
      <c r="G46" s="28" t="s">
        <v>271</v>
      </c>
      <c r="H46" s="28">
        <v>8758008</v>
      </c>
      <c r="I46" s="28">
        <v>267493</v>
      </c>
      <c r="J46" s="28">
        <v>0.99</v>
      </c>
      <c r="K46" s="28">
        <v>42</v>
      </c>
      <c r="L46" s="28">
        <v>0</v>
      </c>
    </row>
    <row r="47" spans="1:12" ht="14.25" customHeight="1" x14ac:dyDescent="0.2">
      <c r="A47" s="28">
        <v>46</v>
      </c>
      <c r="B47" s="28" t="s">
        <v>279</v>
      </c>
      <c r="C47" s="28" t="s">
        <v>269</v>
      </c>
      <c r="D47" s="28" t="s">
        <v>270</v>
      </c>
      <c r="E47" s="28" t="s">
        <v>211</v>
      </c>
      <c r="F47" s="28" t="s">
        <v>212</v>
      </c>
      <c r="G47" s="28" t="s">
        <v>271</v>
      </c>
      <c r="H47" s="28">
        <v>9163588</v>
      </c>
      <c r="I47" s="28">
        <v>280607</v>
      </c>
      <c r="J47" s="28">
        <v>0.99</v>
      </c>
      <c r="K47" s="28">
        <v>51</v>
      </c>
      <c r="L47" s="28">
        <v>0</v>
      </c>
    </row>
    <row r="48" spans="1:12" ht="14.25" customHeight="1" x14ac:dyDescent="0.2">
      <c r="A48" s="28">
        <v>47</v>
      </c>
      <c r="B48" s="28" t="s">
        <v>280</v>
      </c>
      <c r="C48" s="28" t="s">
        <v>269</v>
      </c>
      <c r="D48" s="28" t="s">
        <v>270</v>
      </c>
      <c r="E48" s="28" t="s">
        <v>211</v>
      </c>
      <c r="F48" s="28" t="s">
        <v>212</v>
      </c>
      <c r="G48" s="28" t="s">
        <v>271</v>
      </c>
      <c r="H48" s="28">
        <v>7598866</v>
      </c>
      <c r="I48" s="28">
        <v>229825</v>
      </c>
      <c r="J48" s="28">
        <v>0.99</v>
      </c>
      <c r="K48" s="28">
        <v>37</v>
      </c>
      <c r="L48" s="28">
        <v>0</v>
      </c>
    </row>
    <row r="49" spans="1:12" ht="14.25" customHeight="1" x14ac:dyDescent="0.2">
      <c r="A49" s="28">
        <v>48</v>
      </c>
      <c r="B49" s="28" t="s">
        <v>281</v>
      </c>
      <c r="C49" s="28" t="s">
        <v>269</v>
      </c>
      <c r="D49" s="28" t="s">
        <v>270</v>
      </c>
      <c r="E49" s="28" t="s">
        <v>211</v>
      </c>
      <c r="F49" s="28" t="s">
        <v>212</v>
      </c>
      <c r="G49" s="28" t="s">
        <v>271</v>
      </c>
      <c r="H49" s="28">
        <v>7604601</v>
      </c>
      <c r="I49" s="28">
        <v>227631</v>
      </c>
      <c r="J49" s="28">
        <v>0.99</v>
      </c>
      <c r="K49" s="28">
        <v>27</v>
      </c>
      <c r="L49" s="28">
        <v>2</v>
      </c>
    </row>
    <row r="50" spans="1:12" ht="14.25" customHeight="1" x14ac:dyDescent="0.2">
      <c r="A50" s="28">
        <v>49</v>
      </c>
      <c r="B50" s="28" t="s">
        <v>282</v>
      </c>
      <c r="C50" s="28" t="s">
        <v>269</v>
      </c>
      <c r="D50" s="28" t="s">
        <v>270</v>
      </c>
      <c r="E50" s="28" t="s">
        <v>211</v>
      </c>
      <c r="F50" s="28" t="s">
        <v>212</v>
      </c>
      <c r="G50" s="28" t="s">
        <v>271</v>
      </c>
      <c r="H50" s="28">
        <v>9703359</v>
      </c>
      <c r="I50" s="28">
        <v>293485</v>
      </c>
      <c r="J50" s="28">
        <v>0.99</v>
      </c>
      <c r="K50" s="28">
        <v>68</v>
      </c>
      <c r="L50" s="28">
        <v>1</v>
      </c>
    </row>
    <row r="51" spans="1:12" ht="14.25" customHeight="1" x14ac:dyDescent="0.2">
      <c r="A51" s="28">
        <v>50</v>
      </c>
      <c r="B51" s="28" t="s">
        <v>283</v>
      </c>
      <c r="C51" s="28" t="s">
        <v>269</v>
      </c>
      <c r="D51" s="28" t="s">
        <v>270</v>
      </c>
      <c r="E51" s="28" t="s">
        <v>211</v>
      </c>
      <c r="F51" s="28" t="s">
        <v>212</v>
      </c>
      <c r="G51" s="28" t="s">
        <v>271</v>
      </c>
      <c r="H51" s="28">
        <v>16008629</v>
      </c>
      <c r="I51" s="28">
        <v>491885</v>
      </c>
      <c r="J51" s="28">
        <v>0.99</v>
      </c>
      <c r="K51" s="28">
        <v>21</v>
      </c>
      <c r="L51" s="28">
        <v>0</v>
      </c>
    </row>
    <row r="52" spans="1:12" ht="14.25" customHeight="1" x14ac:dyDescent="0.2">
      <c r="A52" s="28">
        <v>51</v>
      </c>
      <c r="B52" s="28" t="s">
        <v>284</v>
      </c>
      <c r="C52" s="28" t="s">
        <v>285</v>
      </c>
      <c r="D52" s="28" t="s">
        <v>286</v>
      </c>
      <c r="E52" s="28" t="s">
        <v>211</v>
      </c>
      <c r="F52" s="28" t="s">
        <v>212</v>
      </c>
      <c r="G52" s="28" t="s">
        <v>287</v>
      </c>
      <c r="H52" s="28">
        <v>4925362</v>
      </c>
      <c r="I52" s="28">
        <v>152084</v>
      </c>
      <c r="J52" s="28">
        <v>0.99</v>
      </c>
      <c r="K52" s="28">
        <v>77</v>
      </c>
      <c r="L52" s="28">
        <v>0</v>
      </c>
    </row>
    <row r="53" spans="1:12" ht="14.25" customHeight="1" x14ac:dyDescent="0.2">
      <c r="A53" s="28">
        <v>52</v>
      </c>
      <c r="B53" s="28" t="s">
        <v>288</v>
      </c>
      <c r="C53" s="28" t="s">
        <v>285</v>
      </c>
      <c r="D53" s="28" t="s">
        <v>286</v>
      </c>
      <c r="E53" s="28" t="s">
        <v>211</v>
      </c>
      <c r="F53" s="28" t="s">
        <v>212</v>
      </c>
      <c r="G53" s="28" t="s">
        <v>289</v>
      </c>
      <c r="H53" s="28">
        <v>9310272</v>
      </c>
      <c r="I53" s="28">
        <v>286641</v>
      </c>
      <c r="J53" s="28">
        <v>0.99</v>
      </c>
      <c r="K53" s="28">
        <v>12</v>
      </c>
      <c r="L53" s="28">
        <v>0</v>
      </c>
    </row>
    <row r="54" spans="1:12" ht="14.25" customHeight="1" x14ac:dyDescent="0.2">
      <c r="A54" s="28">
        <v>53</v>
      </c>
      <c r="B54" s="28" t="s">
        <v>290</v>
      </c>
      <c r="C54" s="28" t="s">
        <v>285</v>
      </c>
      <c r="D54" s="28" t="s">
        <v>286</v>
      </c>
      <c r="E54" s="28" t="s">
        <v>211</v>
      </c>
      <c r="F54" s="28" t="s">
        <v>212</v>
      </c>
      <c r="G54" s="28" t="s">
        <v>287</v>
      </c>
      <c r="H54" s="28">
        <v>11316328</v>
      </c>
      <c r="I54" s="28">
        <v>349831</v>
      </c>
      <c r="J54" s="28">
        <v>0.99</v>
      </c>
      <c r="K54" s="28">
        <v>94</v>
      </c>
      <c r="L54" s="28">
        <v>1</v>
      </c>
    </row>
    <row r="55" spans="1:12" ht="14.25" customHeight="1" x14ac:dyDescent="0.2">
      <c r="A55" s="28">
        <v>54</v>
      </c>
      <c r="B55" s="28" t="s">
        <v>291</v>
      </c>
      <c r="C55" s="28" t="s">
        <v>285</v>
      </c>
      <c r="D55" s="28" t="s">
        <v>286</v>
      </c>
      <c r="E55" s="28" t="s">
        <v>211</v>
      </c>
      <c r="F55" s="28" t="s">
        <v>212</v>
      </c>
      <c r="G55" s="28" t="s">
        <v>287</v>
      </c>
      <c r="H55" s="28">
        <v>7847716</v>
      </c>
      <c r="I55" s="28">
        <v>241946</v>
      </c>
      <c r="J55" s="28">
        <v>0.99</v>
      </c>
      <c r="K55" s="28">
        <v>71</v>
      </c>
      <c r="L55" s="28">
        <v>1</v>
      </c>
    </row>
    <row r="56" spans="1:12" ht="14.25" customHeight="1" x14ac:dyDescent="0.2">
      <c r="A56" s="28">
        <v>55</v>
      </c>
      <c r="B56" s="28" t="s">
        <v>292</v>
      </c>
      <c r="C56" s="28" t="s">
        <v>285</v>
      </c>
      <c r="D56" s="28" t="s">
        <v>286</v>
      </c>
      <c r="E56" s="28" t="s">
        <v>211</v>
      </c>
      <c r="F56" s="28" t="s">
        <v>212</v>
      </c>
      <c r="G56" s="28" t="s">
        <v>289</v>
      </c>
      <c r="H56" s="28">
        <v>7302550</v>
      </c>
      <c r="I56" s="28">
        <v>222955</v>
      </c>
      <c r="J56" s="28">
        <v>0.99</v>
      </c>
      <c r="K56" s="28">
        <v>14</v>
      </c>
      <c r="L56" s="28">
        <v>1</v>
      </c>
    </row>
    <row r="57" spans="1:12" ht="14.25" customHeight="1" x14ac:dyDescent="0.2">
      <c r="A57" s="28">
        <v>56</v>
      </c>
      <c r="B57" s="28" t="s">
        <v>293</v>
      </c>
      <c r="C57" s="28" t="s">
        <v>285</v>
      </c>
      <c r="D57" s="28" t="s">
        <v>286</v>
      </c>
      <c r="E57" s="28" t="s">
        <v>211</v>
      </c>
      <c r="F57" s="28" t="s">
        <v>212</v>
      </c>
      <c r="G57" s="28" t="s">
        <v>289</v>
      </c>
      <c r="H57" s="28">
        <v>12575396</v>
      </c>
      <c r="I57" s="28">
        <v>387134</v>
      </c>
      <c r="J57" s="28">
        <v>0.99</v>
      </c>
      <c r="K57" s="28">
        <v>96</v>
      </c>
      <c r="L57" s="28">
        <v>0</v>
      </c>
    </row>
    <row r="58" spans="1:12" ht="14.25" customHeight="1" x14ac:dyDescent="0.2">
      <c r="A58" s="28">
        <v>57</v>
      </c>
      <c r="B58" s="28" t="s">
        <v>294</v>
      </c>
      <c r="C58" s="28" t="s">
        <v>285</v>
      </c>
      <c r="D58" s="28" t="s">
        <v>286</v>
      </c>
      <c r="E58" s="28" t="s">
        <v>211</v>
      </c>
      <c r="F58" s="28" t="s">
        <v>212</v>
      </c>
      <c r="G58" s="28" t="s">
        <v>295</v>
      </c>
      <c r="H58" s="28">
        <v>8993793</v>
      </c>
      <c r="I58" s="28">
        <v>277577</v>
      </c>
      <c r="J58" s="28">
        <v>0.99</v>
      </c>
      <c r="K58" s="28">
        <v>73</v>
      </c>
      <c r="L58" s="28">
        <v>1</v>
      </c>
    </row>
    <row r="59" spans="1:12" ht="14.25" customHeight="1" x14ac:dyDescent="0.2">
      <c r="A59" s="28">
        <v>58</v>
      </c>
      <c r="B59" s="28" t="s">
        <v>296</v>
      </c>
      <c r="C59" s="28" t="s">
        <v>285</v>
      </c>
      <c r="D59" s="28" t="s">
        <v>286</v>
      </c>
      <c r="E59" s="28" t="s">
        <v>211</v>
      </c>
      <c r="F59" s="28" t="s">
        <v>212</v>
      </c>
      <c r="G59" s="28" t="s">
        <v>287</v>
      </c>
      <c r="H59" s="28">
        <v>9216057</v>
      </c>
      <c r="I59" s="28">
        <v>284969</v>
      </c>
      <c r="J59" s="28">
        <v>0.99</v>
      </c>
      <c r="K59" s="28">
        <v>39</v>
      </c>
      <c r="L59" s="28">
        <v>0</v>
      </c>
    </row>
    <row r="60" spans="1:12" ht="14.25" customHeight="1" x14ac:dyDescent="0.2">
      <c r="A60" s="28">
        <v>59</v>
      </c>
      <c r="B60" s="28" t="s">
        <v>297</v>
      </c>
      <c r="C60" s="28" t="s">
        <v>285</v>
      </c>
      <c r="D60" s="28" t="s">
        <v>286</v>
      </c>
      <c r="E60" s="28" t="s">
        <v>211</v>
      </c>
      <c r="F60" s="28" t="s">
        <v>212</v>
      </c>
      <c r="G60" s="28" t="s">
        <v>287</v>
      </c>
      <c r="H60" s="28">
        <v>6420530</v>
      </c>
      <c r="I60" s="28">
        <v>196231</v>
      </c>
      <c r="J60" s="28">
        <v>0.99</v>
      </c>
      <c r="K60" s="28">
        <v>4</v>
      </c>
      <c r="L60" s="28">
        <v>0</v>
      </c>
    </row>
    <row r="61" spans="1:12" ht="14.25" customHeight="1" x14ac:dyDescent="0.2">
      <c r="A61" s="28">
        <v>60</v>
      </c>
      <c r="B61" s="28" t="s">
        <v>298</v>
      </c>
      <c r="C61" s="28" t="s">
        <v>285</v>
      </c>
      <c r="D61" s="28" t="s">
        <v>286</v>
      </c>
      <c r="E61" s="28" t="s">
        <v>211</v>
      </c>
      <c r="F61" s="28" t="s">
        <v>212</v>
      </c>
      <c r="G61" s="28" t="s">
        <v>299</v>
      </c>
      <c r="H61" s="28">
        <v>11183647</v>
      </c>
      <c r="I61" s="28">
        <v>344163</v>
      </c>
      <c r="J61" s="28">
        <v>0.99</v>
      </c>
      <c r="K61" s="28">
        <v>88</v>
      </c>
      <c r="L61" s="28">
        <v>1</v>
      </c>
    </row>
    <row r="62" spans="1:12" ht="14.25" customHeight="1" x14ac:dyDescent="0.2">
      <c r="A62" s="28">
        <v>61</v>
      </c>
      <c r="B62" s="28" t="s">
        <v>300</v>
      </c>
      <c r="C62" s="28" t="s">
        <v>285</v>
      </c>
      <c r="D62" s="28" t="s">
        <v>286</v>
      </c>
      <c r="E62" s="28" t="s">
        <v>211</v>
      </c>
      <c r="F62" s="28" t="s">
        <v>212</v>
      </c>
      <c r="G62" s="28" t="s">
        <v>287</v>
      </c>
      <c r="H62" s="28">
        <v>8497788</v>
      </c>
      <c r="I62" s="28">
        <v>261955</v>
      </c>
      <c r="J62" s="28">
        <v>0.99</v>
      </c>
      <c r="K62" s="28">
        <v>29</v>
      </c>
      <c r="L62" s="28">
        <v>1</v>
      </c>
    </row>
    <row r="63" spans="1:12" ht="14.25" customHeight="1" x14ac:dyDescent="0.2">
      <c r="A63" s="28">
        <v>62</v>
      </c>
      <c r="B63" s="28" t="s">
        <v>301</v>
      </c>
      <c r="C63" s="28" t="s">
        <v>285</v>
      </c>
      <c r="D63" s="28" t="s">
        <v>286</v>
      </c>
      <c r="E63" s="28" t="s">
        <v>211</v>
      </c>
      <c r="F63" s="28" t="s">
        <v>212</v>
      </c>
      <c r="G63" s="28" t="s">
        <v>289</v>
      </c>
      <c r="H63" s="28">
        <v>7937731</v>
      </c>
      <c r="I63" s="28">
        <v>243879</v>
      </c>
      <c r="J63" s="28">
        <v>0.99</v>
      </c>
      <c r="K63" s="28">
        <v>36</v>
      </c>
      <c r="L63" s="28">
        <v>1</v>
      </c>
    </row>
    <row r="64" spans="1:12" ht="14.25" customHeight="1" x14ac:dyDescent="0.2">
      <c r="A64" s="28">
        <v>63</v>
      </c>
      <c r="B64" s="28" t="s">
        <v>302</v>
      </c>
      <c r="C64" s="28" t="s">
        <v>303</v>
      </c>
      <c r="D64" s="28" t="s">
        <v>304</v>
      </c>
      <c r="E64" s="28" t="s">
        <v>211</v>
      </c>
      <c r="F64" s="28" t="s">
        <v>305</v>
      </c>
      <c r="G64" s="28"/>
      <c r="H64" s="28">
        <v>5990473</v>
      </c>
      <c r="I64" s="28">
        <v>185338</v>
      </c>
      <c r="J64" s="28">
        <v>0.99</v>
      </c>
      <c r="K64" s="28">
        <v>94</v>
      </c>
      <c r="L64" s="28">
        <v>0</v>
      </c>
    </row>
    <row r="65" spans="1:12" ht="14.25" customHeight="1" x14ac:dyDescent="0.2">
      <c r="A65" s="28">
        <v>64</v>
      </c>
      <c r="B65" s="28" t="s">
        <v>306</v>
      </c>
      <c r="C65" s="28" t="s">
        <v>303</v>
      </c>
      <c r="D65" s="28" t="s">
        <v>304</v>
      </c>
      <c r="E65" s="28" t="s">
        <v>211</v>
      </c>
      <c r="F65" s="28" t="s">
        <v>305</v>
      </c>
      <c r="G65" s="28"/>
      <c r="H65" s="28">
        <v>9348428</v>
      </c>
      <c r="I65" s="28">
        <v>285048</v>
      </c>
      <c r="J65" s="28">
        <v>0.99</v>
      </c>
      <c r="K65" s="28">
        <v>29</v>
      </c>
      <c r="L65" s="28">
        <v>0</v>
      </c>
    </row>
    <row r="66" spans="1:12" ht="14.25" customHeight="1" x14ac:dyDescent="0.2">
      <c r="A66" s="28">
        <v>65</v>
      </c>
      <c r="B66" s="28" t="s">
        <v>307</v>
      </c>
      <c r="C66" s="28" t="s">
        <v>303</v>
      </c>
      <c r="D66" s="28" t="s">
        <v>304</v>
      </c>
      <c r="E66" s="28" t="s">
        <v>211</v>
      </c>
      <c r="F66" s="28" t="s">
        <v>305</v>
      </c>
      <c r="G66" s="28"/>
      <c r="H66" s="28">
        <v>4535401</v>
      </c>
      <c r="I66" s="28">
        <v>137273</v>
      </c>
      <c r="J66" s="28">
        <v>0.99</v>
      </c>
      <c r="K66" s="28">
        <v>30</v>
      </c>
      <c r="L66" s="28">
        <v>0</v>
      </c>
    </row>
    <row r="67" spans="1:12" ht="14.25" customHeight="1" x14ac:dyDescent="0.2">
      <c r="A67" s="28">
        <v>66</v>
      </c>
      <c r="B67" s="28" t="s">
        <v>308</v>
      </c>
      <c r="C67" s="28" t="s">
        <v>303</v>
      </c>
      <c r="D67" s="28" t="s">
        <v>304</v>
      </c>
      <c r="E67" s="28" t="s">
        <v>211</v>
      </c>
      <c r="F67" s="28" t="s">
        <v>305</v>
      </c>
      <c r="G67" s="28"/>
      <c r="H67" s="28">
        <v>5536496</v>
      </c>
      <c r="I67" s="28">
        <v>169900</v>
      </c>
      <c r="J67" s="28">
        <v>0.99</v>
      </c>
      <c r="K67" s="28">
        <v>47</v>
      </c>
      <c r="L67" s="28">
        <v>2</v>
      </c>
    </row>
    <row r="68" spans="1:12" ht="14.25" customHeight="1" x14ac:dyDescent="0.2">
      <c r="A68" s="28">
        <v>67</v>
      </c>
      <c r="B68" s="28" t="s">
        <v>309</v>
      </c>
      <c r="C68" s="28" t="s">
        <v>303</v>
      </c>
      <c r="D68" s="28" t="s">
        <v>304</v>
      </c>
      <c r="E68" s="28" t="s">
        <v>211</v>
      </c>
      <c r="F68" s="28" t="s">
        <v>305</v>
      </c>
      <c r="G68" s="28"/>
      <c r="H68" s="28">
        <v>8226934</v>
      </c>
      <c r="I68" s="28">
        <v>251977</v>
      </c>
      <c r="J68" s="28">
        <v>0.99</v>
      </c>
      <c r="K68" s="28">
        <v>10</v>
      </c>
      <c r="L68" s="28">
        <v>1</v>
      </c>
    </row>
    <row r="69" spans="1:12" ht="14.25" customHeight="1" x14ac:dyDescent="0.2">
      <c r="A69" s="28">
        <v>68</v>
      </c>
      <c r="B69" s="28" t="s">
        <v>310</v>
      </c>
      <c r="C69" s="28" t="s">
        <v>303</v>
      </c>
      <c r="D69" s="28" t="s">
        <v>304</v>
      </c>
      <c r="E69" s="28" t="s">
        <v>211</v>
      </c>
      <c r="F69" s="28" t="s">
        <v>305</v>
      </c>
      <c r="G69" s="28"/>
      <c r="H69" s="28">
        <v>4198774</v>
      </c>
      <c r="I69" s="28">
        <v>129227</v>
      </c>
      <c r="J69" s="28">
        <v>0.99</v>
      </c>
      <c r="K69" s="28">
        <v>48</v>
      </c>
      <c r="L69" s="28">
        <v>0</v>
      </c>
    </row>
    <row r="70" spans="1:12" ht="14.25" customHeight="1" x14ac:dyDescent="0.2">
      <c r="A70" s="28">
        <v>69</v>
      </c>
      <c r="B70" s="28" t="s">
        <v>311</v>
      </c>
      <c r="C70" s="28" t="s">
        <v>303</v>
      </c>
      <c r="D70" s="28" t="s">
        <v>304</v>
      </c>
      <c r="E70" s="28" t="s">
        <v>211</v>
      </c>
      <c r="F70" s="28" t="s">
        <v>305</v>
      </c>
      <c r="G70" s="28"/>
      <c r="H70" s="28">
        <v>8149148</v>
      </c>
      <c r="I70" s="28">
        <v>253178</v>
      </c>
      <c r="J70" s="28">
        <v>0.99</v>
      </c>
      <c r="K70" s="28">
        <v>72</v>
      </c>
      <c r="L70" s="28">
        <v>0</v>
      </c>
    </row>
    <row r="71" spans="1:12" ht="14.25" customHeight="1" x14ac:dyDescent="0.2">
      <c r="A71" s="28">
        <v>70</v>
      </c>
      <c r="B71" s="28" t="s">
        <v>312</v>
      </c>
      <c r="C71" s="28" t="s">
        <v>303</v>
      </c>
      <c r="D71" s="28" t="s">
        <v>304</v>
      </c>
      <c r="E71" s="28" t="s">
        <v>211</v>
      </c>
      <c r="F71" s="28" t="s">
        <v>305</v>
      </c>
      <c r="G71" s="28"/>
      <c r="H71" s="28">
        <v>4393377</v>
      </c>
      <c r="I71" s="28">
        <v>134948</v>
      </c>
      <c r="J71" s="28">
        <v>0.99</v>
      </c>
      <c r="K71" s="28">
        <v>82</v>
      </c>
      <c r="L71" s="28">
        <v>0</v>
      </c>
    </row>
    <row r="72" spans="1:12" ht="14.25" customHeight="1" x14ac:dyDescent="0.2">
      <c r="A72" s="28">
        <v>71</v>
      </c>
      <c r="B72" s="28" t="s">
        <v>313</v>
      </c>
      <c r="C72" s="28" t="s">
        <v>303</v>
      </c>
      <c r="D72" s="28" t="s">
        <v>304</v>
      </c>
      <c r="E72" s="28" t="s">
        <v>211</v>
      </c>
      <c r="F72" s="28" t="s">
        <v>305</v>
      </c>
      <c r="G72" s="28"/>
      <c r="H72" s="28">
        <v>7121735</v>
      </c>
      <c r="I72" s="28">
        <v>219663</v>
      </c>
      <c r="J72" s="28">
        <v>0.99</v>
      </c>
      <c r="K72" s="28">
        <v>53</v>
      </c>
      <c r="L72" s="28">
        <v>1</v>
      </c>
    </row>
    <row r="73" spans="1:12" ht="14.25" customHeight="1" x14ac:dyDescent="0.2">
      <c r="A73" s="28">
        <v>72</v>
      </c>
      <c r="B73" s="28" t="s">
        <v>314</v>
      </c>
      <c r="C73" s="28" t="s">
        <v>303</v>
      </c>
      <c r="D73" s="28" t="s">
        <v>304</v>
      </c>
      <c r="E73" s="28" t="s">
        <v>211</v>
      </c>
      <c r="F73" s="28" t="s">
        <v>305</v>
      </c>
      <c r="G73" s="28"/>
      <c r="H73" s="28">
        <v>5574957</v>
      </c>
      <c r="I73" s="28">
        <v>169508</v>
      </c>
      <c r="J73" s="28">
        <v>0.99</v>
      </c>
      <c r="K73" s="28">
        <v>59</v>
      </c>
      <c r="L73" s="28">
        <v>1</v>
      </c>
    </row>
    <row r="74" spans="1:12" ht="14.25" customHeight="1" x14ac:dyDescent="0.2">
      <c r="A74" s="28">
        <v>73</v>
      </c>
      <c r="B74" s="28" t="s">
        <v>315</v>
      </c>
      <c r="C74" s="28" t="s">
        <v>303</v>
      </c>
      <c r="D74" s="28" t="s">
        <v>304</v>
      </c>
      <c r="E74" s="28" t="s">
        <v>211</v>
      </c>
      <c r="F74" s="28" t="s">
        <v>305</v>
      </c>
      <c r="G74" s="28"/>
      <c r="H74" s="28">
        <v>6687994</v>
      </c>
      <c r="I74" s="28">
        <v>205662</v>
      </c>
      <c r="J74" s="28">
        <v>0.99</v>
      </c>
      <c r="K74" s="28">
        <v>45</v>
      </c>
      <c r="L74" s="28">
        <v>0</v>
      </c>
    </row>
    <row r="75" spans="1:12" ht="14.25" customHeight="1" x14ac:dyDescent="0.2">
      <c r="A75" s="28">
        <v>74</v>
      </c>
      <c r="B75" s="28" t="s">
        <v>316</v>
      </c>
      <c r="C75" s="28" t="s">
        <v>303</v>
      </c>
      <c r="D75" s="28" t="s">
        <v>304</v>
      </c>
      <c r="E75" s="28" t="s">
        <v>211</v>
      </c>
      <c r="F75" s="28" t="s">
        <v>305</v>
      </c>
      <c r="G75" s="28"/>
      <c r="H75" s="28">
        <v>4110053</v>
      </c>
      <c r="I75" s="28">
        <v>126511</v>
      </c>
      <c r="J75" s="28">
        <v>0.99</v>
      </c>
      <c r="K75" s="28">
        <v>52</v>
      </c>
      <c r="L75" s="28">
        <v>0</v>
      </c>
    </row>
    <row r="76" spans="1:12" ht="14.25" customHeight="1" x14ac:dyDescent="0.2">
      <c r="A76" s="28">
        <v>75</v>
      </c>
      <c r="B76" s="28" t="s">
        <v>317</v>
      </c>
      <c r="C76" s="28" t="s">
        <v>303</v>
      </c>
      <c r="D76" s="28" t="s">
        <v>304</v>
      </c>
      <c r="E76" s="28" t="s">
        <v>211</v>
      </c>
      <c r="F76" s="28" t="s">
        <v>305</v>
      </c>
      <c r="G76" s="28"/>
      <c r="H76" s="28">
        <v>12089673</v>
      </c>
      <c r="I76" s="28">
        <v>366837</v>
      </c>
      <c r="J76" s="28">
        <v>0.99</v>
      </c>
      <c r="K76" s="28">
        <v>35</v>
      </c>
      <c r="L76" s="28">
        <v>1</v>
      </c>
    </row>
    <row r="77" spans="1:12" ht="14.25" customHeight="1" x14ac:dyDescent="0.2">
      <c r="A77" s="28">
        <v>76</v>
      </c>
      <c r="B77" s="28" t="s">
        <v>318</v>
      </c>
      <c r="C77" s="28" t="s">
        <v>303</v>
      </c>
      <c r="D77" s="28" t="s">
        <v>304</v>
      </c>
      <c r="E77" s="28" t="s">
        <v>211</v>
      </c>
      <c r="F77" s="28" t="s">
        <v>305</v>
      </c>
      <c r="G77" s="28"/>
      <c r="H77" s="28">
        <v>8719426</v>
      </c>
      <c r="I77" s="28">
        <v>271856</v>
      </c>
      <c r="J77" s="28">
        <v>0.99</v>
      </c>
      <c r="K77" s="28">
        <v>50</v>
      </c>
      <c r="L77" s="28">
        <v>1</v>
      </c>
    </row>
    <row r="78" spans="1:12" ht="14.25" customHeight="1" x14ac:dyDescent="0.2">
      <c r="A78" s="28">
        <v>77</v>
      </c>
      <c r="B78" s="28" t="s">
        <v>319</v>
      </c>
      <c r="C78" s="28" t="s">
        <v>320</v>
      </c>
      <c r="D78" s="28" t="s">
        <v>321</v>
      </c>
      <c r="E78" s="28" t="s">
        <v>211</v>
      </c>
      <c r="F78" s="28" t="s">
        <v>322</v>
      </c>
      <c r="G78" s="28" t="s">
        <v>321</v>
      </c>
      <c r="H78" s="28">
        <v>7286305</v>
      </c>
      <c r="I78" s="28">
        <v>221701</v>
      </c>
      <c r="J78" s="28">
        <v>0.99</v>
      </c>
      <c r="K78" s="28">
        <v>55</v>
      </c>
      <c r="L78" s="28">
        <v>0</v>
      </c>
    </row>
    <row r="79" spans="1:12" ht="14.25" customHeight="1" x14ac:dyDescent="0.2">
      <c r="A79" s="28">
        <v>78</v>
      </c>
      <c r="B79" s="28" t="s">
        <v>323</v>
      </c>
      <c r="C79" s="28" t="s">
        <v>320</v>
      </c>
      <c r="D79" s="28" t="s">
        <v>321</v>
      </c>
      <c r="E79" s="28" t="s">
        <v>211</v>
      </c>
      <c r="F79" s="28" t="s">
        <v>322</v>
      </c>
      <c r="G79" s="28" t="s">
        <v>321</v>
      </c>
      <c r="H79" s="28">
        <v>14375310</v>
      </c>
      <c r="I79" s="28">
        <v>436453</v>
      </c>
      <c r="J79" s="28">
        <v>0.99</v>
      </c>
      <c r="K79" s="28">
        <v>5</v>
      </c>
      <c r="L79" s="28">
        <v>1</v>
      </c>
    </row>
    <row r="80" spans="1:12" ht="14.25" customHeight="1" x14ac:dyDescent="0.2">
      <c r="A80" s="28">
        <v>79</v>
      </c>
      <c r="B80" s="28" t="s">
        <v>324</v>
      </c>
      <c r="C80" s="28" t="s">
        <v>320</v>
      </c>
      <c r="D80" s="28" t="s">
        <v>321</v>
      </c>
      <c r="E80" s="28" t="s">
        <v>211</v>
      </c>
      <c r="F80" s="28" t="s">
        <v>322</v>
      </c>
      <c r="G80" s="28" t="s">
        <v>321</v>
      </c>
      <c r="H80" s="28">
        <v>12372536</v>
      </c>
      <c r="I80" s="28">
        <v>374543</v>
      </c>
      <c r="J80" s="28">
        <v>0.99</v>
      </c>
      <c r="K80" s="28">
        <v>40</v>
      </c>
      <c r="L80" s="28">
        <v>0</v>
      </c>
    </row>
    <row r="81" spans="1:12" ht="14.25" customHeight="1" x14ac:dyDescent="0.2">
      <c r="A81" s="28">
        <v>80</v>
      </c>
      <c r="B81" s="28" t="s">
        <v>325</v>
      </c>
      <c r="C81" s="28" t="s">
        <v>320</v>
      </c>
      <c r="D81" s="28" t="s">
        <v>321</v>
      </c>
      <c r="E81" s="28" t="s">
        <v>211</v>
      </c>
      <c r="F81" s="28" t="s">
        <v>322</v>
      </c>
      <c r="G81" s="28" t="s">
        <v>321</v>
      </c>
      <c r="H81" s="28">
        <v>10422447</v>
      </c>
      <c r="I81" s="28">
        <v>322925</v>
      </c>
      <c r="J81" s="28">
        <v>0.99</v>
      </c>
      <c r="K81" s="28">
        <v>4</v>
      </c>
      <c r="L81" s="28">
        <v>1</v>
      </c>
    </row>
    <row r="82" spans="1:12" ht="14.25" customHeight="1" x14ac:dyDescent="0.2">
      <c r="A82" s="28">
        <v>81</v>
      </c>
      <c r="B82" s="28" t="s">
        <v>326</v>
      </c>
      <c r="C82" s="28" t="s">
        <v>320</v>
      </c>
      <c r="D82" s="28" t="s">
        <v>321</v>
      </c>
      <c r="E82" s="28" t="s">
        <v>211</v>
      </c>
      <c r="F82" s="28" t="s">
        <v>322</v>
      </c>
      <c r="G82" s="28" t="s">
        <v>321</v>
      </c>
      <c r="H82" s="28">
        <v>9405526</v>
      </c>
      <c r="I82" s="28">
        <v>288208</v>
      </c>
      <c r="J82" s="28">
        <v>0.99</v>
      </c>
      <c r="K82" s="28">
        <v>67</v>
      </c>
      <c r="L82" s="28">
        <v>0</v>
      </c>
    </row>
    <row r="83" spans="1:12" ht="14.25" customHeight="1" x14ac:dyDescent="0.2">
      <c r="A83" s="28">
        <v>82</v>
      </c>
      <c r="B83" s="28" t="s">
        <v>327</v>
      </c>
      <c r="C83" s="28" t="s">
        <v>320</v>
      </c>
      <c r="D83" s="28" t="s">
        <v>321</v>
      </c>
      <c r="E83" s="28" t="s">
        <v>211</v>
      </c>
      <c r="F83" s="28" t="s">
        <v>322</v>
      </c>
      <c r="G83" s="28" t="s">
        <v>321</v>
      </c>
      <c r="H83" s="28">
        <v>10110980</v>
      </c>
      <c r="I83" s="28">
        <v>308035</v>
      </c>
      <c r="J83" s="28">
        <v>0.99</v>
      </c>
      <c r="K83" s="28">
        <v>90</v>
      </c>
      <c r="L83" s="28">
        <v>0</v>
      </c>
    </row>
    <row r="84" spans="1:12" ht="14.25" customHeight="1" x14ac:dyDescent="0.2">
      <c r="A84" s="28">
        <v>83</v>
      </c>
      <c r="B84" s="28" t="s">
        <v>328</v>
      </c>
      <c r="C84" s="28" t="s">
        <v>320</v>
      </c>
      <c r="D84" s="28" t="s">
        <v>321</v>
      </c>
      <c r="E84" s="28" t="s">
        <v>211</v>
      </c>
      <c r="F84" s="28" t="s">
        <v>322</v>
      </c>
      <c r="G84" s="28" t="s">
        <v>321</v>
      </c>
      <c r="H84" s="28">
        <v>12033110</v>
      </c>
      <c r="I84" s="28">
        <v>369345</v>
      </c>
      <c r="J84" s="28">
        <v>0.99</v>
      </c>
      <c r="K84" s="28">
        <v>49</v>
      </c>
      <c r="L84" s="28">
        <v>0</v>
      </c>
    </row>
    <row r="85" spans="1:12" ht="14.25" customHeight="1" x14ac:dyDescent="0.2">
      <c r="A85" s="28">
        <v>84</v>
      </c>
      <c r="B85" s="28" t="s">
        <v>329</v>
      </c>
      <c r="C85" s="28" t="s">
        <v>320</v>
      </c>
      <c r="D85" s="28" t="s">
        <v>321</v>
      </c>
      <c r="E85" s="28" t="s">
        <v>211</v>
      </c>
      <c r="F85" s="28" t="s">
        <v>322</v>
      </c>
      <c r="G85" s="28" t="s">
        <v>321</v>
      </c>
      <c r="H85" s="28">
        <v>11406431</v>
      </c>
      <c r="I85" s="28">
        <v>350197</v>
      </c>
      <c r="J85" s="28">
        <v>0.99</v>
      </c>
      <c r="K85" s="28">
        <v>82</v>
      </c>
      <c r="L85" s="28">
        <v>2</v>
      </c>
    </row>
    <row r="86" spans="1:12" ht="14.25" customHeight="1" x14ac:dyDescent="0.2">
      <c r="A86" s="28">
        <v>85</v>
      </c>
      <c r="B86" s="28" t="s">
        <v>330</v>
      </c>
      <c r="C86" s="28" t="s">
        <v>331</v>
      </c>
      <c r="D86" s="28" t="s">
        <v>331</v>
      </c>
      <c r="E86" s="28" t="s">
        <v>211</v>
      </c>
      <c r="F86" s="28" t="s">
        <v>212</v>
      </c>
      <c r="G86" s="28" t="s">
        <v>332</v>
      </c>
      <c r="H86" s="28">
        <v>5339931</v>
      </c>
      <c r="I86" s="28">
        <v>222380</v>
      </c>
      <c r="J86" s="28">
        <v>0.99</v>
      </c>
      <c r="K86" s="28">
        <v>57</v>
      </c>
      <c r="L86" s="28">
        <v>1</v>
      </c>
    </row>
    <row r="87" spans="1:12" ht="14.25" customHeight="1" x14ac:dyDescent="0.2">
      <c r="A87" s="28">
        <v>86</v>
      </c>
      <c r="B87" s="28" t="s">
        <v>333</v>
      </c>
      <c r="C87" s="28" t="s">
        <v>331</v>
      </c>
      <c r="D87" s="28" t="s">
        <v>331</v>
      </c>
      <c r="E87" s="28" t="s">
        <v>211</v>
      </c>
      <c r="F87" s="28" t="s">
        <v>212</v>
      </c>
      <c r="G87" s="28" t="s">
        <v>332</v>
      </c>
      <c r="H87" s="28">
        <v>6672176</v>
      </c>
      <c r="I87" s="28">
        <v>277890</v>
      </c>
      <c r="J87" s="28">
        <v>0.99</v>
      </c>
      <c r="K87" s="28">
        <v>56</v>
      </c>
      <c r="L87" s="28">
        <v>0</v>
      </c>
    </row>
    <row r="88" spans="1:12" ht="14.25" customHeight="1" x14ac:dyDescent="0.2">
      <c r="A88" s="28">
        <v>87</v>
      </c>
      <c r="B88" s="28" t="s">
        <v>334</v>
      </c>
      <c r="C88" s="28" t="s">
        <v>331</v>
      </c>
      <c r="D88" s="28" t="s">
        <v>331</v>
      </c>
      <c r="E88" s="28" t="s">
        <v>211</v>
      </c>
      <c r="F88" s="28" t="s">
        <v>212</v>
      </c>
      <c r="G88" s="28" t="s">
        <v>332</v>
      </c>
      <c r="H88" s="28">
        <v>6709793</v>
      </c>
      <c r="I88" s="28">
        <v>279457</v>
      </c>
      <c r="J88" s="28">
        <v>0.99</v>
      </c>
      <c r="K88" s="28">
        <v>62</v>
      </c>
      <c r="L88" s="28">
        <v>0</v>
      </c>
    </row>
    <row r="89" spans="1:12" ht="14.25" customHeight="1" x14ac:dyDescent="0.2">
      <c r="A89" s="28">
        <v>88</v>
      </c>
      <c r="B89" s="28" t="s">
        <v>335</v>
      </c>
      <c r="C89" s="28" t="s">
        <v>331</v>
      </c>
      <c r="D89" s="28" t="s">
        <v>331</v>
      </c>
      <c r="E89" s="28" t="s">
        <v>211</v>
      </c>
      <c r="F89" s="28" t="s">
        <v>212</v>
      </c>
      <c r="G89" s="28" t="s">
        <v>332</v>
      </c>
      <c r="H89" s="28">
        <v>5988186</v>
      </c>
      <c r="I89" s="28">
        <v>249391</v>
      </c>
      <c r="J89" s="28">
        <v>0.99</v>
      </c>
      <c r="K89" s="28">
        <v>54</v>
      </c>
      <c r="L89" s="28">
        <v>0</v>
      </c>
    </row>
    <row r="90" spans="1:12" ht="14.25" customHeight="1" x14ac:dyDescent="0.2">
      <c r="A90" s="28">
        <v>89</v>
      </c>
      <c r="B90" s="28" t="s">
        <v>336</v>
      </c>
      <c r="C90" s="28" t="s">
        <v>331</v>
      </c>
      <c r="D90" s="28" t="s">
        <v>331</v>
      </c>
      <c r="E90" s="28" t="s">
        <v>211</v>
      </c>
      <c r="F90" s="28" t="s">
        <v>212</v>
      </c>
      <c r="G90" s="28" t="s">
        <v>332</v>
      </c>
      <c r="H90" s="28">
        <v>7059624</v>
      </c>
      <c r="I90" s="28">
        <v>294034</v>
      </c>
      <c r="J90" s="28">
        <v>0.99</v>
      </c>
      <c r="K90" s="28">
        <v>71</v>
      </c>
      <c r="L90" s="28">
        <v>1</v>
      </c>
    </row>
    <row r="91" spans="1:12" ht="14.25" customHeight="1" x14ac:dyDescent="0.2">
      <c r="A91" s="28">
        <v>90</v>
      </c>
      <c r="B91" s="28" t="s">
        <v>337</v>
      </c>
      <c r="C91" s="28" t="s">
        <v>331</v>
      </c>
      <c r="D91" s="28" t="s">
        <v>331</v>
      </c>
      <c r="E91" s="28" t="s">
        <v>211</v>
      </c>
      <c r="F91" s="28" t="s">
        <v>212</v>
      </c>
      <c r="G91" s="28" t="s">
        <v>332</v>
      </c>
      <c r="H91" s="28">
        <v>6321091</v>
      </c>
      <c r="I91" s="28">
        <v>263262</v>
      </c>
      <c r="J91" s="28">
        <v>0.99</v>
      </c>
      <c r="K91" s="28">
        <v>16</v>
      </c>
      <c r="L91" s="28">
        <v>1</v>
      </c>
    </row>
    <row r="92" spans="1:12" ht="14.25" customHeight="1" x14ac:dyDescent="0.2">
      <c r="A92" s="28">
        <v>91</v>
      </c>
      <c r="B92" s="28" t="s">
        <v>338</v>
      </c>
      <c r="C92" s="28" t="s">
        <v>331</v>
      </c>
      <c r="D92" s="28" t="s">
        <v>331</v>
      </c>
      <c r="E92" s="28" t="s">
        <v>211</v>
      </c>
      <c r="F92" s="28" t="s">
        <v>212</v>
      </c>
      <c r="G92" s="28" t="s">
        <v>332</v>
      </c>
      <c r="H92" s="28">
        <v>8245793</v>
      </c>
      <c r="I92" s="28">
        <v>343457</v>
      </c>
      <c r="J92" s="28">
        <v>0.99</v>
      </c>
      <c r="K92" s="28">
        <v>37</v>
      </c>
      <c r="L92" s="28">
        <v>0</v>
      </c>
    </row>
    <row r="93" spans="1:12" ht="14.25" customHeight="1" x14ac:dyDescent="0.2">
      <c r="A93" s="28">
        <v>92</v>
      </c>
      <c r="B93" s="28" t="s">
        <v>339</v>
      </c>
      <c r="C93" s="28" t="s">
        <v>331</v>
      </c>
      <c r="D93" s="28" t="s">
        <v>331</v>
      </c>
      <c r="E93" s="28" t="s">
        <v>211</v>
      </c>
      <c r="F93" s="28" t="s">
        <v>212</v>
      </c>
      <c r="G93" s="28" t="s">
        <v>332</v>
      </c>
      <c r="H93" s="28">
        <v>8041411</v>
      </c>
      <c r="I93" s="28">
        <v>334942</v>
      </c>
      <c r="J93" s="28">
        <v>0.99</v>
      </c>
      <c r="K93" s="28">
        <v>38</v>
      </c>
      <c r="L93" s="28">
        <v>0</v>
      </c>
    </row>
    <row r="94" spans="1:12" ht="14.25" customHeight="1" x14ac:dyDescent="0.2">
      <c r="A94" s="28">
        <v>93</v>
      </c>
      <c r="B94" s="28" t="s">
        <v>340</v>
      </c>
      <c r="C94" s="28" t="s">
        <v>331</v>
      </c>
      <c r="D94" s="28" t="s">
        <v>331</v>
      </c>
      <c r="E94" s="28" t="s">
        <v>211</v>
      </c>
      <c r="F94" s="28" t="s">
        <v>212</v>
      </c>
      <c r="G94" s="28" t="s">
        <v>332</v>
      </c>
      <c r="H94" s="28">
        <v>4948095</v>
      </c>
      <c r="I94" s="28">
        <v>206053</v>
      </c>
      <c r="J94" s="28">
        <v>0.99</v>
      </c>
      <c r="K94" s="28">
        <v>82</v>
      </c>
      <c r="L94" s="28">
        <v>1</v>
      </c>
    </row>
    <row r="95" spans="1:12" ht="14.25" customHeight="1" x14ac:dyDescent="0.2">
      <c r="A95" s="28">
        <v>94</v>
      </c>
      <c r="B95" s="28" t="s">
        <v>341</v>
      </c>
      <c r="C95" s="28" t="s">
        <v>331</v>
      </c>
      <c r="D95" s="28" t="s">
        <v>331</v>
      </c>
      <c r="E95" s="28" t="s">
        <v>211</v>
      </c>
      <c r="F95" s="28" t="s">
        <v>212</v>
      </c>
      <c r="G95" s="28" t="s">
        <v>332</v>
      </c>
      <c r="H95" s="28">
        <v>4961887</v>
      </c>
      <c r="I95" s="28">
        <v>206628</v>
      </c>
      <c r="J95" s="28">
        <v>0.99</v>
      </c>
      <c r="K95" s="28">
        <v>72</v>
      </c>
      <c r="L95" s="28">
        <v>101</v>
      </c>
    </row>
    <row r="96" spans="1:12" ht="14.25" customHeight="1" x14ac:dyDescent="0.2">
      <c r="A96" s="28">
        <v>95</v>
      </c>
      <c r="B96" s="28" t="s">
        <v>342</v>
      </c>
      <c r="C96" s="28" t="s">
        <v>331</v>
      </c>
      <c r="D96" s="28" t="s">
        <v>331</v>
      </c>
      <c r="E96" s="28" t="s">
        <v>211</v>
      </c>
      <c r="F96" s="28" t="s">
        <v>212</v>
      </c>
      <c r="G96" s="28" t="s">
        <v>332</v>
      </c>
      <c r="H96" s="28">
        <v>7911634</v>
      </c>
      <c r="I96" s="28">
        <v>329534</v>
      </c>
      <c r="J96" s="28">
        <v>0.99</v>
      </c>
      <c r="K96" s="28">
        <v>49</v>
      </c>
      <c r="L96" s="28">
        <v>0</v>
      </c>
    </row>
    <row r="97" spans="1:12" ht="14.25" customHeight="1" x14ac:dyDescent="0.2">
      <c r="A97" s="28">
        <v>96</v>
      </c>
      <c r="B97" s="28" t="s">
        <v>343</v>
      </c>
      <c r="C97" s="28" t="s">
        <v>331</v>
      </c>
      <c r="D97" s="28" t="s">
        <v>331</v>
      </c>
      <c r="E97" s="28" t="s">
        <v>211</v>
      </c>
      <c r="F97" s="28" t="s">
        <v>212</v>
      </c>
      <c r="G97" s="28" t="s">
        <v>332</v>
      </c>
      <c r="H97" s="28">
        <v>7289084</v>
      </c>
      <c r="I97" s="28">
        <v>303595</v>
      </c>
      <c r="J97" s="28">
        <v>0.99</v>
      </c>
      <c r="K97" s="28">
        <v>34</v>
      </c>
      <c r="L97" s="28">
        <v>0</v>
      </c>
    </row>
    <row r="98" spans="1:12" ht="14.25" customHeight="1" x14ac:dyDescent="0.2">
      <c r="A98" s="28">
        <v>97</v>
      </c>
      <c r="B98" s="28" t="s">
        <v>344</v>
      </c>
      <c r="C98" s="28" t="s">
        <v>331</v>
      </c>
      <c r="D98" s="28" t="s">
        <v>331</v>
      </c>
      <c r="E98" s="28" t="s">
        <v>211</v>
      </c>
      <c r="F98" s="28" t="s">
        <v>212</v>
      </c>
      <c r="G98" s="28" t="s">
        <v>332</v>
      </c>
      <c r="H98" s="28">
        <v>7193162</v>
      </c>
      <c r="I98" s="28">
        <v>299598</v>
      </c>
      <c r="J98" s="28">
        <v>0.99</v>
      </c>
      <c r="K98" s="28">
        <v>63</v>
      </c>
      <c r="L98" s="28">
        <v>0</v>
      </c>
    </row>
    <row r="99" spans="1:12" ht="14.25" customHeight="1" x14ac:dyDescent="0.2">
      <c r="A99" s="28">
        <v>98</v>
      </c>
      <c r="B99" s="28" t="s">
        <v>345</v>
      </c>
      <c r="C99" s="28" t="s">
        <v>331</v>
      </c>
      <c r="D99" s="28" t="s">
        <v>331</v>
      </c>
      <c r="E99" s="28" t="s">
        <v>211</v>
      </c>
      <c r="F99" s="28" t="s">
        <v>212</v>
      </c>
      <c r="G99" s="28" t="s">
        <v>332</v>
      </c>
      <c r="H99" s="28">
        <v>7622615</v>
      </c>
      <c r="I99" s="28">
        <v>317492</v>
      </c>
      <c r="J99" s="28">
        <v>0.99</v>
      </c>
      <c r="K99" s="28">
        <v>35</v>
      </c>
      <c r="L99" s="28">
        <v>1</v>
      </c>
    </row>
    <row r="100" spans="1:12" ht="14.25" customHeight="1" x14ac:dyDescent="0.2">
      <c r="A100" s="28">
        <v>99</v>
      </c>
      <c r="B100" s="28" t="s">
        <v>346</v>
      </c>
      <c r="C100" s="28" t="s">
        <v>347</v>
      </c>
      <c r="D100" s="28" t="s">
        <v>331</v>
      </c>
      <c r="E100" s="28" t="s">
        <v>211</v>
      </c>
      <c r="F100" s="28" t="s">
        <v>348</v>
      </c>
      <c r="G100" s="28" t="s">
        <v>349</v>
      </c>
      <c r="H100" s="28">
        <v>8273592</v>
      </c>
      <c r="I100" s="28">
        <v>255529</v>
      </c>
      <c r="J100" s="28">
        <v>0.99</v>
      </c>
      <c r="K100" s="28">
        <v>41</v>
      </c>
      <c r="L100" s="28">
        <v>1</v>
      </c>
    </row>
    <row r="101" spans="1:12" ht="14.25" customHeight="1" x14ac:dyDescent="0.2">
      <c r="A101" s="28">
        <v>100</v>
      </c>
      <c r="B101" s="28" t="s">
        <v>347</v>
      </c>
      <c r="C101" s="28" t="s">
        <v>347</v>
      </c>
      <c r="D101" s="28" t="s">
        <v>331</v>
      </c>
      <c r="E101" s="28" t="s">
        <v>211</v>
      </c>
      <c r="F101" s="28" t="s">
        <v>348</v>
      </c>
      <c r="G101" s="28" t="s">
        <v>349</v>
      </c>
      <c r="H101" s="28">
        <v>9506571</v>
      </c>
      <c r="I101" s="28">
        <v>291291</v>
      </c>
      <c r="J101" s="28">
        <v>0.99</v>
      </c>
      <c r="K101" s="28">
        <v>17</v>
      </c>
      <c r="L101" s="28">
        <v>0</v>
      </c>
    </row>
    <row r="102" spans="1:12" ht="14.25" customHeight="1" x14ac:dyDescent="0.2">
      <c r="A102" s="28">
        <v>101</v>
      </c>
      <c r="B102" s="28" t="s">
        <v>350</v>
      </c>
      <c r="C102" s="28" t="s">
        <v>347</v>
      </c>
      <c r="D102" s="28" t="s">
        <v>331</v>
      </c>
      <c r="E102" s="28" t="s">
        <v>211</v>
      </c>
      <c r="F102" s="28" t="s">
        <v>348</v>
      </c>
      <c r="G102" s="28" t="s">
        <v>349</v>
      </c>
      <c r="H102" s="28">
        <v>9106160</v>
      </c>
      <c r="I102" s="28">
        <v>279484</v>
      </c>
      <c r="J102" s="28">
        <v>0.99</v>
      </c>
      <c r="K102" s="28">
        <v>3</v>
      </c>
      <c r="L102" s="28">
        <v>0</v>
      </c>
    </row>
    <row r="103" spans="1:12" ht="14.25" customHeight="1" x14ac:dyDescent="0.2">
      <c r="A103" s="28">
        <v>102</v>
      </c>
      <c r="B103" s="28" t="s">
        <v>351</v>
      </c>
      <c r="C103" s="28" t="s">
        <v>347</v>
      </c>
      <c r="D103" s="28" t="s">
        <v>331</v>
      </c>
      <c r="E103" s="28" t="s">
        <v>211</v>
      </c>
      <c r="F103" s="28" t="s">
        <v>348</v>
      </c>
      <c r="G103" s="28" t="s">
        <v>349</v>
      </c>
      <c r="H103" s="28">
        <v>8357387</v>
      </c>
      <c r="I103" s="28">
        <v>255869</v>
      </c>
      <c r="J103" s="28">
        <v>0.99</v>
      </c>
      <c r="K103" s="28">
        <v>40</v>
      </c>
      <c r="L103" s="28">
        <v>1</v>
      </c>
    </row>
    <row r="104" spans="1:12" ht="14.25" customHeight="1" x14ac:dyDescent="0.2">
      <c r="A104" s="28">
        <v>103</v>
      </c>
      <c r="B104" s="28" t="s">
        <v>352</v>
      </c>
      <c r="C104" s="28" t="s">
        <v>347</v>
      </c>
      <c r="D104" s="28" t="s">
        <v>331</v>
      </c>
      <c r="E104" s="28" t="s">
        <v>211</v>
      </c>
      <c r="F104" s="28" t="s">
        <v>348</v>
      </c>
      <c r="G104" s="28" t="s">
        <v>349</v>
      </c>
      <c r="H104" s="28">
        <v>7609178</v>
      </c>
      <c r="I104" s="28">
        <v>233691</v>
      </c>
      <c r="J104" s="28">
        <v>0.99</v>
      </c>
      <c r="K104" s="28">
        <v>69</v>
      </c>
      <c r="L104" s="28">
        <v>1</v>
      </c>
    </row>
    <row r="105" spans="1:12" ht="14.25" customHeight="1" x14ac:dyDescent="0.2">
      <c r="A105" s="28">
        <v>104</v>
      </c>
      <c r="B105" s="28" t="s">
        <v>353</v>
      </c>
      <c r="C105" s="28" t="s">
        <v>347</v>
      </c>
      <c r="D105" s="28" t="s">
        <v>331</v>
      </c>
      <c r="E105" s="28" t="s">
        <v>211</v>
      </c>
      <c r="F105" s="28" t="s">
        <v>348</v>
      </c>
      <c r="G105" s="28" t="s">
        <v>349</v>
      </c>
      <c r="H105" s="28">
        <v>9006158</v>
      </c>
      <c r="I105" s="28">
        <v>276688</v>
      </c>
      <c r="J105" s="28">
        <v>0.99</v>
      </c>
      <c r="K105" s="28">
        <v>10</v>
      </c>
      <c r="L105" s="28">
        <v>0</v>
      </c>
    </row>
    <row r="106" spans="1:12" ht="14.25" customHeight="1" x14ac:dyDescent="0.2">
      <c r="A106" s="28">
        <v>105</v>
      </c>
      <c r="B106" s="28" t="s">
        <v>354</v>
      </c>
      <c r="C106" s="28" t="s">
        <v>347</v>
      </c>
      <c r="D106" s="28" t="s">
        <v>331</v>
      </c>
      <c r="E106" s="28" t="s">
        <v>211</v>
      </c>
      <c r="F106" s="28" t="s">
        <v>348</v>
      </c>
      <c r="G106" s="28" t="s">
        <v>349</v>
      </c>
      <c r="H106" s="28">
        <v>7710800</v>
      </c>
      <c r="I106" s="28">
        <v>237714</v>
      </c>
      <c r="J106" s="28">
        <v>0.99</v>
      </c>
      <c r="K106" s="28">
        <v>72</v>
      </c>
      <c r="L106" s="28">
        <v>0</v>
      </c>
    </row>
    <row r="107" spans="1:12" ht="14.25" customHeight="1" x14ac:dyDescent="0.2">
      <c r="A107" s="28">
        <v>106</v>
      </c>
      <c r="B107" s="28" t="s">
        <v>355</v>
      </c>
      <c r="C107" s="28" t="s">
        <v>347</v>
      </c>
      <c r="D107" s="28" t="s">
        <v>331</v>
      </c>
      <c r="E107" s="28" t="s">
        <v>211</v>
      </c>
      <c r="F107" s="28" t="s">
        <v>348</v>
      </c>
      <c r="G107" s="28" t="s">
        <v>349</v>
      </c>
      <c r="H107" s="28">
        <v>7542942</v>
      </c>
      <c r="I107" s="28">
        <v>233195</v>
      </c>
      <c r="J107" s="28">
        <v>0.99</v>
      </c>
      <c r="K107" s="28">
        <v>45</v>
      </c>
      <c r="L107" s="28">
        <v>0</v>
      </c>
    </row>
    <row r="108" spans="1:12" ht="14.25" customHeight="1" x14ac:dyDescent="0.2">
      <c r="A108" s="28">
        <v>107</v>
      </c>
      <c r="B108" s="28" t="s">
        <v>356</v>
      </c>
      <c r="C108" s="28" t="s">
        <v>347</v>
      </c>
      <c r="D108" s="28" t="s">
        <v>331</v>
      </c>
      <c r="E108" s="28" t="s">
        <v>211</v>
      </c>
      <c r="F108" s="28" t="s">
        <v>348</v>
      </c>
      <c r="G108" s="28" t="s">
        <v>349</v>
      </c>
      <c r="H108" s="28">
        <v>8944205</v>
      </c>
      <c r="I108" s="28">
        <v>273763</v>
      </c>
      <c r="J108" s="28">
        <v>0.99</v>
      </c>
      <c r="K108" s="28">
        <v>53</v>
      </c>
      <c r="L108" s="28">
        <v>1</v>
      </c>
    </row>
    <row r="109" spans="1:12" ht="14.25" customHeight="1" x14ac:dyDescent="0.2">
      <c r="A109" s="28">
        <v>108</v>
      </c>
      <c r="B109" s="28" t="s">
        <v>357</v>
      </c>
      <c r="C109" s="28" t="s">
        <v>347</v>
      </c>
      <c r="D109" s="28" t="s">
        <v>331</v>
      </c>
      <c r="E109" s="28" t="s">
        <v>211</v>
      </c>
      <c r="F109" s="28" t="s">
        <v>348</v>
      </c>
      <c r="G109" s="28" t="s">
        <v>349</v>
      </c>
      <c r="H109" s="28">
        <v>9003592</v>
      </c>
      <c r="I109" s="28">
        <v>278125</v>
      </c>
      <c r="J109" s="28">
        <v>0.99</v>
      </c>
      <c r="K109" s="28">
        <v>63</v>
      </c>
      <c r="L109" s="28">
        <v>1</v>
      </c>
    </row>
    <row r="110" spans="1:12" ht="14.25" customHeight="1" x14ac:dyDescent="0.2">
      <c r="A110" s="28">
        <v>109</v>
      </c>
      <c r="B110" s="28" t="s">
        <v>358</v>
      </c>
      <c r="C110" s="28" t="s">
        <v>347</v>
      </c>
      <c r="D110" s="28" t="s">
        <v>331</v>
      </c>
      <c r="E110" s="28" t="s">
        <v>211</v>
      </c>
      <c r="F110" s="28" t="s">
        <v>348</v>
      </c>
      <c r="G110" s="28" t="s">
        <v>349</v>
      </c>
      <c r="H110" s="28">
        <v>9731988</v>
      </c>
      <c r="I110" s="28">
        <v>299102</v>
      </c>
      <c r="J110" s="28">
        <v>0.99</v>
      </c>
      <c r="K110" s="28">
        <v>45</v>
      </c>
      <c r="L110" s="28">
        <v>0</v>
      </c>
    </row>
    <row r="111" spans="1:12" ht="14.25" customHeight="1" x14ac:dyDescent="0.2">
      <c r="A111" s="28">
        <v>110</v>
      </c>
      <c r="B111" s="28" t="s">
        <v>359</v>
      </c>
      <c r="C111" s="28" t="s">
        <v>347</v>
      </c>
      <c r="D111" s="28" t="s">
        <v>331</v>
      </c>
      <c r="E111" s="28" t="s">
        <v>211</v>
      </c>
      <c r="F111" s="28" t="s">
        <v>348</v>
      </c>
      <c r="G111" s="28" t="s">
        <v>349</v>
      </c>
      <c r="H111" s="28">
        <v>10029406</v>
      </c>
      <c r="I111" s="28">
        <v>309786</v>
      </c>
      <c r="J111" s="28">
        <v>0.99</v>
      </c>
      <c r="K111" s="28">
        <v>68</v>
      </c>
      <c r="L111" s="28">
        <v>0</v>
      </c>
    </row>
    <row r="112" spans="1:12" ht="14.25" customHeight="1" x14ac:dyDescent="0.2">
      <c r="A112" s="28">
        <v>111</v>
      </c>
      <c r="B112" s="28" t="s">
        <v>360</v>
      </c>
      <c r="C112" s="28" t="s">
        <v>361</v>
      </c>
      <c r="D112" s="28" t="s">
        <v>362</v>
      </c>
      <c r="E112" s="28" t="s">
        <v>211</v>
      </c>
      <c r="F112" s="28" t="s">
        <v>363</v>
      </c>
      <c r="G112" s="28" t="s">
        <v>364</v>
      </c>
      <c r="H112" s="28">
        <v>2365897</v>
      </c>
      <c r="I112" s="28">
        <v>147591</v>
      </c>
      <c r="J112" s="28">
        <v>0.99</v>
      </c>
      <c r="K112" s="28">
        <v>65</v>
      </c>
      <c r="L112" s="28">
        <v>1</v>
      </c>
    </row>
    <row r="113" spans="1:12" ht="14.25" customHeight="1" x14ac:dyDescent="0.2">
      <c r="A113" s="28">
        <v>112</v>
      </c>
      <c r="B113" s="28" t="s">
        <v>365</v>
      </c>
      <c r="C113" s="28" t="s">
        <v>361</v>
      </c>
      <c r="D113" s="28" t="s">
        <v>362</v>
      </c>
      <c r="E113" s="28" t="s">
        <v>211</v>
      </c>
      <c r="F113" s="28" t="s">
        <v>363</v>
      </c>
      <c r="G113" s="28" t="s">
        <v>366</v>
      </c>
      <c r="H113" s="28">
        <v>1707084</v>
      </c>
      <c r="I113" s="28">
        <v>106396</v>
      </c>
      <c r="J113" s="28">
        <v>0.99</v>
      </c>
      <c r="K113" s="28">
        <v>67</v>
      </c>
      <c r="L113" s="28">
        <v>1</v>
      </c>
    </row>
    <row r="114" spans="1:12" ht="14.25" customHeight="1" x14ac:dyDescent="0.2">
      <c r="A114" s="28">
        <v>113</v>
      </c>
      <c r="B114" s="28" t="s">
        <v>367</v>
      </c>
      <c r="C114" s="28" t="s">
        <v>361</v>
      </c>
      <c r="D114" s="28" t="s">
        <v>362</v>
      </c>
      <c r="E114" s="28" t="s">
        <v>211</v>
      </c>
      <c r="F114" s="28" t="s">
        <v>363</v>
      </c>
      <c r="G114" s="28" t="s">
        <v>368</v>
      </c>
      <c r="H114" s="28">
        <v>1862126</v>
      </c>
      <c r="I114" s="28">
        <v>116088</v>
      </c>
      <c r="J114" s="28">
        <v>0.99</v>
      </c>
      <c r="K114" s="28">
        <v>2</v>
      </c>
      <c r="L114" s="28">
        <v>0</v>
      </c>
    </row>
    <row r="115" spans="1:12" ht="14.25" customHeight="1" x14ac:dyDescent="0.2">
      <c r="A115" s="28">
        <v>114</v>
      </c>
      <c r="B115" s="28" t="s">
        <v>369</v>
      </c>
      <c r="C115" s="28" t="s">
        <v>361</v>
      </c>
      <c r="D115" s="28" t="s">
        <v>362</v>
      </c>
      <c r="E115" s="28" t="s">
        <v>211</v>
      </c>
      <c r="F115" s="28" t="s">
        <v>363</v>
      </c>
      <c r="G115" s="28" t="s">
        <v>370</v>
      </c>
      <c r="H115" s="28">
        <v>2582553</v>
      </c>
      <c r="I115" s="28">
        <v>161123</v>
      </c>
      <c r="J115" s="28">
        <v>0.99</v>
      </c>
      <c r="K115" s="28">
        <v>26</v>
      </c>
      <c r="L115" s="28">
        <v>0</v>
      </c>
    </row>
    <row r="116" spans="1:12" ht="14.25" customHeight="1" x14ac:dyDescent="0.2">
      <c r="A116" s="28">
        <v>115</v>
      </c>
      <c r="B116" s="28" t="s">
        <v>371</v>
      </c>
      <c r="C116" s="28" t="s">
        <v>361</v>
      </c>
      <c r="D116" s="28" t="s">
        <v>362</v>
      </c>
      <c r="E116" s="28" t="s">
        <v>211</v>
      </c>
      <c r="F116" s="28" t="s">
        <v>363</v>
      </c>
      <c r="G116" s="28" t="s">
        <v>372</v>
      </c>
      <c r="H116" s="28">
        <v>2206986</v>
      </c>
      <c r="I116" s="28">
        <v>137639</v>
      </c>
      <c r="J116" s="28">
        <v>0.99</v>
      </c>
      <c r="K116" s="28">
        <v>50</v>
      </c>
      <c r="L116" s="28">
        <v>0</v>
      </c>
    </row>
    <row r="117" spans="1:12" ht="14.25" customHeight="1" x14ac:dyDescent="0.2">
      <c r="A117" s="28">
        <v>116</v>
      </c>
      <c r="B117" s="28" t="s">
        <v>373</v>
      </c>
      <c r="C117" s="28" t="s">
        <v>361</v>
      </c>
      <c r="D117" s="28" t="s">
        <v>362</v>
      </c>
      <c r="E117" s="28" t="s">
        <v>211</v>
      </c>
      <c r="F117" s="28" t="s">
        <v>363</v>
      </c>
      <c r="G117" s="28" t="s">
        <v>374</v>
      </c>
      <c r="H117" s="28">
        <v>2247846</v>
      </c>
      <c r="I117" s="28">
        <v>140199</v>
      </c>
      <c r="J117" s="28">
        <v>0.99</v>
      </c>
      <c r="K117" s="28">
        <v>86</v>
      </c>
      <c r="L117" s="28">
        <v>1</v>
      </c>
    </row>
    <row r="118" spans="1:12" ht="14.25" customHeight="1" x14ac:dyDescent="0.2">
      <c r="A118" s="28">
        <v>117</v>
      </c>
      <c r="B118" s="28" t="s">
        <v>375</v>
      </c>
      <c r="C118" s="28" t="s">
        <v>361</v>
      </c>
      <c r="D118" s="28" t="s">
        <v>362</v>
      </c>
      <c r="E118" s="28" t="s">
        <v>211</v>
      </c>
      <c r="F118" s="28" t="s">
        <v>363</v>
      </c>
      <c r="G118" s="28" t="s">
        <v>376</v>
      </c>
      <c r="H118" s="28">
        <v>2276788</v>
      </c>
      <c r="I118" s="28">
        <v>141923</v>
      </c>
      <c r="J118" s="28">
        <v>0.99</v>
      </c>
      <c r="K118" s="28">
        <v>23</v>
      </c>
      <c r="L118" s="28">
        <v>1</v>
      </c>
    </row>
    <row r="119" spans="1:12" ht="14.25" customHeight="1" x14ac:dyDescent="0.2">
      <c r="A119" s="28">
        <v>118</v>
      </c>
      <c r="B119" s="28" t="s">
        <v>377</v>
      </c>
      <c r="C119" s="28" t="s">
        <v>361</v>
      </c>
      <c r="D119" s="28" t="s">
        <v>362</v>
      </c>
      <c r="E119" s="28" t="s">
        <v>211</v>
      </c>
      <c r="F119" s="28" t="s">
        <v>363</v>
      </c>
      <c r="G119" s="28" t="s">
        <v>368</v>
      </c>
      <c r="H119" s="28">
        <v>2616981</v>
      </c>
      <c r="I119" s="28">
        <v>163265</v>
      </c>
      <c r="J119" s="28">
        <v>0.99</v>
      </c>
      <c r="K119" s="28">
        <v>69</v>
      </c>
      <c r="L119" s="28">
        <v>0</v>
      </c>
    </row>
    <row r="120" spans="1:12" ht="14.25" customHeight="1" x14ac:dyDescent="0.2">
      <c r="A120" s="28">
        <v>119</v>
      </c>
      <c r="B120" s="28" t="s">
        <v>378</v>
      </c>
      <c r="C120" s="28" t="s">
        <v>361</v>
      </c>
      <c r="D120" s="28" t="s">
        <v>362</v>
      </c>
      <c r="E120" s="28" t="s">
        <v>211</v>
      </c>
      <c r="F120" s="28" t="s">
        <v>363</v>
      </c>
      <c r="G120" s="28" t="s">
        <v>379</v>
      </c>
      <c r="H120" s="28">
        <v>2301989</v>
      </c>
      <c r="I120" s="28">
        <v>143595</v>
      </c>
      <c r="J120" s="28">
        <v>0.99</v>
      </c>
      <c r="K120" s="28">
        <v>72</v>
      </c>
      <c r="L120" s="28">
        <v>0</v>
      </c>
    </row>
    <row r="121" spans="1:12" ht="14.25" customHeight="1" x14ac:dyDescent="0.2">
      <c r="A121" s="28">
        <v>120</v>
      </c>
      <c r="B121" s="28" t="s">
        <v>380</v>
      </c>
      <c r="C121" s="28" t="s">
        <v>361</v>
      </c>
      <c r="D121" s="28" t="s">
        <v>362</v>
      </c>
      <c r="E121" s="28" t="s">
        <v>211</v>
      </c>
      <c r="F121" s="28" t="s">
        <v>363</v>
      </c>
      <c r="G121" s="28" t="s">
        <v>376</v>
      </c>
      <c r="H121" s="28">
        <v>2306019</v>
      </c>
      <c r="I121" s="28">
        <v>143830</v>
      </c>
      <c r="J121" s="28">
        <v>0.99</v>
      </c>
      <c r="K121" s="28">
        <v>58</v>
      </c>
      <c r="L121" s="28">
        <v>1</v>
      </c>
    </row>
    <row r="122" spans="1:12" ht="14.25" customHeight="1" x14ac:dyDescent="0.2">
      <c r="A122" s="28">
        <v>121</v>
      </c>
      <c r="B122" s="28" t="s">
        <v>381</v>
      </c>
      <c r="C122" s="28" t="s">
        <v>361</v>
      </c>
      <c r="D122" s="28" t="s">
        <v>362</v>
      </c>
      <c r="E122" s="28" t="s">
        <v>211</v>
      </c>
      <c r="F122" s="28" t="s">
        <v>363</v>
      </c>
      <c r="G122" s="28" t="s">
        <v>382</v>
      </c>
      <c r="H122" s="28">
        <v>1704918</v>
      </c>
      <c r="I122" s="28">
        <v>106266</v>
      </c>
      <c r="J122" s="28">
        <v>0.99</v>
      </c>
      <c r="K122" s="28">
        <v>84</v>
      </c>
      <c r="L122" s="28">
        <v>1</v>
      </c>
    </row>
    <row r="123" spans="1:12" ht="14.25" customHeight="1" x14ac:dyDescent="0.2">
      <c r="A123" s="28">
        <v>122</v>
      </c>
      <c r="B123" s="28" t="s">
        <v>383</v>
      </c>
      <c r="C123" s="28" t="s">
        <v>361</v>
      </c>
      <c r="D123" s="28" t="s">
        <v>362</v>
      </c>
      <c r="E123" s="28" t="s">
        <v>211</v>
      </c>
      <c r="F123" s="28" t="s">
        <v>363</v>
      </c>
      <c r="G123" s="28" t="s">
        <v>384</v>
      </c>
      <c r="H123" s="28">
        <v>1299960</v>
      </c>
      <c r="I123" s="28">
        <v>107807</v>
      </c>
      <c r="J123" s="28">
        <v>0.99</v>
      </c>
      <c r="K123" s="28">
        <v>81</v>
      </c>
      <c r="L123" s="28">
        <v>0</v>
      </c>
    </row>
    <row r="124" spans="1:12" ht="14.25" customHeight="1" x14ac:dyDescent="0.2">
      <c r="A124" s="28">
        <v>123</v>
      </c>
      <c r="B124" s="28" t="s">
        <v>385</v>
      </c>
      <c r="C124" s="28" t="s">
        <v>386</v>
      </c>
      <c r="D124" s="28" t="s">
        <v>387</v>
      </c>
      <c r="E124" s="28" t="s">
        <v>211</v>
      </c>
      <c r="F124" s="28" t="s">
        <v>305</v>
      </c>
      <c r="G124" s="28" t="s">
        <v>387</v>
      </c>
      <c r="H124" s="28">
        <v>8538199</v>
      </c>
      <c r="I124" s="28">
        <v>261851</v>
      </c>
      <c r="J124" s="28">
        <v>0.99</v>
      </c>
      <c r="K124" s="28">
        <v>46</v>
      </c>
      <c r="L124" s="28">
        <v>0</v>
      </c>
    </row>
    <row r="125" spans="1:12" ht="14.25" customHeight="1" x14ac:dyDescent="0.2">
      <c r="A125" s="28">
        <v>124</v>
      </c>
      <c r="B125" s="28" t="s">
        <v>388</v>
      </c>
      <c r="C125" s="28" t="s">
        <v>386</v>
      </c>
      <c r="D125" s="28" t="s">
        <v>387</v>
      </c>
      <c r="E125" s="28" t="s">
        <v>211</v>
      </c>
      <c r="F125" s="28" t="s">
        <v>305</v>
      </c>
      <c r="G125" s="28" t="s">
        <v>387</v>
      </c>
      <c r="H125" s="28">
        <v>15075616</v>
      </c>
      <c r="I125" s="28">
        <v>456071</v>
      </c>
      <c r="J125" s="28">
        <v>0.99</v>
      </c>
      <c r="K125" s="28">
        <v>39</v>
      </c>
      <c r="L125" s="28">
        <v>0</v>
      </c>
    </row>
    <row r="126" spans="1:12" ht="14.25" customHeight="1" x14ac:dyDescent="0.2">
      <c r="A126" s="28">
        <v>125</v>
      </c>
      <c r="B126" s="28" t="s">
        <v>389</v>
      </c>
      <c r="C126" s="28" t="s">
        <v>386</v>
      </c>
      <c r="D126" s="28" t="s">
        <v>387</v>
      </c>
      <c r="E126" s="28" t="s">
        <v>211</v>
      </c>
      <c r="F126" s="28" t="s">
        <v>305</v>
      </c>
      <c r="G126" s="28" t="s">
        <v>387</v>
      </c>
      <c r="H126" s="28">
        <v>8217867</v>
      </c>
      <c r="I126" s="28">
        <v>248084</v>
      </c>
      <c r="J126" s="28">
        <v>0.99</v>
      </c>
      <c r="K126" s="28">
        <v>34</v>
      </c>
      <c r="L126" s="28">
        <v>1</v>
      </c>
    </row>
    <row r="127" spans="1:12" ht="14.25" customHeight="1" x14ac:dyDescent="0.2">
      <c r="A127" s="28">
        <v>126</v>
      </c>
      <c r="B127" s="28" t="s">
        <v>390</v>
      </c>
      <c r="C127" s="28" t="s">
        <v>386</v>
      </c>
      <c r="D127" s="28" t="s">
        <v>387</v>
      </c>
      <c r="E127" s="28" t="s">
        <v>211</v>
      </c>
      <c r="F127" s="28" t="s">
        <v>305</v>
      </c>
      <c r="G127" s="28" t="s">
        <v>387</v>
      </c>
      <c r="H127" s="28">
        <v>9714812</v>
      </c>
      <c r="I127" s="28">
        <v>294060</v>
      </c>
      <c r="J127" s="28">
        <v>0.99</v>
      </c>
      <c r="K127" s="28">
        <v>57</v>
      </c>
      <c r="L127" s="28">
        <v>1</v>
      </c>
    </row>
    <row r="128" spans="1:12" ht="14.25" customHeight="1" x14ac:dyDescent="0.2">
      <c r="A128" s="28">
        <v>127</v>
      </c>
      <c r="B128" s="28" t="s">
        <v>391</v>
      </c>
      <c r="C128" s="28" t="s">
        <v>386</v>
      </c>
      <c r="D128" s="28" t="s">
        <v>387</v>
      </c>
      <c r="E128" s="28" t="s">
        <v>211</v>
      </c>
      <c r="F128" s="28" t="s">
        <v>305</v>
      </c>
      <c r="G128" s="28" t="s">
        <v>387</v>
      </c>
      <c r="H128" s="28">
        <v>19115680</v>
      </c>
      <c r="I128" s="28">
        <v>582086</v>
      </c>
      <c r="J128" s="28">
        <v>0.99</v>
      </c>
      <c r="K128" s="28">
        <v>14</v>
      </c>
      <c r="L128" s="28">
        <v>0</v>
      </c>
    </row>
    <row r="129" spans="1:12" ht="14.25" customHeight="1" x14ac:dyDescent="0.2">
      <c r="A129" s="28">
        <v>128</v>
      </c>
      <c r="B129" s="28" t="s">
        <v>392</v>
      </c>
      <c r="C129" s="28" t="s">
        <v>386</v>
      </c>
      <c r="D129" s="28" t="s">
        <v>387</v>
      </c>
      <c r="E129" s="28" t="s">
        <v>211</v>
      </c>
      <c r="F129" s="28" t="s">
        <v>305</v>
      </c>
      <c r="G129" s="28" t="s">
        <v>387</v>
      </c>
      <c r="H129" s="28">
        <v>10630578</v>
      </c>
      <c r="I129" s="28">
        <v>318066</v>
      </c>
      <c r="J129" s="28">
        <v>0.99</v>
      </c>
      <c r="K129" s="28">
        <v>34</v>
      </c>
      <c r="L129" s="28">
        <v>0</v>
      </c>
    </row>
    <row r="130" spans="1:12" ht="14.25" customHeight="1" x14ac:dyDescent="0.2">
      <c r="A130" s="28">
        <v>129</v>
      </c>
      <c r="B130" s="28" t="s">
        <v>393</v>
      </c>
      <c r="C130" s="28" t="s">
        <v>386</v>
      </c>
      <c r="D130" s="28" t="s">
        <v>387</v>
      </c>
      <c r="E130" s="28" t="s">
        <v>211</v>
      </c>
      <c r="F130" s="28" t="s">
        <v>305</v>
      </c>
      <c r="G130" s="28" t="s">
        <v>387</v>
      </c>
      <c r="H130" s="28">
        <v>8230661</v>
      </c>
      <c r="I130" s="28">
        <v>246151</v>
      </c>
      <c r="J130" s="28">
        <v>0.99</v>
      </c>
      <c r="K130" s="28">
        <v>17</v>
      </c>
      <c r="L130" s="28">
        <v>1</v>
      </c>
    </row>
    <row r="131" spans="1:12" ht="14.25" customHeight="1" x14ac:dyDescent="0.2">
      <c r="A131" s="28">
        <v>130</v>
      </c>
      <c r="B131" s="28" t="s">
        <v>394</v>
      </c>
      <c r="C131" s="28" t="s">
        <v>386</v>
      </c>
      <c r="D131" s="28" t="s">
        <v>387</v>
      </c>
      <c r="E131" s="28" t="s">
        <v>211</v>
      </c>
      <c r="F131" s="28" t="s">
        <v>305</v>
      </c>
      <c r="G131" s="28" t="s">
        <v>395</v>
      </c>
      <c r="H131" s="28">
        <v>9018565</v>
      </c>
      <c r="I131" s="28">
        <v>274155</v>
      </c>
      <c r="J131" s="28">
        <v>0.99</v>
      </c>
      <c r="K131" s="28">
        <v>31</v>
      </c>
      <c r="L131" s="28">
        <v>1</v>
      </c>
    </row>
    <row r="132" spans="1:12" ht="14.25" customHeight="1" x14ac:dyDescent="0.2">
      <c r="A132" s="28">
        <v>131</v>
      </c>
      <c r="B132" s="28" t="s">
        <v>396</v>
      </c>
      <c r="C132" s="28" t="s">
        <v>397</v>
      </c>
      <c r="D132" s="28" t="s">
        <v>398</v>
      </c>
      <c r="E132" s="28" t="s">
        <v>211</v>
      </c>
      <c r="F132" s="28" t="s">
        <v>322</v>
      </c>
      <c r="G132" s="28"/>
      <c r="H132" s="28">
        <v>10642901</v>
      </c>
      <c r="I132" s="28">
        <v>323683</v>
      </c>
      <c r="J132" s="28">
        <v>0.99</v>
      </c>
      <c r="K132" s="28">
        <v>76</v>
      </c>
      <c r="L132" s="28">
        <v>0</v>
      </c>
    </row>
    <row r="133" spans="1:12" ht="14.25" customHeight="1" x14ac:dyDescent="0.2">
      <c r="A133" s="28">
        <v>132</v>
      </c>
      <c r="B133" s="28" t="s">
        <v>399</v>
      </c>
      <c r="C133" s="28" t="s">
        <v>397</v>
      </c>
      <c r="D133" s="28" t="s">
        <v>398</v>
      </c>
      <c r="E133" s="28" t="s">
        <v>211</v>
      </c>
      <c r="F133" s="28" t="s">
        <v>322</v>
      </c>
      <c r="G133" s="28"/>
      <c r="H133" s="28">
        <v>8137421</v>
      </c>
      <c r="I133" s="28">
        <v>246987</v>
      </c>
      <c r="J133" s="28">
        <v>0.99</v>
      </c>
      <c r="K133" s="28">
        <v>91</v>
      </c>
      <c r="L133" s="28">
        <v>0</v>
      </c>
    </row>
    <row r="134" spans="1:12" ht="14.25" customHeight="1" x14ac:dyDescent="0.2">
      <c r="A134" s="28">
        <v>133</v>
      </c>
      <c r="B134" s="28" t="s">
        <v>400</v>
      </c>
      <c r="C134" s="28" t="s">
        <v>397</v>
      </c>
      <c r="D134" s="28" t="s">
        <v>398</v>
      </c>
      <c r="E134" s="28" t="s">
        <v>211</v>
      </c>
      <c r="F134" s="28" t="s">
        <v>322</v>
      </c>
      <c r="G134" s="28"/>
      <c r="H134" s="28">
        <v>9869647</v>
      </c>
      <c r="I134" s="28">
        <v>300747</v>
      </c>
      <c r="J134" s="28">
        <v>0.99</v>
      </c>
      <c r="K134" s="28">
        <v>45</v>
      </c>
      <c r="L134" s="28">
        <v>0</v>
      </c>
    </row>
    <row r="135" spans="1:12" ht="14.25" customHeight="1" x14ac:dyDescent="0.2">
      <c r="A135" s="28">
        <v>134</v>
      </c>
      <c r="B135" s="28" t="s">
        <v>401</v>
      </c>
      <c r="C135" s="28" t="s">
        <v>397</v>
      </c>
      <c r="D135" s="28" t="s">
        <v>398</v>
      </c>
      <c r="E135" s="28" t="s">
        <v>211</v>
      </c>
      <c r="F135" s="28" t="s">
        <v>322</v>
      </c>
      <c r="G135" s="28"/>
      <c r="H135" s="28">
        <v>7726948</v>
      </c>
      <c r="I135" s="28">
        <v>235833</v>
      </c>
      <c r="J135" s="28">
        <v>0.99</v>
      </c>
      <c r="K135" s="28">
        <v>3</v>
      </c>
      <c r="L135" s="28">
        <v>1</v>
      </c>
    </row>
    <row r="136" spans="1:12" ht="14.25" customHeight="1" x14ac:dyDescent="0.2">
      <c r="A136" s="28">
        <v>135</v>
      </c>
      <c r="B136" s="28" t="s">
        <v>402</v>
      </c>
      <c r="C136" s="28" t="s">
        <v>397</v>
      </c>
      <c r="D136" s="28" t="s">
        <v>398</v>
      </c>
      <c r="E136" s="28" t="s">
        <v>211</v>
      </c>
      <c r="F136" s="28" t="s">
        <v>322</v>
      </c>
      <c r="G136" s="28"/>
      <c r="H136" s="28">
        <v>10513905</v>
      </c>
      <c r="I136" s="28">
        <v>319373</v>
      </c>
      <c r="J136" s="28">
        <v>0.99</v>
      </c>
      <c r="K136" s="28">
        <v>19</v>
      </c>
      <c r="L136" s="28">
        <v>1</v>
      </c>
    </row>
    <row r="137" spans="1:12" ht="14.25" customHeight="1" x14ac:dyDescent="0.2">
      <c r="A137" s="28">
        <v>136</v>
      </c>
      <c r="B137" s="28" t="s">
        <v>403</v>
      </c>
      <c r="C137" s="28" t="s">
        <v>397</v>
      </c>
      <c r="D137" s="28" t="s">
        <v>398</v>
      </c>
      <c r="E137" s="28" t="s">
        <v>211</v>
      </c>
      <c r="F137" s="28" t="s">
        <v>322</v>
      </c>
      <c r="G137" s="28"/>
      <c r="H137" s="28">
        <v>9011701</v>
      </c>
      <c r="I137" s="28">
        <v>273606</v>
      </c>
      <c r="J137" s="28">
        <v>0.99</v>
      </c>
      <c r="K137" s="28">
        <v>48</v>
      </c>
      <c r="L137" s="28">
        <v>0</v>
      </c>
    </row>
    <row r="138" spans="1:12" ht="14.25" customHeight="1" x14ac:dyDescent="0.2">
      <c r="A138" s="28">
        <v>137</v>
      </c>
      <c r="B138" s="28" t="s">
        <v>404</v>
      </c>
      <c r="C138" s="28" t="s">
        <v>397</v>
      </c>
      <c r="D138" s="28" t="s">
        <v>398</v>
      </c>
      <c r="E138" s="28" t="s">
        <v>211</v>
      </c>
      <c r="F138" s="28" t="s">
        <v>322</v>
      </c>
      <c r="G138" s="28"/>
      <c r="H138" s="28">
        <v>9355309</v>
      </c>
      <c r="I138" s="28">
        <v>284081</v>
      </c>
      <c r="J138" s="28">
        <v>0.99</v>
      </c>
      <c r="K138" s="28">
        <v>35</v>
      </c>
      <c r="L138" s="28">
        <v>0</v>
      </c>
    </row>
    <row r="139" spans="1:12" ht="14.25" customHeight="1" x14ac:dyDescent="0.2">
      <c r="A139" s="28">
        <v>138</v>
      </c>
      <c r="B139" s="28" t="s">
        <v>405</v>
      </c>
      <c r="C139" s="28" t="s">
        <v>397</v>
      </c>
      <c r="D139" s="28" t="s">
        <v>398</v>
      </c>
      <c r="E139" s="28" t="s">
        <v>211</v>
      </c>
      <c r="F139" s="28" t="s">
        <v>322</v>
      </c>
      <c r="G139" s="28"/>
      <c r="H139" s="28">
        <v>8130090</v>
      </c>
      <c r="I139" s="28">
        <v>247327</v>
      </c>
      <c r="J139" s="28">
        <v>0.99</v>
      </c>
      <c r="K139" s="28">
        <v>69</v>
      </c>
      <c r="L139" s="28">
        <v>1</v>
      </c>
    </row>
    <row r="140" spans="1:12" ht="14.25" customHeight="1" x14ac:dyDescent="0.2">
      <c r="A140" s="28">
        <v>139</v>
      </c>
      <c r="B140" s="28" t="s">
        <v>406</v>
      </c>
      <c r="C140" s="28" t="s">
        <v>397</v>
      </c>
      <c r="D140" s="28" t="s">
        <v>398</v>
      </c>
      <c r="E140" s="28" t="s">
        <v>211</v>
      </c>
      <c r="F140" s="28" t="s">
        <v>322</v>
      </c>
      <c r="G140" s="28"/>
      <c r="H140" s="28">
        <v>8574746</v>
      </c>
      <c r="I140" s="28">
        <v>266266</v>
      </c>
      <c r="J140" s="28">
        <v>0.99</v>
      </c>
      <c r="K140" s="28">
        <v>88</v>
      </c>
      <c r="L140" s="28">
        <v>1</v>
      </c>
    </row>
    <row r="141" spans="1:12" ht="14.25" customHeight="1" x14ac:dyDescent="0.2">
      <c r="A141" s="28">
        <v>140</v>
      </c>
      <c r="B141" s="28" t="s">
        <v>407</v>
      </c>
      <c r="C141" s="28" t="s">
        <v>397</v>
      </c>
      <c r="D141" s="28" t="s">
        <v>398</v>
      </c>
      <c r="E141" s="28" t="s">
        <v>211</v>
      </c>
      <c r="F141" s="28" t="s">
        <v>322</v>
      </c>
      <c r="G141" s="28"/>
      <c r="H141" s="28">
        <v>9257358</v>
      </c>
      <c r="I141" s="28">
        <v>282122</v>
      </c>
      <c r="J141" s="28">
        <v>0.99</v>
      </c>
      <c r="K141" s="28">
        <v>77</v>
      </c>
      <c r="L141" s="28">
        <v>0</v>
      </c>
    </row>
    <row r="142" spans="1:12" ht="14.25" customHeight="1" x14ac:dyDescent="0.2">
      <c r="A142" s="28">
        <v>141</v>
      </c>
      <c r="B142" s="28" t="s">
        <v>408</v>
      </c>
      <c r="C142" s="28" t="s">
        <v>397</v>
      </c>
      <c r="D142" s="28" t="s">
        <v>398</v>
      </c>
      <c r="E142" s="28" t="s">
        <v>211</v>
      </c>
      <c r="F142" s="28" t="s">
        <v>322</v>
      </c>
      <c r="G142" s="28"/>
      <c r="H142" s="28">
        <v>11820932</v>
      </c>
      <c r="I142" s="28">
        <v>359157</v>
      </c>
      <c r="J142" s="28">
        <v>0.99</v>
      </c>
      <c r="K142" s="28">
        <v>97</v>
      </c>
      <c r="L142" s="28">
        <v>0</v>
      </c>
    </row>
    <row r="143" spans="1:12" ht="14.25" customHeight="1" x14ac:dyDescent="0.2">
      <c r="A143" s="28">
        <v>142</v>
      </c>
      <c r="B143" s="28" t="s">
        <v>409</v>
      </c>
      <c r="C143" s="28" t="s">
        <v>397</v>
      </c>
      <c r="D143" s="28" t="s">
        <v>398</v>
      </c>
      <c r="E143" s="28" t="s">
        <v>211</v>
      </c>
      <c r="F143" s="28" t="s">
        <v>322</v>
      </c>
      <c r="G143" s="28"/>
      <c r="H143" s="28">
        <v>18041629</v>
      </c>
      <c r="I143" s="28">
        <v>555075</v>
      </c>
      <c r="J143" s="28">
        <v>0.99</v>
      </c>
      <c r="K143" s="28">
        <v>44</v>
      </c>
      <c r="L143" s="28">
        <v>0</v>
      </c>
    </row>
    <row r="144" spans="1:12" ht="14.25" customHeight="1" x14ac:dyDescent="0.2">
      <c r="A144" s="28">
        <v>143</v>
      </c>
      <c r="B144" s="28" t="s">
        <v>410</v>
      </c>
      <c r="C144" s="28" t="s">
        <v>397</v>
      </c>
      <c r="D144" s="28" t="s">
        <v>398</v>
      </c>
      <c r="E144" s="28" t="s">
        <v>211</v>
      </c>
      <c r="F144" s="28" t="s">
        <v>322</v>
      </c>
      <c r="G144" s="28"/>
      <c r="H144" s="28">
        <v>11965109</v>
      </c>
      <c r="I144" s="28">
        <v>365662</v>
      </c>
      <c r="J144" s="28">
        <v>0.99</v>
      </c>
      <c r="K144" s="28">
        <v>3</v>
      </c>
      <c r="L144" s="28">
        <v>1</v>
      </c>
    </row>
    <row r="145" spans="1:12" ht="14.25" customHeight="1" x14ac:dyDescent="0.2">
      <c r="A145" s="28">
        <v>144</v>
      </c>
      <c r="B145" s="28" t="s">
        <v>411</v>
      </c>
      <c r="C145" s="28" t="s">
        <v>412</v>
      </c>
      <c r="D145" s="28" t="s">
        <v>398</v>
      </c>
      <c r="E145" s="28" t="s">
        <v>211</v>
      </c>
      <c r="F145" s="28" t="s">
        <v>322</v>
      </c>
      <c r="G145" s="28"/>
      <c r="H145" s="28">
        <v>6417460</v>
      </c>
      <c r="I145" s="28">
        <v>194873</v>
      </c>
      <c r="J145" s="28">
        <v>0.99</v>
      </c>
      <c r="K145" s="28">
        <v>18</v>
      </c>
      <c r="L145" s="28">
        <v>1</v>
      </c>
    </row>
    <row r="146" spans="1:12" ht="14.25" customHeight="1" x14ac:dyDescent="0.2">
      <c r="A146" s="28">
        <v>145</v>
      </c>
      <c r="B146" s="28" t="s">
        <v>413</v>
      </c>
      <c r="C146" s="28" t="s">
        <v>412</v>
      </c>
      <c r="D146" s="28" t="s">
        <v>398</v>
      </c>
      <c r="E146" s="28" t="s">
        <v>211</v>
      </c>
      <c r="F146" s="28" t="s">
        <v>322</v>
      </c>
      <c r="G146" s="28"/>
      <c r="H146" s="28">
        <v>13842549</v>
      </c>
      <c r="I146" s="28">
        <v>420022</v>
      </c>
      <c r="J146" s="28">
        <v>0.99</v>
      </c>
      <c r="K146" s="28">
        <v>99</v>
      </c>
      <c r="L146" s="28">
        <v>0</v>
      </c>
    </row>
    <row r="147" spans="1:12" ht="14.25" customHeight="1" x14ac:dyDescent="0.2">
      <c r="A147" s="28">
        <v>146</v>
      </c>
      <c r="B147" s="28" t="s">
        <v>414</v>
      </c>
      <c r="C147" s="28" t="s">
        <v>412</v>
      </c>
      <c r="D147" s="28" t="s">
        <v>398</v>
      </c>
      <c r="E147" s="28" t="s">
        <v>211</v>
      </c>
      <c r="F147" s="28" t="s">
        <v>322</v>
      </c>
      <c r="G147" s="28"/>
      <c r="H147" s="28">
        <v>9115657</v>
      </c>
      <c r="I147" s="28">
        <v>276532</v>
      </c>
      <c r="J147" s="28">
        <v>0.99</v>
      </c>
      <c r="K147" s="28">
        <v>78</v>
      </c>
      <c r="L147" s="28">
        <v>0</v>
      </c>
    </row>
    <row r="148" spans="1:12" ht="14.25" customHeight="1" x14ac:dyDescent="0.2">
      <c r="A148" s="28">
        <v>147</v>
      </c>
      <c r="B148" s="28" t="s">
        <v>415</v>
      </c>
      <c r="C148" s="28" t="s">
        <v>412</v>
      </c>
      <c r="D148" s="28" t="s">
        <v>398</v>
      </c>
      <c r="E148" s="28" t="s">
        <v>211</v>
      </c>
      <c r="F148" s="28" t="s">
        <v>322</v>
      </c>
      <c r="G148" s="28"/>
      <c r="H148" s="28">
        <v>9359475</v>
      </c>
      <c r="I148" s="28">
        <v>284368</v>
      </c>
      <c r="J148" s="28">
        <v>0.99</v>
      </c>
      <c r="K148" s="28">
        <v>79</v>
      </c>
      <c r="L148" s="28">
        <v>1</v>
      </c>
    </row>
    <row r="149" spans="1:12" ht="14.25" customHeight="1" x14ac:dyDescent="0.2">
      <c r="A149" s="28">
        <v>148</v>
      </c>
      <c r="B149" s="28" t="s">
        <v>416</v>
      </c>
      <c r="C149" s="28" t="s">
        <v>412</v>
      </c>
      <c r="D149" s="28" t="s">
        <v>398</v>
      </c>
      <c r="E149" s="28" t="s">
        <v>211</v>
      </c>
      <c r="F149" s="28" t="s">
        <v>322</v>
      </c>
      <c r="G149" s="28"/>
      <c r="H149" s="28">
        <v>8975814</v>
      </c>
      <c r="I149" s="28">
        <v>271960</v>
      </c>
      <c r="J149" s="28">
        <v>0.99</v>
      </c>
      <c r="K149" s="28">
        <v>49</v>
      </c>
      <c r="L149" s="28">
        <v>1</v>
      </c>
    </row>
    <row r="150" spans="1:12" ht="14.25" customHeight="1" x14ac:dyDescent="0.2">
      <c r="A150" s="28">
        <v>149</v>
      </c>
      <c r="B150" s="28" t="s">
        <v>417</v>
      </c>
      <c r="C150" s="28" t="s">
        <v>417</v>
      </c>
      <c r="D150" s="28" t="s">
        <v>417</v>
      </c>
      <c r="E150" s="28" t="s">
        <v>211</v>
      </c>
      <c r="F150" s="28" t="s">
        <v>322</v>
      </c>
      <c r="G150" s="28"/>
      <c r="H150" s="28">
        <v>12440200</v>
      </c>
      <c r="I150" s="28">
        <v>382066</v>
      </c>
      <c r="J150" s="28">
        <v>0.99</v>
      </c>
      <c r="K150" s="28">
        <v>67</v>
      </c>
      <c r="L150" s="28">
        <v>0</v>
      </c>
    </row>
    <row r="151" spans="1:12" ht="14.25" customHeight="1" x14ac:dyDescent="0.2">
      <c r="A151" s="28">
        <v>150</v>
      </c>
      <c r="B151" s="28" t="s">
        <v>418</v>
      </c>
      <c r="C151" s="28" t="s">
        <v>417</v>
      </c>
      <c r="D151" s="28" t="s">
        <v>417</v>
      </c>
      <c r="E151" s="28" t="s">
        <v>211</v>
      </c>
      <c r="F151" s="28" t="s">
        <v>322</v>
      </c>
      <c r="G151" s="28"/>
      <c r="H151" s="28">
        <v>8646737</v>
      </c>
      <c r="I151" s="28">
        <v>264829</v>
      </c>
      <c r="J151" s="28">
        <v>0.99</v>
      </c>
      <c r="K151" s="28">
        <v>72</v>
      </c>
      <c r="L151" s="28">
        <v>0</v>
      </c>
    </row>
    <row r="152" spans="1:12" ht="14.25" customHeight="1" x14ac:dyDescent="0.2">
      <c r="A152" s="28">
        <v>151</v>
      </c>
      <c r="B152" s="28" t="s">
        <v>419</v>
      </c>
      <c r="C152" s="28" t="s">
        <v>417</v>
      </c>
      <c r="D152" s="28" t="s">
        <v>417</v>
      </c>
      <c r="E152" s="28" t="s">
        <v>211</v>
      </c>
      <c r="F152" s="28" t="s">
        <v>322</v>
      </c>
      <c r="G152" s="28"/>
      <c r="H152" s="28">
        <v>7169049</v>
      </c>
      <c r="I152" s="28">
        <v>217573</v>
      </c>
      <c r="J152" s="28">
        <v>0.99</v>
      </c>
      <c r="K152" s="28">
        <v>76</v>
      </c>
      <c r="L152" s="28">
        <v>0</v>
      </c>
    </row>
    <row r="153" spans="1:12" ht="14.25" customHeight="1" x14ac:dyDescent="0.2">
      <c r="A153" s="28">
        <v>152</v>
      </c>
      <c r="B153" s="28" t="s">
        <v>420</v>
      </c>
      <c r="C153" s="28" t="s">
        <v>417</v>
      </c>
      <c r="D153" s="28" t="s">
        <v>417</v>
      </c>
      <c r="E153" s="28" t="s">
        <v>211</v>
      </c>
      <c r="F153" s="28" t="s">
        <v>322</v>
      </c>
      <c r="G153" s="28"/>
      <c r="H153" s="28">
        <v>12029390</v>
      </c>
      <c r="I153" s="28">
        <v>368770</v>
      </c>
      <c r="J153" s="28">
        <v>0.99</v>
      </c>
      <c r="K153" s="28">
        <v>61</v>
      </c>
      <c r="L153" s="28">
        <v>1</v>
      </c>
    </row>
    <row r="154" spans="1:12" ht="14.25" customHeight="1" x14ac:dyDescent="0.2">
      <c r="A154" s="28">
        <v>153</v>
      </c>
      <c r="B154" s="28" t="s">
        <v>421</v>
      </c>
      <c r="C154" s="28" t="s">
        <v>417</v>
      </c>
      <c r="D154" s="28" t="s">
        <v>417</v>
      </c>
      <c r="E154" s="28" t="s">
        <v>211</v>
      </c>
      <c r="F154" s="28" t="s">
        <v>322</v>
      </c>
      <c r="G154" s="28"/>
      <c r="H154" s="28">
        <v>6655170</v>
      </c>
      <c r="I154" s="28">
        <v>204930</v>
      </c>
      <c r="J154" s="28">
        <v>0.99</v>
      </c>
      <c r="K154" s="28">
        <v>20</v>
      </c>
      <c r="L154" s="28">
        <v>1</v>
      </c>
    </row>
    <row r="155" spans="1:12" ht="14.25" customHeight="1" x14ac:dyDescent="0.2">
      <c r="A155" s="28">
        <v>154</v>
      </c>
      <c r="B155" s="28" t="s">
        <v>422</v>
      </c>
      <c r="C155" s="28" t="s">
        <v>417</v>
      </c>
      <c r="D155" s="28" t="s">
        <v>417</v>
      </c>
      <c r="E155" s="28" t="s">
        <v>211</v>
      </c>
      <c r="F155" s="28" t="s">
        <v>322</v>
      </c>
      <c r="G155" s="28"/>
      <c r="H155" s="28">
        <v>21128525</v>
      </c>
      <c r="I155" s="28">
        <v>644571</v>
      </c>
      <c r="J155" s="28">
        <v>0.99</v>
      </c>
      <c r="K155" s="28">
        <v>37</v>
      </c>
      <c r="L155" s="28">
        <v>0</v>
      </c>
    </row>
    <row r="156" spans="1:12" ht="14.25" customHeight="1" x14ac:dyDescent="0.2">
      <c r="A156" s="28">
        <v>155</v>
      </c>
      <c r="B156" s="28" t="s">
        <v>423</v>
      </c>
      <c r="C156" s="28" t="s">
        <v>417</v>
      </c>
      <c r="D156" s="28" t="s">
        <v>417</v>
      </c>
      <c r="E156" s="28" t="s">
        <v>211</v>
      </c>
      <c r="F156" s="28" t="s">
        <v>322</v>
      </c>
      <c r="G156" s="28"/>
      <c r="H156" s="28">
        <v>6893363</v>
      </c>
      <c r="I156" s="28">
        <v>212062</v>
      </c>
      <c r="J156" s="28">
        <v>0.99</v>
      </c>
      <c r="K156" s="28">
        <v>48</v>
      </c>
      <c r="L156" s="28">
        <v>0</v>
      </c>
    </row>
    <row r="157" spans="1:12" ht="14.25" customHeight="1" x14ac:dyDescent="0.2">
      <c r="A157" s="28">
        <v>156</v>
      </c>
      <c r="B157" s="28" t="s">
        <v>424</v>
      </c>
      <c r="C157" s="28" t="s">
        <v>425</v>
      </c>
      <c r="D157" s="28" t="s">
        <v>417</v>
      </c>
      <c r="E157" s="28" t="s">
        <v>211</v>
      </c>
      <c r="F157" s="28" t="s">
        <v>322</v>
      </c>
      <c r="G157" s="28" t="s">
        <v>426</v>
      </c>
      <c r="H157" s="28">
        <v>16065830</v>
      </c>
      <c r="I157" s="28">
        <v>494524</v>
      </c>
      <c r="J157" s="28">
        <v>0.99</v>
      </c>
      <c r="K157" s="28">
        <v>90</v>
      </c>
      <c r="L157" s="28">
        <v>0</v>
      </c>
    </row>
    <row r="158" spans="1:12" ht="14.25" customHeight="1" x14ac:dyDescent="0.2">
      <c r="A158" s="28">
        <v>157</v>
      </c>
      <c r="B158" s="28" t="s">
        <v>427</v>
      </c>
      <c r="C158" s="28" t="s">
        <v>425</v>
      </c>
      <c r="D158" s="28" t="s">
        <v>417</v>
      </c>
      <c r="E158" s="28" t="s">
        <v>211</v>
      </c>
      <c r="F158" s="28" t="s">
        <v>322</v>
      </c>
      <c r="G158" s="28" t="s">
        <v>426</v>
      </c>
      <c r="H158" s="28">
        <v>6252071</v>
      </c>
      <c r="I158" s="28">
        <v>192496</v>
      </c>
      <c r="J158" s="28">
        <v>0.99</v>
      </c>
      <c r="K158" s="28">
        <v>56</v>
      </c>
      <c r="L158" s="28">
        <v>1</v>
      </c>
    </row>
    <row r="159" spans="1:12" ht="14.25" customHeight="1" x14ac:dyDescent="0.2">
      <c r="A159" s="28">
        <v>158</v>
      </c>
      <c r="B159" s="28" t="s">
        <v>428</v>
      </c>
      <c r="C159" s="28" t="s">
        <v>425</v>
      </c>
      <c r="D159" s="28" t="s">
        <v>417</v>
      </c>
      <c r="E159" s="28" t="s">
        <v>211</v>
      </c>
      <c r="F159" s="28" t="s">
        <v>322</v>
      </c>
      <c r="G159" s="28" t="s">
        <v>426</v>
      </c>
      <c r="H159" s="28">
        <v>9175517</v>
      </c>
      <c r="I159" s="28">
        <v>286275</v>
      </c>
      <c r="J159" s="28">
        <v>0.99</v>
      </c>
      <c r="K159" s="28">
        <v>2</v>
      </c>
      <c r="L159" s="28">
        <v>0</v>
      </c>
    </row>
    <row r="160" spans="1:12" ht="14.25" customHeight="1" x14ac:dyDescent="0.2">
      <c r="A160" s="28">
        <v>159</v>
      </c>
      <c r="B160" s="28" t="s">
        <v>429</v>
      </c>
      <c r="C160" s="28" t="s">
        <v>425</v>
      </c>
      <c r="D160" s="28" t="s">
        <v>417</v>
      </c>
      <c r="E160" s="28" t="s">
        <v>211</v>
      </c>
      <c r="F160" s="28" t="s">
        <v>322</v>
      </c>
      <c r="G160" s="28" t="s">
        <v>426</v>
      </c>
      <c r="H160" s="28">
        <v>3331776</v>
      </c>
      <c r="I160" s="28">
        <v>103157</v>
      </c>
      <c r="J160" s="28">
        <v>0.99</v>
      </c>
      <c r="K160" s="28">
        <v>38</v>
      </c>
      <c r="L160" s="28">
        <v>0</v>
      </c>
    </row>
    <row r="161" spans="1:12" ht="14.25" customHeight="1" x14ac:dyDescent="0.2">
      <c r="A161" s="28">
        <v>160</v>
      </c>
      <c r="B161" s="28" t="s">
        <v>430</v>
      </c>
      <c r="C161" s="28" t="s">
        <v>425</v>
      </c>
      <c r="D161" s="28" t="s">
        <v>417</v>
      </c>
      <c r="E161" s="28" t="s">
        <v>211</v>
      </c>
      <c r="F161" s="28" t="s">
        <v>322</v>
      </c>
      <c r="G161" s="28" t="s">
        <v>426</v>
      </c>
      <c r="H161" s="28">
        <v>9245971</v>
      </c>
      <c r="I161" s="28">
        <v>285779</v>
      </c>
      <c r="J161" s="28">
        <v>0.99</v>
      </c>
      <c r="K161" s="28">
        <v>14</v>
      </c>
      <c r="L161" s="28">
        <v>0</v>
      </c>
    </row>
    <row r="162" spans="1:12" ht="14.25" customHeight="1" x14ac:dyDescent="0.2">
      <c r="A162" s="28">
        <v>161</v>
      </c>
      <c r="B162" s="28" t="s">
        <v>413</v>
      </c>
      <c r="C162" s="28" t="s">
        <v>425</v>
      </c>
      <c r="D162" s="28" t="s">
        <v>417</v>
      </c>
      <c r="E162" s="28" t="s">
        <v>211</v>
      </c>
      <c r="F162" s="28" t="s">
        <v>322</v>
      </c>
      <c r="G162" s="28" t="s">
        <v>426</v>
      </c>
      <c r="H162" s="28">
        <v>10813386</v>
      </c>
      <c r="I162" s="28">
        <v>331676</v>
      </c>
      <c r="J162" s="28">
        <v>0.99</v>
      </c>
      <c r="K162" s="28">
        <v>49</v>
      </c>
      <c r="L162" s="28">
        <v>2</v>
      </c>
    </row>
    <row r="163" spans="1:12" ht="14.25" customHeight="1" x14ac:dyDescent="0.2">
      <c r="A163" s="28">
        <v>162</v>
      </c>
      <c r="B163" s="28" t="s">
        <v>431</v>
      </c>
      <c r="C163" s="28" t="s">
        <v>425</v>
      </c>
      <c r="D163" s="28" t="s">
        <v>417</v>
      </c>
      <c r="E163" s="28" t="s">
        <v>211</v>
      </c>
      <c r="F163" s="28" t="s">
        <v>322</v>
      </c>
      <c r="G163" s="28" t="s">
        <v>426</v>
      </c>
      <c r="H163" s="28">
        <v>7653880</v>
      </c>
      <c r="I163" s="28">
        <v>234814</v>
      </c>
      <c r="J163" s="28">
        <v>0.99</v>
      </c>
      <c r="K163" s="28">
        <v>60</v>
      </c>
      <c r="L163" s="28">
        <v>2</v>
      </c>
    </row>
    <row r="164" spans="1:12" ht="14.25" customHeight="1" x14ac:dyDescent="0.2">
      <c r="A164" s="28">
        <v>163</v>
      </c>
      <c r="B164" s="28" t="s">
        <v>432</v>
      </c>
      <c r="C164" s="28" t="s">
        <v>425</v>
      </c>
      <c r="D164" s="28" t="s">
        <v>417</v>
      </c>
      <c r="E164" s="28" t="s">
        <v>211</v>
      </c>
      <c r="F164" s="28" t="s">
        <v>322</v>
      </c>
      <c r="G164" s="28" t="s">
        <v>426</v>
      </c>
      <c r="H164" s="28">
        <v>5671374</v>
      </c>
      <c r="I164" s="28">
        <v>173087</v>
      </c>
      <c r="J164" s="28">
        <v>0.99</v>
      </c>
      <c r="K164" s="28">
        <v>8</v>
      </c>
      <c r="L164" s="28">
        <v>1</v>
      </c>
    </row>
    <row r="165" spans="1:12" ht="14.25" customHeight="1" x14ac:dyDescent="0.2">
      <c r="A165" s="28">
        <v>164</v>
      </c>
      <c r="B165" s="28" t="s">
        <v>433</v>
      </c>
      <c r="C165" s="28" t="s">
        <v>425</v>
      </c>
      <c r="D165" s="28" t="s">
        <v>417</v>
      </c>
      <c r="E165" s="28" t="s">
        <v>211</v>
      </c>
      <c r="F165" s="28" t="s">
        <v>322</v>
      </c>
      <c r="G165" s="28" t="s">
        <v>426</v>
      </c>
      <c r="H165" s="28">
        <v>4884969</v>
      </c>
      <c r="I165" s="28">
        <v>149655</v>
      </c>
      <c r="J165" s="28">
        <v>0.99</v>
      </c>
      <c r="K165" s="28">
        <v>21</v>
      </c>
      <c r="L165" s="28">
        <v>0</v>
      </c>
    </row>
    <row r="166" spans="1:12" ht="14.25" customHeight="1" x14ac:dyDescent="0.2">
      <c r="A166" s="28">
        <v>165</v>
      </c>
      <c r="B166" s="28" t="s">
        <v>434</v>
      </c>
      <c r="C166" s="28" t="s">
        <v>425</v>
      </c>
      <c r="D166" s="28" t="s">
        <v>417</v>
      </c>
      <c r="E166" s="28" t="s">
        <v>211</v>
      </c>
      <c r="F166" s="28" t="s">
        <v>322</v>
      </c>
      <c r="G166" s="28" t="s">
        <v>426</v>
      </c>
      <c r="H166" s="28">
        <v>11360486</v>
      </c>
      <c r="I166" s="28">
        <v>350458</v>
      </c>
      <c r="J166" s="28">
        <v>0.99</v>
      </c>
      <c r="K166" s="28">
        <v>84</v>
      </c>
      <c r="L166" s="28">
        <v>1</v>
      </c>
    </row>
    <row r="167" spans="1:12" ht="14.25" customHeight="1" x14ac:dyDescent="0.2">
      <c r="A167" s="28">
        <v>166</v>
      </c>
      <c r="B167" s="28" t="s">
        <v>435</v>
      </c>
      <c r="C167" s="28" t="s">
        <v>436</v>
      </c>
      <c r="D167" s="28" t="s">
        <v>436</v>
      </c>
      <c r="E167" s="28" t="s">
        <v>211</v>
      </c>
      <c r="F167" s="28" t="s">
        <v>348</v>
      </c>
      <c r="G167" s="28"/>
      <c r="H167" s="28">
        <v>1549074</v>
      </c>
      <c r="I167" s="28">
        <v>47333</v>
      </c>
      <c r="J167" s="28">
        <v>0.99</v>
      </c>
      <c r="K167" s="28">
        <v>42</v>
      </c>
      <c r="L167" s="28">
        <v>1</v>
      </c>
    </row>
    <row r="168" spans="1:12" ht="14.25" customHeight="1" x14ac:dyDescent="0.2">
      <c r="A168" s="28">
        <v>167</v>
      </c>
      <c r="B168" s="28" t="s">
        <v>437</v>
      </c>
      <c r="C168" s="28" t="s">
        <v>436</v>
      </c>
      <c r="D168" s="28" t="s">
        <v>436</v>
      </c>
      <c r="E168" s="28" t="s">
        <v>211</v>
      </c>
      <c r="F168" s="28" t="s">
        <v>348</v>
      </c>
      <c r="G168" s="28"/>
      <c r="H168" s="28">
        <v>6715413</v>
      </c>
      <c r="I168" s="28">
        <v>204251</v>
      </c>
      <c r="J168" s="28">
        <v>0.99</v>
      </c>
      <c r="K168" s="28">
        <v>57</v>
      </c>
      <c r="L168" s="28">
        <v>1</v>
      </c>
    </row>
    <row r="169" spans="1:12" ht="14.25" customHeight="1" x14ac:dyDescent="0.2">
      <c r="A169" s="28">
        <v>168</v>
      </c>
      <c r="B169" s="28" t="s">
        <v>438</v>
      </c>
      <c r="C169" s="28" t="s">
        <v>436</v>
      </c>
      <c r="D169" s="28" t="s">
        <v>436</v>
      </c>
      <c r="E169" s="28" t="s">
        <v>211</v>
      </c>
      <c r="F169" s="28" t="s">
        <v>348</v>
      </c>
      <c r="G169" s="28"/>
      <c r="H169" s="28">
        <v>161266</v>
      </c>
      <c r="I169" s="28">
        <v>4884</v>
      </c>
      <c r="J169" s="28">
        <v>0.99</v>
      </c>
      <c r="K169" s="28">
        <v>66</v>
      </c>
      <c r="L169" s="28">
        <v>0</v>
      </c>
    </row>
    <row r="170" spans="1:12" ht="14.25" customHeight="1" x14ac:dyDescent="0.2">
      <c r="A170" s="28">
        <v>169</v>
      </c>
      <c r="B170" s="28" t="s">
        <v>436</v>
      </c>
      <c r="C170" s="28" t="s">
        <v>436</v>
      </c>
      <c r="D170" s="28" t="s">
        <v>436</v>
      </c>
      <c r="E170" s="28" t="s">
        <v>211</v>
      </c>
      <c r="F170" s="28" t="s">
        <v>348</v>
      </c>
      <c r="G170" s="28"/>
      <c r="H170" s="28">
        <v>10489139</v>
      </c>
      <c r="I170" s="28">
        <v>317936</v>
      </c>
      <c r="J170" s="28">
        <v>0.99</v>
      </c>
      <c r="K170" s="28">
        <v>78</v>
      </c>
      <c r="L170" s="28">
        <v>1</v>
      </c>
    </row>
    <row r="171" spans="1:12" ht="14.25" customHeight="1" x14ac:dyDescent="0.2">
      <c r="A171" s="28">
        <v>170</v>
      </c>
      <c r="B171" s="28" t="s">
        <v>439</v>
      </c>
      <c r="C171" s="28" t="s">
        <v>436</v>
      </c>
      <c r="D171" s="28" t="s">
        <v>436</v>
      </c>
      <c r="E171" s="28" t="s">
        <v>211</v>
      </c>
      <c r="F171" s="28" t="s">
        <v>348</v>
      </c>
      <c r="G171" s="28"/>
      <c r="H171" s="28">
        <v>211997</v>
      </c>
      <c r="I171" s="28">
        <v>6373</v>
      </c>
      <c r="J171" s="28">
        <v>0.99</v>
      </c>
      <c r="K171" s="28">
        <v>97</v>
      </c>
      <c r="L171" s="28">
        <v>1</v>
      </c>
    </row>
    <row r="172" spans="1:12" ht="14.25" customHeight="1" x14ac:dyDescent="0.2">
      <c r="A172" s="28">
        <v>171</v>
      </c>
      <c r="B172" s="28" t="s">
        <v>440</v>
      </c>
      <c r="C172" s="28" t="s">
        <v>436</v>
      </c>
      <c r="D172" s="28" t="s">
        <v>436</v>
      </c>
      <c r="E172" s="28" t="s">
        <v>211</v>
      </c>
      <c r="F172" s="28" t="s">
        <v>348</v>
      </c>
      <c r="G172" s="28"/>
      <c r="H172" s="28">
        <v>7324125</v>
      </c>
      <c r="I172" s="28">
        <v>223216</v>
      </c>
      <c r="J172" s="28">
        <v>0.99</v>
      </c>
      <c r="K172" s="28">
        <v>18</v>
      </c>
      <c r="L172" s="28">
        <v>2</v>
      </c>
    </row>
    <row r="173" spans="1:12" ht="14.25" customHeight="1" x14ac:dyDescent="0.2">
      <c r="A173" s="28">
        <v>172</v>
      </c>
      <c r="B173" s="28" t="s">
        <v>441</v>
      </c>
      <c r="C173" s="28" t="s">
        <v>436</v>
      </c>
      <c r="D173" s="28" t="s">
        <v>436</v>
      </c>
      <c r="E173" s="28" t="s">
        <v>211</v>
      </c>
      <c r="F173" s="28" t="s">
        <v>348</v>
      </c>
      <c r="G173" s="28"/>
      <c r="H173" s="28">
        <v>387360</v>
      </c>
      <c r="I173" s="28">
        <v>11650</v>
      </c>
      <c r="J173" s="28">
        <v>0.99</v>
      </c>
      <c r="K173" s="28">
        <v>36</v>
      </c>
      <c r="L173" s="28">
        <v>0</v>
      </c>
    </row>
    <row r="174" spans="1:12" ht="14.25" customHeight="1" x14ac:dyDescent="0.2">
      <c r="A174" s="28">
        <v>173</v>
      </c>
      <c r="B174" s="28" t="s">
        <v>442</v>
      </c>
      <c r="C174" s="28" t="s">
        <v>436</v>
      </c>
      <c r="D174" s="28" t="s">
        <v>436</v>
      </c>
      <c r="E174" s="28" t="s">
        <v>211</v>
      </c>
      <c r="F174" s="28" t="s">
        <v>348</v>
      </c>
      <c r="G174" s="28"/>
      <c r="H174" s="28">
        <v>5709631</v>
      </c>
      <c r="I174" s="28">
        <v>173008</v>
      </c>
      <c r="J174" s="28">
        <v>0.99</v>
      </c>
      <c r="K174" s="28">
        <v>70</v>
      </c>
      <c r="L174" s="28">
        <v>1</v>
      </c>
    </row>
    <row r="175" spans="1:12" ht="14.25" customHeight="1" x14ac:dyDescent="0.2">
      <c r="A175" s="28">
        <v>174</v>
      </c>
      <c r="B175" s="28" t="s">
        <v>443</v>
      </c>
      <c r="C175" s="28" t="s">
        <v>436</v>
      </c>
      <c r="D175" s="28" t="s">
        <v>436</v>
      </c>
      <c r="E175" s="28" t="s">
        <v>211</v>
      </c>
      <c r="F175" s="28" t="s">
        <v>348</v>
      </c>
      <c r="G175" s="28"/>
      <c r="H175" s="28">
        <v>3067064</v>
      </c>
      <c r="I175" s="28">
        <v>95738</v>
      </c>
      <c r="J175" s="28">
        <v>0.99</v>
      </c>
      <c r="K175" s="28">
        <v>31</v>
      </c>
      <c r="L175" s="28">
        <v>0</v>
      </c>
    </row>
    <row r="176" spans="1:12" ht="14.25" customHeight="1" x14ac:dyDescent="0.2">
      <c r="A176" s="28">
        <v>175</v>
      </c>
      <c r="B176" s="28" t="s">
        <v>444</v>
      </c>
      <c r="C176" s="28" t="s">
        <v>436</v>
      </c>
      <c r="D176" s="28" t="s">
        <v>436</v>
      </c>
      <c r="E176" s="28" t="s">
        <v>211</v>
      </c>
      <c r="F176" s="28" t="s">
        <v>348</v>
      </c>
      <c r="G176" s="28"/>
      <c r="H176" s="28">
        <v>9875962</v>
      </c>
      <c r="I176" s="28">
        <v>300721</v>
      </c>
      <c r="J176" s="28">
        <v>0.99</v>
      </c>
      <c r="K176" s="28">
        <v>65</v>
      </c>
      <c r="L176" s="28">
        <v>2</v>
      </c>
    </row>
    <row r="177" spans="1:12" ht="14.25" customHeight="1" x14ac:dyDescent="0.2">
      <c r="A177" s="28">
        <v>176</v>
      </c>
      <c r="B177" s="28" t="s">
        <v>445</v>
      </c>
      <c r="C177" s="28" t="s">
        <v>436</v>
      </c>
      <c r="D177" s="28" t="s">
        <v>436</v>
      </c>
      <c r="E177" s="28" t="s">
        <v>211</v>
      </c>
      <c r="F177" s="28" t="s">
        <v>348</v>
      </c>
      <c r="G177" s="28"/>
      <c r="H177" s="28">
        <v>12843821</v>
      </c>
      <c r="I177" s="28">
        <v>392254</v>
      </c>
      <c r="J177" s="28">
        <v>0.99</v>
      </c>
      <c r="K177" s="28">
        <v>89</v>
      </c>
      <c r="L177" s="28">
        <v>0</v>
      </c>
    </row>
    <row r="178" spans="1:12" ht="14.25" customHeight="1" x14ac:dyDescent="0.2">
      <c r="A178" s="28">
        <v>177</v>
      </c>
      <c r="B178" s="28" t="s">
        <v>446</v>
      </c>
      <c r="C178" s="28" t="s">
        <v>436</v>
      </c>
      <c r="D178" s="28" t="s">
        <v>436</v>
      </c>
      <c r="E178" s="28" t="s">
        <v>211</v>
      </c>
      <c r="F178" s="28" t="s">
        <v>348</v>
      </c>
      <c r="G178" s="28"/>
      <c r="H178" s="28">
        <v>11443471</v>
      </c>
      <c r="I178" s="28">
        <v>350171</v>
      </c>
      <c r="J178" s="28">
        <v>0.99</v>
      </c>
      <c r="K178" s="28">
        <v>50</v>
      </c>
      <c r="L178" s="28">
        <v>0</v>
      </c>
    </row>
    <row r="179" spans="1:12" ht="14.25" customHeight="1" x14ac:dyDescent="0.2">
      <c r="A179" s="28">
        <v>178</v>
      </c>
      <c r="B179" s="28" t="s">
        <v>447</v>
      </c>
      <c r="C179" s="28" t="s">
        <v>436</v>
      </c>
      <c r="D179" s="28" t="s">
        <v>436</v>
      </c>
      <c r="E179" s="28" t="s">
        <v>211</v>
      </c>
      <c r="F179" s="28" t="s">
        <v>348</v>
      </c>
      <c r="G179" s="28"/>
      <c r="H179" s="28">
        <v>224313</v>
      </c>
      <c r="I179" s="28">
        <v>6635</v>
      </c>
      <c r="J179" s="28">
        <v>0.99</v>
      </c>
      <c r="K179" s="28">
        <v>31</v>
      </c>
      <c r="L179" s="28">
        <v>0</v>
      </c>
    </row>
    <row r="180" spans="1:12" ht="14.25" customHeight="1" x14ac:dyDescent="0.2">
      <c r="A180" s="28">
        <v>179</v>
      </c>
      <c r="B180" s="28" t="s">
        <v>448</v>
      </c>
      <c r="C180" s="28" t="s">
        <v>436</v>
      </c>
      <c r="D180" s="28" t="s">
        <v>436</v>
      </c>
      <c r="E180" s="28" t="s">
        <v>211</v>
      </c>
      <c r="F180" s="28" t="s">
        <v>348</v>
      </c>
      <c r="G180" s="28"/>
      <c r="H180" s="28">
        <v>7828873</v>
      </c>
      <c r="I180" s="28">
        <v>239020</v>
      </c>
      <c r="J180" s="28">
        <v>0.99</v>
      </c>
      <c r="K180" s="28">
        <v>39</v>
      </c>
      <c r="L180" s="28">
        <v>1</v>
      </c>
    </row>
    <row r="181" spans="1:12" ht="14.25" customHeight="1" x14ac:dyDescent="0.2">
      <c r="A181" s="28">
        <v>180</v>
      </c>
      <c r="B181" s="28" t="s">
        <v>449</v>
      </c>
      <c r="C181" s="28" t="s">
        <v>436</v>
      </c>
      <c r="D181" s="28" t="s">
        <v>436</v>
      </c>
      <c r="E181" s="28" t="s">
        <v>211</v>
      </c>
      <c r="F181" s="28" t="s">
        <v>348</v>
      </c>
      <c r="G181" s="28"/>
      <c r="H181" s="28">
        <v>5463690</v>
      </c>
      <c r="I181" s="28">
        <v>166426</v>
      </c>
      <c r="J181" s="28">
        <v>0.99</v>
      </c>
      <c r="K181" s="28">
        <v>83</v>
      </c>
      <c r="L181" s="28">
        <v>1</v>
      </c>
    </row>
    <row r="182" spans="1:12" ht="14.25" customHeight="1" x14ac:dyDescent="0.2">
      <c r="A182" s="28">
        <v>181</v>
      </c>
      <c r="B182" s="28" t="s">
        <v>450</v>
      </c>
      <c r="C182" s="28" t="s">
        <v>436</v>
      </c>
      <c r="D182" s="28" t="s">
        <v>436</v>
      </c>
      <c r="E182" s="28" t="s">
        <v>211</v>
      </c>
      <c r="F182" s="28" t="s">
        <v>348</v>
      </c>
      <c r="G182" s="28"/>
      <c r="H182" s="28">
        <v>12122946</v>
      </c>
      <c r="I182" s="28">
        <v>371539</v>
      </c>
      <c r="J182" s="28">
        <v>0.99</v>
      </c>
      <c r="K182" s="28">
        <v>36</v>
      </c>
      <c r="L182" s="28">
        <v>0</v>
      </c>
    </row>
    <row r="183" spans="1:12" ht="14.25" customHeight="1" x14ac:dyDescent="0.2">
      <c r="A183" s="28">
        <v>182</v>
      </c>
      <c r="B183" s="28" t="s">
        <v>451</v>
      </c>
      <c r="C183" s="28" t="s">
        <v>436</v>
      </c>
      <c r="D183" s="28" t="s">
        <v>436</v>
      </c>
      <c r="E183" s="28" t="s">
        <v>211</v>
      </c>
      <c r="F183" s="28" t="s">
        <v>348</v>
      </c>
      <c r="G183" s="28"/>
      <c r="H183" s="28">
        <v>9337917</v>
      </c>
      <c r="I183" s="28">
        <v>281234</v>
      </c>
      <c r="J183" s="28">
        <v>0.99</v>
      </c>
      <c r="K183" s="28">
        <v>52</v>
      </c>
      <c r="L183" s="28">
        <v>0</v>
      </c>
    </row>
    <row r="184" spans="1:12" ht="14.25" customHeight="1" x14ac:dyDescent="0.2">
      <c r="A184" s="28">
        <v>183</v>
      </c>
      <c r="B184" s="28" t="s">
        <v>452</v>
      </c>
      <c r="C184" s="28" t="s">
        <v>453</v>
      </c>
      <c r="D184" s="28" t="s">
        <v>454</v>
      </c>
      <c r="E184" s="28" t="s">
        <v>211</v>
      </c>
      <c r="F184" s="28" t="s">
        <v>322</v>
      </c>
      <c r="G184" s="28" t="s">
        <v>455</v>
      </c>
      <c r="H184" s="28">
        <v>9218499</v>
      </c>
      <c r="I184" s="28">
        <v>283167</v>
      </c>
      <c r="J184" s="28">
        <v>0.99</v>
      </c>
      <c r="K184" s="28">
        <v>78</v>
      </c>
      <c r="L184" s="28">
        <v>1</v>
      </c>
    </row>
    <row r="185" spans="1:12" ht="14.25" customHeight="1" x14ac:dyDescent="0.2">
      <c r="A185" s="28">
        <v>184</v>
      </c>
      <c r="B185" s="28" t="s">
        <v>453</v>
      </c>
      <c r="C185" s="28" t="s">
        <v>453</v>
      </c>
      <c r="D185" s="28" t="s">
        <v>454</v>
      </c>
      <c r="E185" s="28" t="s">
        <v>211</v>
      </c>
      <c r="F185" s="28" t="s">
        <v>322</v>
      </c>
      <c r="G185" s="28" t="s">
        <v>455</v>
      </c>
      <c r="H185" s="28">
        <v>8022764</v>
      </c>
      <c r="I185" s="28">
        <v>246177</v>
      </c>
      <c r="J185" s="28">
        <v>0.99</v>
      </c>
      <c r="K185" s="28">
        <v>16</v>
      </c>
      <c r="L185" s="28">
        <v>2</v>
      </c>
    </row>
    <row r="186" spans="1:12" ht="14.25" customHeight="1" x14ac:dyDescent="0.2">
      <c r="A186" s="28">
        <v>185</v>
      </c>
      <c r="B186" s="28" t="s">
        <v>456</v>
      </c>
      <c r="C186" s="28" t="s">
        <v>453</v>
      </c>
      <c r="D186" s="28" t="s">
        <v>454</v>
      </c>
      <c r="E186" s="28" t="s">
        <v>211</v>
      </c>
      <c r="F186" s="28" t="s">
        <v>322</v>
      </c>
      <c r="G186" s="28" t="s">
        <v>455</v>
      </c>
      <c r="H186" s="28">
        <v>9435693</v>
      </c>
      <c r="I186" s="28">
        <v>285257</v>
      </c>
      <c r="J186" s="28">
        <v>0.99</v>
      </c>
      <c r="K186" s="28">
        <v>54</v>
      </c>
      <c r="L186" s="28">
        <v>1</v>
      </c>
    </row>
    <row r="187" spans="1:12" ht="14.25" customHeight="1" x14ac:dyDescent="0.2">
      <c r="A187" s="28">
        <v>186</v>
      </c>
      <c r="B187" s="28" t="s">
        <v>457</v>
      </c>
      <c r="C187" s="28" t="s">
        <v>453</v>
      </c>
      <c r="D187" s="28" t="s">
        <v>454</v>
      </c>
      <c r="E187" s="28" t="s">
        <v>211</v>
      </c>
      <c r="F187" s="28" t="s">
        <v>322</v>
      </c>
      <c r="G187" s="28" t="s">
        <v>458</v>
      </c>
      <c r="H187" s="28">
        <v>8854240</v>
      </c>
      <c r="I187" s="28">
        <v>269557</v>
      </c>
      <c r="J187" s="28">
        <v>0.99</v>
      </c>
      <c r="K187" s="28">
        <v>37</v>
      </c>
      <c r="L187" s="28">
        <v>1</v>
      </c>
    </row>
    <row r="188" spans="1:12" ht="14.25" customHeight="1" x14ac:dyDescent="0.2">
      <c r="A188" s="28">
        <v>187</v>
      </c>
      <c r="B188" s="28" t="s">
        <v>459</v>
      </c>
      <c r="C188" s="28" t="s">
        <v>453</v>
      </c>
      <c r="D188" s="28" t="s">
        <v>454</v>
      </c>
      <c r="E188" s="28" t="s">
        <v>211</v>
      </c>
      <c r="F188" s="28" t="s">
        <v>322</v>
      </c>
      <c r="G188" s="28" t="s">
        <v>460</v>
      </c>
      <c r="H188" s="28">
        <v>16034404</v>
      </c>
      <c r="I188" s="28">
        <v>494393</v>
      </c>
      <c r="J188" s="28">
        <v>0.99</v>
      </c>
      <c r="K188" s="28">
        <v>53</v>
      </c>
      <c r="L188" s="28">
        <v>1</v>
      </c>
    </row>
    <row r="189" spans="1:12" ht="14.25" customHeight="1" x14ac:dyDescent="0.2">
      <c r="A189" s="28">
        <v>188</v>
      </c>
      <c r="B189" s="28" t="s">
        <v>461</v>
      </c>
      <c r="C189" s="28" t="s">
        <v>453</v>
      </c>
      <c r="D189" s="28" t="s">
        <v>454</v>
      </c>
      <c r="E189" s="28" t="s">
        <v>211</v>
      </c>
      <c r="F189" s="28" t="s">
        <v>322</v>
      </c>
      <c r="G189" s="28" t="s">
        <v>455</v>
      </c>
      <c r="H189" s="28">
        <v>8627004</v>
      </c>
      <c r="I189" s="28">
        <v>265351</v>
      </c>
      <c r="J189" s="28">
        <v>0.99</v>
      </c>
      <c r="K189" s="28">
        <v>15</v>
      </c>
      <c r="L189" s="28">
        <v>1</v>
      </c>
    </row>
    <row r="190" spans="1:12" ht="14.25" customHeight="1" x14ac:dyDescent="0.2">
      <c r="A190" s="28">
        <v>189</v>
      </c>
      <c r="B190" s="28" t="s">
        <v>462</v>
      </c>
      <c r="C190" s="28" t="s">
        <v>453</v>
      </c>
      <c r="D190" s="28" t="s">
        <v>454</v>
      </c>
      <c r="E190" s="28" t="s">
        <v>211</v>
      </c>
      <c r="F190" s="28" t="s">
        <v>322</v>
      </c>
      <c r="G190" s="28" t="s">
        <v>455</v>
      </c>
      <c r="H190" s="28">
        <v>13194463</v>
      </c>
      <c r="I190" s="28">
        <v>402390</v>
      </c>
      <c r="J190" s="28">
        <v>0.99</v>
      </c>
      <c r="K190" s="28">
        <v>48</v>
      </c>
      <c r="L190" s="28">
        <v>1</v>
      </c>
    </row>
    <row r="191" spans="1:12" ht="14.25" customHeight="1" x14ac:dyDescent="0.2">
      <c r="A191" s="28">
        <v>190</v>
      </c>
      <c r="B191" s="28" t="s">
        <v>463</v>
      </c>
      <c r="C191" s="28" t="s">
        <v>453</v>
      </c>
      <c r="D191" s="28" t="s">
        <v>454</v>
      </c>
      <c r="E191" s="28" t="s">
        <v>211</v>
      </c>
      <c r="F191" s="28" t="s">
        <v>322</v>
      </c>
      <c r="G191" s="28" t="s">
        <v>455</v>
      </c>
      <c r="H191" s="28">
        <v>11820908</v>
      </c>
      <c r="I191" s="28">
        <v>359131</v>
      </c>
      <c r="J191" s="28">
        <v>0.99</v>
      </c>
      <c r="K191" s="28">
        <v>33</v>
      </c>
      <c r="L191" s="28">
        <v>1</v>
      </c>
    </row>
    <row r="192" spans="1:12" ht="14.25" customHeight="1" x14ac:dyDescent="0.2">
      <c r="A192" s="28">
        <v>191</v>
      </c>
      <c r="B192" s="28" t="s">
        <v>464</v>
      </c>
      <c r="C192" s="28" t="s">
        <v>453</v>
      </c>
      <c r="D192" s="28" t="s">
        <v>454</v>
      </c>
      <c r="E192" s="28" t="s">
        <v>211</v>
      </c>
      <c r="F192" s="28" t="s">
        <v>322</v>
      </c>
      <c r="G192" s="28" t="s">
        <v>458</v>
      </c>
      <c r="H192" s="28">
        <v>11138147</v>
      </c>
      <c r="I192" s="28">
        <v>341655</v>
      </c>
      <c r="J192" s="28">
        <v>0.99</v>
      </c>
      <c r="K192" s="28">
        <v>75</v>
      </c>
      <c r="L192" s="28">
        <v>1</v>
      </c>
    </row>
    <row r="193" spans="1:12" ht="14.25" customHeight="1" x14ac:dyDescent="0.2">
      <c r="A193" s="28">
        <v>192</v>
      </c>
      <c r="B193" s="28" t="s">
        <v>465</v>
      </c>
      <c r="C193" s="28" t="s">
        <v>453</v>
      </c>
      <c r="D193" s="28" t="s">
        <v>454</v>
      </c>
      <c r="E193" s="28" t="s">
        <v>211</v>
      </c>
      <c r="F193" s="28" t="s">
        <v>322</v>
      </c>
      <c r="G193" s="28" t="s">
        <v>455</v>
      </c>
      <c r="H193" s="28">
        <v>16545657</v>
      </c>
      <c r="I193" s="28">
        <v>509413</v>
      </c>
      <c r="J193" s="28">
        <v>0.99</v>
      </c>
      <c r="K193" s="28">
        <v>0</v>
      </c>
      <c r="L193" s="28">
        <v>1</v>
      </c>
    </row>
    <row r="194" spans="1:12" ht="14.25" customHeight="1" x14ac:dyDescent="0.2">
      <c r="A194" s="28">
        <v>193</v>
      </c>
      <c r="B194" s="28" t="s">
        <v>466</v>
      </c>
      <c r="C194" s="28" t="s">
        <v>453</v>
      </c>
      <c r="D194" s="28" t="s">
        <v>454</v>
      </c>
      <c r="E194" s="28" t="s">
        <v>211</v>
      </c>
      <c r="F194" s="28" t="s">
        <v>322</v>
      </c>
      <c r="G194" s="28" t="s">
        <v>455</v>
      </c>
      <c r="H194" s="28">
        <v>7802095</v>
      </c>
      <c r="I194" s="28">
        <v>237531</v>
      </c>
      <c r="J194" s="28">
        <v>0.99</v>
      </c>
      <c r="K194" s="28">
        <v>50</v>
      </c>
      <c r="L194" s="28">
        <v>1</v>
      </c>
    </row>
    <row r="195" spans="1:12" ht="14.25" customHeight="1" x14ac:dyDescent="0.2">
      <c r="A195" s="28">
        <v>194</v>
      </c>
      <c r="B195" s="28" t="s">
        <v>467</v>
      </c>
      <c r="C195" s="28" t="s">
        <v>468</v>
      </c>
      <c r="D195" s="28" t="s">
        <v>469</v>
      </c>
      <c r="E195" s="28" t="s">
        <v>211</v>
      </c>
      <c r="F195" s="28" t="s">
        <v>470</v>
      </c>
      <c r="G195" s="28" t="s">
        <v>471</v>
      </c>
      <c r="H195" s="28">
        <v>4604995</v>
      </c>
      <c r="I195" s="28">
        <v>140434</v>
      </c>
      <c r="J195" s="28">
        <v>0.99</v>
      </c>
      <c r="K195" s="28">
        <v>15</v>
      </c>
      <c r="L195" s="28">
        <v>1</v>
      </c>
    </row>
    <row r="196" spans="1:12" ht="14.25" customHeight="1" x14ac:dyDescent="0.2">
      <c r="A196" s="28">
        <v>195</v>
      </c>
      <c r="B196" s="28" t="s">
        <v>472</v>
      </c>
      <c r="C196" s="28" t="s">
        <v>468</v>
      </c>
      <c r="D196" s="28" t="s">
        <v>469</v>
      </c>
      <c r="E196" s="28" t="s">
        <v>211</v>
      </c>
      <c r="F196" s="28" t="s">
        <v>470</v>
      </c>
      <c r="G196" s="28" t="s">
        <v>473</v>
      </c>
      <c r="H196" s="28">
        <v>5716994</v>
      </c>
      <c r="I196" s="28">
        <v>175386</v>
      </c>
      <c r="J196" s="28">
        <v>0.99</v>
      </c>
      <c r="K196" s="28">
        <v>85</v>
      </c>
      <c r="L196" s="28">
        <v>1</v>
      </c>
    </row>
    <row r="197" spans="1:12" ht="14.25" customHeight="1" x14ac:dyDescent="0.2">
      <c r="A197" s="28">
        <v>196</v>
      </c>
      <c r="B197" s="28" t="s">
        <v>474</v>
      </c>
      <c r="C197" s="28" t="s">
        <v>468</v>
      </c>
      <c r="D197" s="28" t="s">
        <v>469</v>
      </c>
      <c r="E197" s="28" t="s">
        <v>211</v>
      </c>
      <c r="F197" s="28" t="s">
        <v>470</v>
      </c>
      <c r="G197" s="28" t="s">
        <v>469</v>
      </c>
      <c r="H197" s="28">
        <v>14184984</v>
      </c>
      <c r="I197" s="28">
        <v>433397</v>
      </c>
      <c r="J197" s="28">
        <v>0.99</v>
      </c>
      <c r="K197" s="28">
        <v>5</v>
      </c>
      <c r="L197" s="28">
        <v>1</v>
      </c>
    </row>
    <row r="198" spans="1:12" ht="14.25" customHeight="1" x14ac:dyDescent="0.2">
      <c r="A198" s="28">
        <v>197</v>
      </c>
      <c r="B198" s="28" t="s">
        <v>475</v>
      </c>
      <c r="C198" s="28" t="s">
        <v>468</v>
      </c>
      <c r="D198" s="28" t="s">
        <v>469</v>
      </c>
      <c r="E198" s="28" t="s">
        <v>211</v>
      </c>
      <c r="F198" s="28" t="s">
        <v>470</v>
      </c>
      <c r="G198" s="28" t="s">
        <v>473</v>
      </c>
      <c r="H198" s="28">
        <v>7848282</v>
      </c>
      <c r="I198" s="28">
        <v>237662</v>
      </c>
      <c r="J198" s="28">
        <v>0.99</v>
      </c>
      <c r="K198" s="28">
        <v>95</v>
      </c>
      <c r="L198" s="28">
        <v>0</v>
      </c>
    </row>
    <row r="199" spans="1:12" ht="14.25" customHeight="1" x14ac:dyDescent="0.2">
      <c r="A199" s="28">
        <v>198</v>
      </c>
      <c r="B199" s="28" t="s">
        <v>476</v>
      </c>
      <c r="C199" s="28" t="s">
        <v>468</v>
      </c>
      <c r="D199" s="28" t="s">
        <v>469</v>
      </c>
      <c r="E199" s="28" t="s">
        <v>211</v>
      </c>
      <c r="F199" s="28" t="s">
        <v>470</v>
      </c>
      <c r="G199" s="28" t="s">
        <v>477</v>
      </c>
      <c r="H199" s="28">
        <v>7685363</v>
      </c>
      <c r="I199" s="28">
        <v>235311</v>
      </c>
      <c r="J199" s="28">
        <v>0.99</v>
      </c>
      <c r="K199" s="28">
        <v>24</v>
      </c>
      <c r="L199" s="28">
        <v>2</v>
      </c>
    </row>
    <row r="200" spans="1:12" ht="14.25" customHeight="1" x14ac:dyDescent="0.2">
      <c r="A200" s="28">
        <v>199</v>
      </c>
      <c r="B200" s="28" t="s">
        <v>478</v>
      </c>
      <c r="C200" s="28" t="s">
        <v>468</v>
      </c>
      <c r="D200" s="28" t="s">
        <v>469</v>
      </c>
      <c r="E200" s="28" t="s">
        <v>211</v>
      </c>
      <c r="F200" s="28" t="s">
        <v>470</v>
      </c>
      <c r="G200" s="28" t="s">
        <v>469</v>
      </c>
      <c r="H200" s="28">
        <v>6859518</v>
      </c>
      <c r="I200" s="28">
        <v>204721</v>
      </c>
      <c r="J200" s="28">
        <v>0.99</v>
      </c>
      <c r="K200" s="28">
        <v>49</v>
      </c>
      <c r="L200" s="28">
        <v>1</v>
      </c>
    </row>
    <row r="201" spans="1:12" ht="14.25" customHeight="1" x14ac:dyDescent="0.2">
      <c r="A201" s="28">
        <v>200</v>
      </c>
      <c r="B201" s="28" t="s">
        <v>479</v>
      </c>
      <c r="C201" s="28" t="s">
        <v>468</v>
      </c>
      <c r="D201" s="28" t="s">
        <v>469</v>
      </c>
      <c r="E201" s="28" t="s">
        <v>211</v>
      </c>
      <c r="F201" s="28" t="s">
        <v>470</v>
      </c>
      <c r="G201" s="28" t="s">
        <v>469</v>
      </c>
      <c r="H201" s="28">
        <v>4456321</v>
      </c>
      <c r="I201" s="28">
        <v>136803</v>
      </c>
      <c r="J201" s="28">
        <v>0.99</v>
      </c>
      <c r="K201" s="28">
        <v>55</v>
      </c>
      <c r="L201" s="28">
        <v>0</v>
      </c>
    </row>
    <row r="202" spans="1:12" ht="14.25" customHeight="1" x14ac:dyDescent="0.2">
      <c r="A202" s="28">
        <v>201</v>
      </c>
      <c r="B202" s="28" t="s">
        <v>480</v>
      </c>
      <c r="C202" s="28" t="s">
        <v>468</v>
      </c>
      <c r="D202" s="28" t="s">
        <v>469</v>
      </c>
      <c r="E202" s="28" t="s">
        <v>211</v>
      </c>
      <c r="F202" s="28" t="s">
        <v>470</v>
      </c>
      <c r="G202" s="28" t="s">
        <v>481</v>
      </c>
      <c r="H202" s="28">
        <v>5487056</v>
      </c>
      <c r="I202" s="28">
        <v>166060</v>
      </c>
      <c r="J202" s="28">
        <v>0.99</v>
      </c>
      <c r="K202" s="28">
        <v>56</v>
      </c>
      <c r="L202" s="28">
        <v>0</v>
      </c>
    </row>
    <row r="203" spans="1:12" ht="14.25" customHeight="1" x14ac:dyDescent="0.2">
      <c r="A203" s="28">
        <v>202</v>
      </c>
      <c r="B203" s="28" t="s">
        <v>482</v>
      </c>
      <c r="C203" s="28" t="s">
        <v>468</v>
      </c>
      <c r="D203" s="28" t="s">
        <v>469</v>
      </c>
      <c r="E203" s="28" t="s">
        <v>211</v>
      </c>
      <c r="F203" s="28" t="s">
        <v>470</v>
      </c>
      <c r="G203" s="28" t="s">
        <v>483</v>
      </c>
      <c r="H203" s="28">
        <v>6022698</v>
      </c>
      <c r="I203" s="28">
        <v>182491</v>
      </c>
      <c r="J203" s="28">
        <v>0.99</v>
      </c>
      <c r="K203" s="28">
        <v>41</v>
      </c>
      <c r="L203" s="28">
        <v>1</v>
      </c>
    </row>
    <row r="204" spans="1:12" ht="14.25" customHeight="1" x14ac:dyDescent="0.2">
      <c r="A204" s="28">
        <v>203</v>
      </c>
      <c r="B204" s="28" t="s">
        <v>484</v>
      </c>
      <c r="C204" s="28" t="s">
        <v>468</v>
      </c>
      <c r="D204" s="28" t="s">
        <v>469</v>
      </c>
      <c r="E204" s="28" t="s">
        <v>211</v>
      </c>
      <c r="F204" s="28" t="s">
        <v>470</v>
      </c>
      <c r="G204" s="28" t="s">
        <v>473</v>
      </c>
      <c r="H204" s="28">
        <v>4459946</v>
      </c>
      <c r="I204" s="28">
        <v>135053</v>
      </c>
      <c r="J204" s="28">
        <v>0.99</v>
      </c>
      <c r="K204" s="28">
        <v>24</v>
      </c>
      <c r="L204" s="28">
        <v>0</v>
      </c>
    </row>
    <row r="205" spans="1:12" ht="14.25" customHeight="1" x14ac:dyDescent="0.2">
      <c r="A205" s="28">
        <v>204</v>
      </c>
      <c r="B205" s="28" t="s">
        <v>485</v>
      </c>
      <c r="C205" s="28" t="s">
        <v>468</v>
      </c>
      <c r="D205" s="28" t="s">
        <v>469</v>
      </c>
      <c r="E205" s="28" t="s">
        <v>211</v>
      </c>
      <c r="F205" s="28" t="s">
        <v>470</v>
      </c>
      <c r="G205" s="28" t="s">
        <v>486</v>
      </c>
      <c r="H205" s="28">
        <v>19161377</v>
      </c>
      <c r="I205" s="28">
        <v>589531</v>
      </c>
      <c r="J205" s="28">
        <v>0.99</v>
      </c>
      <c r="K205" s="28">
        <v>65</v>
      </c>
      <c r="L205" s="28">
        <v>0</v>
      </c>
    </row>
    <row r="206" spans="1:12" ht="14.25" customHeight="1" x14ac:dyDescent="0.2">
      <c r="A206" s="28">
        <v>205</v>
      </c>
      <c r="B206" s="28" t="s">
        <v>487</v>
      </c>
      <c r="C206" s="28" t="s">
        <v>488</v>
      </c>
      <c r="D206" s="28" t="s">
        <v>489</v>
      </c>
      <c r="E206" s="28" t="s">
        <v>211</v>
      </c>
      <c r="F206" s="28" t="s">
        <v>490</v>
      </c>
      <c r="G206" s="28" t="s">
        <v>491</v>
      </c>
      <c r="H206" s="28">
        <v>5842196</v>
      </c>
      <c r="I206" s="28">
        <v>177397</v>
      </c>
      <c r="J206" s="28">
        <v>0.99</v>
      </c>
      <c r="K206" s="28">
        <v>80</v>
      </c>
      <c r="L206" s="28">
        <v>1</v>
      </c>
    </row>
    <row r="207" spans="1:12" ht="14.25" customHeight="1" x14ac:dyDescent="0.2">
      <c r="A207" s="28">
        <v>206</v>
      </c>
      <c r="B207" s="28" t="s">
        <v>488</v>
      </c>
      <c r="C207" s="28" t="s">
        <v>488</v>
      </c>
      <c r="D207" s="28" t="s">
        <v>489</v>
      </c>
      <c r="E207" s="28" t="s">
        <v>211</v>
      </c>
      <c r="F207" s="28" t="s">
        <v>490</v>
      </c>
      <c r="G207" s="28" t="s">
        <v>492</v>
      </c>
      <c r="H207" s="28">
        <v>3225364</v>
      </c>
      <c r="I207" s="28">
        <v>99369</v>
      </c>
      <c r="J207" s="28">
        <v>0.99</v>
      </c>
      <c r="K207" s="28">
        <v>71</v>
      </c>
      <c r="L207" s="28">
        <v>1</v>
      </c>
    </row>
    <row r="208" spans="1:12" ht="14.25" customHeight="1" x14ac:dyDescent="0.2">
      <c r="A208" s="28">
        <v>207</v>
      </c>
      <c r="B208" s="28" t="s">
        <v>493</v>
      </c>
      <c r="C208" s="28" t="s">
        <v>488</v>
      </c>
      <c r="D208" s="28" t="s">
        <v>489</v>
      </c>
      <c r="E208" s="28" t="s">
        <v>211</v>
      </c>
      <c r="F208" s="28" t="s">
        <v>490</v>
      </c>
      <c r="G208" s="28" t="s">
        <v>494</v>
      </c>
      <c r="H208" s="28">
        <v>4865597</v>
      </c>
      <c r="I208" s="28">
        <v>148793</v>
      </c>
      <c r="J208" s="28">
        <v>0.99</v>
      </c>
      <c r="K208" s="28">
        <v>9</v>
      </c>
      <c r="L208" s="28">
        <v>2</v>
      </c>
    </row>
    <row r="209" spans="1:12" ht="14.25" customHeight="1" x14ac:dyDescent="0.2">
      <c r="A209" s="28">
        <v>208</v>
      </c>
      <c r="B209" s="28" t="s">
        <v>495</v>
      </c>
      <c r="C209" s="28" t="s">
        <v>488</v>
      </c>
      <c r="D209" s="28" t="s">
        <v>489</v>
      </c>
      <c r="E209" s="28" t="s">
        <v>211</v>
      </c>
      <c r="F209" s="28" t="s">
        <v>490</v>
      </c>
      <c r="G209" s="28" t="s">
        <v>489</v>
      </c>
      <c r="H209" s="28">
        <v>15889054</v>
      </c>
      <c r="I209" s="28">
        <v>482429</v>
      </c>
      <c r="J209" s="28">
        <v>0.99</v>
      </c>
      <c r="K209" s="28">
        <v>86</v>
      </c>
      <c r="L209" s="28">
        <v>1</v>
      </c>
    </row>
    <row r="210" spans="1:12" ht="14.25" customHeight="1" x14ac:dyDescent="0.2">
      <c r="A210" s="28">
        <v>209</v>
      </c>
      <c r="B210" s="28" t="s">
        <v>496</v>
      </c>
      <c r="C210" s="28" t="s">
        <v>488</v>
      </c>
      <c r="D210" s="28" t="s">
        <v>489</v>
      </c>
      <c r="E210" s="28" t="s">
        <v>211</v>
      </c>
      <c r="F210" s="28" t="s">
        <v>490</v>
      </c>
      <c r="G210" s="28" t="s">
        <v>489</v>
      </c>
      <c r="H210" s="28">
        <v>7382703</v>
      </c>
      <c r="I210" s="28">
        <v>221936</v>
      </c>
      <c r="J210" s="28">
        <v>0.99</v>
      </c>
      <c r="K210" s="28">
        <v>30</v>
      </c>
      <c r="L210" s="28">
        <v>1</v>
      </c>
    </row>
    <row r="211" spans="1:12" ht="14.25" customHeight="1" x14ac:dyDescent="0.2">
      <c r="A211" s="28">
        <v>210</v>
      </c>
      <c r="B211" s="28" t="s">
        <v>497</v>
      </c>
      <c r="C211" s="28" t="s">
        <v>488</v>
      </c>
      <c r="D211" s="28" t="s">
        <v>489</v>
      </c>
      <c r="E211" s="28" t="s">
        <v>211</v>
      </c>
      <c r="F211" s="28" t="s">
        <v>490</v>
      </c>
      <c r="G211" s="28" t="s">
        <v>489</v>
      </c>
      <c r="H211" s="28">
        <v>2752161</v>
      </c>
      <c r="I211" s="28">
        <v>84088</v>
      </c>
      <c r="J211" s="28">
        <v>0.99</v>
      </c>
      <c r="K211" s="28">
        <v>36</v>
      </c>
      <c r="L211" s="28">
        <v>1</v>
      </c>
    </row>
    <row r="212" spans="1:12" ht="14.25" customHeight="1" x14ac:dyDescent="0.2">
      <c r="A212" s="28">
        <v>211</v>
      </c>
      <c r="B212" s="28" t="s">
        <v>498</v>
      </c>
      <c r="C212" s="28" t="s">
        <v>488</v>
      </c>
      <c r="D212" s="28" t="s">
        <v>489</v>
      </c>
      <c r="E212" s="28" t="s">
        <v>211</v>
      </c>
      <c r="F212" s="28" t="s">
        <v>490</v>
      </c>
      <c r="G212" s="28" t="s">
        <v>499</v>
      </c>
      <c r="H212" s="28">
        <v>4333651</v>
      </c>
      <c r="I212" s="28">
        <v>133172</v>
      </c>
      <c r="J212" s="28">
        <v>0.99</v>
      </c>
      <c r="K212" s="28">
        <v>13</v>
      </c>
      <c r="L212" s="28">
        <v>2</v>
      </c>
    </row>
    <row r="213" spans="1:12" ht="14.25" customHeight="1" x14ac:dyDescent="0.2">
      <c r="A213" s="28">
        <v>212</v>
      </c>
      <c r="B213" s="28" t="s">
        <v>500</v>
      </c>
      <c r="C213" s="28" t="s">
        <v>488</v>
      </c>
      <c r="D213" s="28" t="s">
        <v>489</v>
      </c>
      <c r="E213" s="28" t="s">
        <v>211</v>
      </c>
      <c r="F213" s="28" t="s">
        <v>490</v>
      </c>
      <c r="G213" s="28" t="s">
        <v>499</v>
      </c>
      <c r="H213" s="28">
        <v>5065932</v>
      </c>
      <c r="I213" s="28">
        <v>156264</v>
      </c>
      <c r="J213" s="28">
        <v>0.99</v>
      </c>
      <c r="K213" s="28">
        <v>30</v>
      </c>
      <c r="L213" s="28">
        <v>0</v>
      </c>
    </row>
    <row r="214" spans="1:12" ht="14.25" customHeight="1" x14ac:dyDescent="0.2">
      <c r="A214" s="28">
        <v>213</v>
      </c>
      <c r="B214" s="28" t="s">
        <v>501</v>
      </c>
      <c r="C214" s="28" t="s">
        <v>488</v>
      </c>
      <c r="D214" s="28" t="s">
        <v>489</v>
      </c>
      <c r="E214" s="28" t="s">
        <v>211</v>
      </c>
      <c r="F214" s="28" t="s">
        <v>490</v>
      </c>
      <c r="G214" s="28" t="s">
        <v>489</v>
      </c>
      <c r="H214" s="28">
        <v>4726981</v>
      </c>
      <c r="I214" s="28">
        <v>144326</v>
      </c>
      <c r="J214" s="28">
        <v>0.99</v>
      </c>
      <c r="K214" s="28">
        <v>77</v>
      </c>
      <c r="L214" s="28">
        <v>1</v>
      </c>
    </row>
    <row r="215" spans="1:12" ht="14.25" customHeight="1" x14ac:dyDescent="0.2">
      <c r="A215" s="28">
        <v>214</v>
      </c>
      <c r="B215" s="28" t="s">
        <v>502</v>
      </c>
      <c r="C215" s="28" t="s">
        <v>488</v>
      </c>
      <c r="D215" s="28" t="s">
        <v>489</v>
      </c>
      <c r="E215" s="28" t="s">
        <v>211</v>
      </c>
      <c r="F215" s="28" t="s">
        <v>490</v>
      </c>
      <c r="G215" s="28" t="s">
        <v>503</v>
      </c>
      <c r="H215" s="28">
        <v>5924159</v>
      </c>
      <c r="I215" s="28">
        <v>181812</v>
      </c>
      <c r="J215" s="28">
        <v>0.99</v>
      </c>
      <c r="K215" s="28">
        <v>68</v>
      </c>
      <c r="L215" s="28">
        <v>1</v>
      </c>
    </row>
    <row r="216" spans="1:12" ht="14.25" customHeight="1" x14ac:dyDescent="0.2">
      <c r="A216" s="28">
        <v>215</v>
      </c>
      <c r="B216" s="28" t="s">
        <v>504</v>
      </c>
      <c r="C216" s="28" t="s">
        <v>488</v>
      </c>
      <c r="D216" s="28" t="s">
        <v>489</v>
      </c>
      <c r="E216" s="28" t="s">
        <v>211</v>
      </c>
      <c r="F216" s="28" t="s">
        <v>490</v>
      </c>
      <c r="G216" s="28" t="s">
        <v>505</v>
      </c>
      <c r="H216" s="28">
        <v>6253200</v>
      </c>
      <c r="I216" s="28">
        <v>190589</v>
      </c>
      <c r="J216" s="28">
        <v>0.99</v>
      </c>
      <c r="K216" s="28">
        <v>98</v>
      </c>
      <c r="L216" s="28">
        <v>1</v>
      </c>
    </row>
    <row r="217" spans="1:12" ht="14.25" customHeight="1" x14ac:dyDescent="0.2">
      <c r="A217" s="28">
        <v>216</v>
      </c>
      <c r="B217" s="28" t="s">
        <v>506</v>
      </c>
      <c r="C217" s="28" t="s">
        <v>488</v>
      </c>
      <c r="D217" s="28" t="s">
        <v>489</v>
      </c>
      <c r="E217" s="28" t="s">
        <v>211</v>
      </c>
      <c r="F217" s="28" t="s">
        <v>490</v>
      </c>
      <c r="G217" s="28" t="s">
        <v>489</v>
      </c>
      <c r="H217" s="28">
        <v>7217126</v>
      </c>
      <c r="I217" s="28">
        <v>223111</v>
      </c>
      <c r="J217" s="28">
        <v>0.99</v>
      </c>
      <c r="K217" s="28">
        <v>46</v>
      </c>
      <c r="L217" s="28">
        <v>1</v>
      </c>
    </row>
    <row r="218" spans="1:12" ht="14.25" customHeight="1" x14ac:dyDescent="0.2">
      <c r="A218" s="28">
        <v>217</v>
      </c>
      <c r="B218" s="28" t="s">
        <v>507</v>
      </c>
      <c r="C218" s="28" t="s">
        <v>488</v>
      </c>
      <c r="D218" s="28" t="s">
        <v>489</v>
      </c>
      <c r="E218" s="28" t="s">
        <v>211</v>
      </c>
      <c r="F218" s="28" t="s">
        <v>490</v>
      </c>
      <c r="G218" s="28" t="s">
        <v>508</v>
      </c>
      <c r="H218" s="28">
        <v>9854062</v>
      </c>
      <c r="I218" s="28">
        <v>294765</v>
      </c>
      <c r="J218" s="28">
        <v>0.99</v>
      </c>
      <c r="K218" s="28">
        <v>19</v>
      </c>
      <c r="L218" s="28">
        <v>2</v>
      </c>
    </row>
    <row r="219" spans="1:12" ht="14.25" customHeight="1" x14ac:dyDescent="0.2">
      <c r="A219" s="28">
        <v>218</v>
      </c>
      <c r="B219" s="28" t="s">
        <v>509</v>
      </c>
      <c r="C219" s="28" t="s">
        <v>488</v>
      </c>
      <c r="D219" s="28" t="s">
        <v>489</v>
      </c>
      <c r="E219" s="28" t="s">
        <v>211</v>
      </c>
      <c r="F219" s="28" t="s">
        <v>490</v>
      </c>
      <c r="G219" s="28" t="s">
        <v>510</v>
      </c>
      <c r="H219" s="28">
        <v>10003747</v>
      </c>
      <c r="I219" s="28">
        <v>299337</v>
      </c>
      <c r="J219" s="28">
        <v>0.99</v>
      </c>
      <c r="K219" s="28">
        <v>74</v>
      </c>
      <c r="L219" s="28">
        <v>1</v>
      </c>
    </row>
    <row r="220" spans="1:12" ht="14.25" customHeight="1" x14ac:dyDescent="0.2">
      <c r="A220" s="28">
        <v>219</v>
      </c>
      <c r="B220" s="28" t="s">
        <v>511</v>
      </c>
      <c r="C220" s="28" t="s">
        <v>488</v>
      </c>
      <c r="D220" s="28" t="s">
        <v>489</v>
      </c>
      <c r="E220" s="28" t="s">
        <v>211</v>
      </c>
      <c r="F220" s="28" t="s">
        <v>490</v>
      </c>
      <c r="G220" s="28" t="s">
        <v>489</v>
      </c>
      <c r="H220" s="28">
        <v>4704104</v>
      </c>
      <c r="I220" s="28">
        <v>141270</v>
      </c>
      <c r="J220" s="28">
        <v>0.99</v>
      </c>
      <c r="K220" s="28">
        <v>37</v>
      </c>
      <c r="L220" s="28">
        <v>1</v>
      </c>
    </row>
    <row r="221" spans="1:12" ht="14.25" customHeight="1" x14ac:dyDescent="0.2">
      <c r="A221" s="28">
        <v>220</v>
      </c>
      <c r="B221" s="28" t="s">
        <v>512</v>
      </c>
      <c r="C221" s="28" t="s">
        <v>488</v>
      </c>
      <c r="D221" s="28" t="s">
        <v>489</v>
      </c>
      <c r="E221" s="28" t="s">
        <v>211</v>
      </c>
      <c r="F221" s="28" t="s">
        <v>490</v>
      </c>
      <c r="G221" s="28" t="s">
        <v>489</v>
      </c>
      <c r="H221" s="28">
        <v>8507446</v>
      </c>
      <c r="I221" s="28">
        <v>251742</v>
      </c>
      <c r="J221" s="28">
        <v>0.99</v>
      </c>
      <c r="K221" s="28">
        <v>47</v>
      </c>
      <c r="L221" s="28">
        <v>0</v>
      </c>
    </row>
    <row r="222" spans="1:12" ht="14.25" customHeight="1" x14ac:dyDescent="0.2">
      <c r="A222" s="28">
        <v>221</v>
      </c>
      <c r="B222" s="28" t="s">
        <v>513</v>
      </c>
      <c r="C222" s="28" t="s">
        <v>488</v>
      </c>
      <c r="D222" s="28" t="s">
        <v>489</v>
      </c>
      <c r="E222" s="28" t="s">
        <v>211</v>
      </c>
      <c r="F222" s="28" t="s">
        <v>490</v>
      </c>
      <c r="G222" s="28" t="s">
        <v>514</v>
      </c>
      <c r="H222" s="28">
        <v>10364247</v>
      </c>
      <c r="I222" s="28">
        <v>307252</v>
      </c>
      <c r="J222" s="28">
        <v>0.99</v>
      </c>
      <c r="K222" s="28">
        <v>39</v>
      </c>
      <c r="L222" s="28">
        <v>1</v>
      </c>
    </row>
    <row r="223" spans="1:12" ht="14.25" customHeight="1" x14ac:dyDescent="0.2">
      <c r="A223" s="28">
        <v>222</v>
      </c>
      <c r="B223" s="28" t="s">
        <v>515</v>
      </c>
      <c r="C223" s="28" t="s">
        <v>488</v>
      </c>
      <c r="D223" s="28" t="s">
        <v>489</v>
      </c>
      <c r="E223" s="28" t="s">
        <v>211</v>
      </c>
      <c r="F223" s="28" t="s">
        <v>490</v>
      </c>
      <c r="G223" s="28" t="s">
        <v>516</v>
      </c>
      <c r="H223" s="28">
        <v>9411272</v>
      </c>
      <c r="I223" s="28">
        <v>281730</v>
      </c>
      <c r="J223" s="28">
        <v>0.99</v>
      </c>
      <c r="K223" s="28">
        <v>28</v>
      </c>
      <c r="L223" s="28">
        <v>1</v>
      </c>
    </row>
    <row r="224" spans="1:12" ht="14.25" customHeight="1" x14ac:dyDescent="0.2">
      <c r="A224" s="28">
        <v>223</v>
      </c>
      <c r="B224" s="28" t="s">
        <v>517</v>
      </c>
      <c r="C224" s="28" t="s">
        <v>518</v>
      </c>
      <c r="D224" s="28" t="s">
        <v>489</v>
      </c>
      <c r="E224" s="28" t="s">
        <v>211</v>
      </c>
      <c r="F224" s="28" t="s">
        <v>490</v>
      </c>
      <c r="G224" s="28"/>
      <c r="H224" s="28">
        <v>14462072</v>
      </c>
      <c r="I224" s="28">
        <v>436636</v>
      </c>
      <c r="J224" s="28">
        <v>0.99</v>
      </c>
      <c r="K224" s="28">
        <v>27</v>
      </c>
      <c r="L224" s="28">
        <v>1</v>
      </c>
    </row>
    <row r="225" spans="1:12" ht="14.25" customHeight="1" x14ac:dyDescent="0.2">
      <c r="A225" s="28">
        <v>224</v>
      </c>
      <c r="B225" s="28" t="s">
        <v>519</v>
      </c>
      <c r="C225" s="28" t="s">
        <v>518</v>
      </c>
      <c r="D225" s="28" t="s">
        <v>489</v>
      </c>
      <c r="E225" s="28" t="s">
        <v>211</v>
      </c>
      <c r="F225" s="28" t="s">
        <v>490</v>
      </c>
      <c r="G225" s="28"/>
      <c r="H225" s="28">
        <v>6455134</v>
      </c>
      <c r="I225" s="28">
        <v>195004</v>
      </c>
      <c r="J225" s="28">
        <v>0.99</v>
      </c>
      <c r="K225" s="28">
        <v>92</v>
      </c>
      <c r="L225" s="28">
        <v>0</v>
      </c>
    </row>
    <row r="226" spans="1:12" ht="14.25" customHeight="1" x14ac:dyDescent="0.2">
      <c r="A226" s="28">
        <v>225</v>
      </c>
      <c r="B226" s="28" t="s">
        <v>520</v>
      </c>
      <c r="C226" s="28" t="s">
        <v>518</v>
      </c>
      <c r="D226" s="28" t="s">
        <v>489</v>
      </c>
      <c r="E226" s="28" t="s">
        <v>211</v>
      </c>
      <c r="F226" s="28" t="s">
        <v>490</v>
      </c>
      <c r="G226" s="28"/>
      <c r="H226" s="28">
        <v>10975007</v>
      </c>
      <c r="I226" s="28">
        <v>328071</v>
      </c>
      <c r="J226" s="28">
        <v>0.99</v>
      </c>
      <c r="K226" s="28">
        <v>79</v>
      </c>
      <c r="L226" s="28">
        <v>1</v>
      </c>
    </row>
    <row r="227" spans="1:12" ht="14.25" customHeight="1" x14ac:dyDescent="0.2">
      <c r="A227" s="28">
        <v>226</v>
      </c>
      <c r="B227" s="28" t="s">
        <v>502</v>
      </c>
      <c r="C227" s="28" t="s">
        <v>521</v>
      </c>
      <c r="D227" s="28" t="s">
        <v>503</v>
      </c>
      <c r="E227" s="28" t="s">
        <v>211</v>
      </c>
      <c r="F227" s="28" t="s">
        <v>490</v>
      </c>
      <c r="G227" s="28"/>
      <c r="H227" s="28">
        <v>5375395</v>
      </c>
      <c r="I227" s="28">
        <v>163056</v>
      </c>
      <c r="J227" s="28">
        <v>0.99</v>
      </c>
      <c r="K227" s="28">
        <v>28</v>
      </c>
      <c r="L227" s="28">
        <v>0</v>
      </c>
    </row>
    <row r="228" spans="1:12" ht="14.25" customHeight="1" x14ac:dyDescent="0.2">
      <c r="A228" s="28">
        <v>227</v>
      </c>
      <c r="B228" s="28" t="s">
        <v>522</v>
      </c>
      <c r="C228" s="28" t="s">
        <v>521</v>
      </c>
      <c r="D228" s="28" t="s">
        <v>503</v>
      </c>
      <c r="E228" s="28" t="s">
        <v>211</v>
      </c>
      <c r="F228" s="28" t="s">
        <v>490</v>
      </c>
      <c r="G228" s="28"/>
      <c r="H228" s="28">
        <v>5568574</v>
      </c>
      <c r="I228" s="28">
        <v>167235</v>
      </c>
      <c r="J228" s="28">
        <v>0.99</v>
      </c>
      <c r="K228" s="28">
        <v>41</v>
      </c>
      <c r="L228" s="28">
        <v>0</v>
      </c>
    </row>
    <row r="229" spans="1:12" ht="14.25" customHeight="1" x14ac:dyDescent="0.2">
      <c r="A229" s="28">
        <v>228</v>
      </c>
      <c r="B229" s="28" t="s">
        <v>523</v>
      </c>
      <c r="C229" s="28" t="s">
        <v>521</v>
      </c>
      <c r="D229" s="28" t="s">
        <v>503</v>
      </c>
      <c r="E229" s="28" t="s">
        <v>211</v>
      </c>
      <c r="F229" s="28" t="s">
        <v>490</v>
      </c>
      <c r="G229" s="28"/>
      <c r="H229" s="28">
        <v>12359161</v>
      </c>
      <c r="I229" s="28">
        <v>369763</v>
      </c>
      <c r="J229" s="28">
        <v>0.99</v>
      </c>
      <c r="K229" s="28">
        <v>98</v>
      </c>
      <c r="L229" s="28">
        <v>1</v>
      </c>
    </row>
    <row r="230" spans="1:12" ht="14.25" customHeight="1" x14ac:dyDescent="0.2">
      <c r="A230" s="28">
        <v>229</v>
      </c>
      <c r="B230" s="28" t="s">
        <v>524</v>
      </c>
      <c r="C230" s="28" t="s">
        <v>521</v>
      </c>
      <c r="D230" s="28" t="s">
        <v>503</v>
      </c>
      <c r="E230" s="28" t="s">
        <v>211</v>
      </c>
      <c r="F230" s="28" t="s">
        <v>490</v>
      </c>
      <c r="G230" s="28"/>
      <c r="H230" s="28">
        <v>5431854</v>
      </c>
      <c r="I230" s="28">
        <v>162429</v>
      </c>
      <c r="J230" s="28">
        <v>0.99</v>
      </c>
      <c r="K230" s="28">
        <v>92</v>
      </c>
      <c r="L230" s="28">
        <v>2</v>
      </c>
    </row>
    <row r="231" spans="1:12" ht="14.25" customHeight="1" x14ac:dyDescent="0.2">
      <c r="A231" s="28">
        <v>230</v>
      </c>
      <c r="B231" s="28" t="s">
        <v>525</v>
      </c>
      <c r="C231" s="28" t="s">
        <v>521</v>
      </c>
      <c r="D231" s="28" t="s">
        <v>503</v>
      </c>
      <c r="E231" s="28" t="s">
        <v>211</v>
      </c>
      <c r="F231" s="28" t="s">
        <v>490</v>
      </c>
      <c r="G231" s="28"/>
      <c r="H231" s="28">
        <v>9499590</v>
      </c>
      <c r="I231" s="28">
        <v>283402</v>
      </c>
      <c r="J231" s="28">
        <v>0.99</v>
      </c>
      <c r="K231" s="28">
        <v>63</v>
      </c>
      <c r="L231" s="28">
        <v>1</v>
      </c>
    </row>
    <row r="232" spans="1:12" ht="14.25" customHeight="1" x14ac:dyDescent="0.2">
      <c r="A232" s="28">
        <v>231</v>
      </c>
      <c r="B232" s="28" t="s">
        <v>526</v>
      </c>
      <c r="C232" s="28" t="s">
        <v>521</v>
      </c>
      <c r="D232" s="28" t="s">
        <v>503</v>
      </c>
      <c r="E232" s="28" t="s">
        <v>211</v>
      </c>
      <c r="F232" s="28" t="s">
        <v>490</v>
      </c>
      <c r="G232" s="28"/>
      <c r="H232" s="28">
        <v>6132843</v>
      </c>
      <c r="I232" s="28">
        <v>189675</v>
      </c>
      <c r="J232" s="28">
        <v>0.99</v>
      </c>
      <c r="K232" s="28">
        <v>28</v>
      </c>
      <c r="L232" s="28">
        <v>1</v>
      </c>
    </row>
    <row r="233" spans="1:12" ht="14.25" customHeight="1" x14ac:dyDescent="0.2">
      <c r="A233" s="28">
        <v>232</v>
      </c>
      <c r="B233" s="28" t="s">
        <v>527</v>
      </c>
      <c r="C233" s="28" t="s">
        <v>521</v>
      </c>
      <c r="D233" s="28" t="s">
        <v>503</v>
      </c>
      <c r="E233" s="28" t="s">
        <v>211</v>
      </c>
      <c r="F233" s="28" t="s">
        <v>490</v>
      </c>
      <c r="G233" s="28"/>
      <c r="H233" s="28">
        <v>5645703</v>
      </c>
      <c r="I233" s="28">
        <v>172120</v>
      </c>
      <c r="J233" s="28">
        <v>0.99</v>
      </c>
      <c r="K233" s="28">
        <v>56</v>
      </c>
      <c r="L233" s="28">
        <v>1</v>
      </c>
    </row>
    <row r="234" spans="1:12" ht="14.25" customHeight="1" x14ac:dyDescent="0.2">
      <c r="A234" s="28">
        <v>233</v>
      </c>
      <c r="B234" s="28" t="s">
        <v>528</v>
      </c>
      <c r="C234" s="28" t="s">
        <v>521</v>
      </c>
      <c r="D234" s="28" t="s">
        <v>503</v>
      </c>
      <c r="E234" s="28" t="s">
        <v>211</v>
      </c>
      <c r="F234" s="28" t="s">
        <v>490</v>
      </c>
      <c r="G234" s="28"/>
      <c r="H234" s="28">
        <v>5574848</v>
      </c>
      <c r="I234" s="28">
        <v>167288</v>
      </c>
      <c r="J234" s="28">
        <v>0.99</v>
      </c>
      <c r="K234" s="28">
        <v>95</v>
      </c>
      <c r="L234" s="28">
        <v>1</v>
      </c>
    </row>
    <row r="235" spans="1:12" ht="14.25" customHeight="1" x14ac:dyDescent="0.2">
      <c r="A235" s="28">
        <v>234</v>
      </c>
      <c r="B235" s="28" t="s">
        <v>529</v>
      </c>
      <c r="C235" s="28" t="s">
        <v>521</v>
      </c>
      <c r="D235" s="28" t="s">
        <v>503</v>
      </c>
      <c r="E235" s="28" t="s">
        <v>211</v>
      </c>
      <c r="F235" s="28" t="s">
        <v>490</v>
      </c>
      <c r="G235" s="28"/>
      <c r="H235" s="28">
        <v>6373932</v>
      </c>
      <c r="I235" s="28">
        <v>186801</v>
      </c>
      <c r="J235" s="28">
        <v>0.99</v>
      </c>
      <c r="K235" s="28">
        <v>4</v>
      </c>
      <c r="L235" s="28">
        <v>2</v>
      </c>
    </row>
    <row r="236" spans="1:12" ht="14.25" customHeight="1" x14ac:dyDescent="0.2">
      <c r="A236" s="28">
        <v>235</v>
      </c>
      <c r="B236" s="28" t="s">
        <v>530</v>
      </c>
      <c r="C236" s="28" t="s">
        <v>521</v>
      </c>
      <c r="D236" s="28" t="s">
        <v>503</v>
      </c>
      <c r="E236" s="28" t="s">
        <v>211</v>
      </c>
      <c r="F236" s="28" t="s">
        <v>490</v>
      </c>
      <c r="G236" s="28"/>
      <c r="H236" s="28">
        <v>7886937</v>
      </c>
      <c r="I236" s="28">
        <v>234501</v>
      </c>
      <c r="J236" s="28">
        <v>0.99</v>
      </c>
      <c r="K236" s="28">
        <v>34</v>
      </c>
      <c r="L236" s="28">
        <v>1</v>
      </c>
    </row>
    <row r="237" spans="1:12" ht="14.25" customHeight="1" x14ac:dyDescent="0.2">
      <c r="A237" s="28">
        <v>236</v>
      </c>
      <c r="B237" s="28" t="s">
        <v>531</v>
      </c>
      <c r="C237" s="28" t="s">
        <v>521</v>
      </c>
      <c r="D237" s="28" t="s">
        <v>503</v>
      </c>
      <c r="E237" s="28" t="s">
        <v>211</v>
      </c>
      <c r="F237" s="28" t="s">
        <v>490</v>
      </c>
      <c r="G237" s="28"/>
      <c r="H237" s="28">
        <v>4349539</v>
      </c>
      <c r="I237" s="28">
        <v>132493</v>
      </c>
      <c r="J237" s="28">
        <v>0.99</v>
      </c>
      <c r="K237" s="28">
        <v>89</v>
      </c>
      <c r="L237" s="28">
        <v>1</v>
      </c>
    </row>
    <row r="238" spans="1:12" ht="14.25" customHeight="1" x14ac:dyDescent="0.2">
      <c r="A238" s="28">
        <v>237</v>
      </c>
      <c r="B238" s="28" t="s">
        <v>521</v>
      </c>
      <c r="C238" s="28" t="s">
        <v>521</v>
      </c>
      <c r="D238" s="28" t="s">
        <v>503</v>
      </c>
      <c r="E238" s="28" t="s">
        <v>211</v>
      </c>
      <c r="F238" s="28" t="s">
        <v>490</v>
      </c>
      <c r="G238" s="28"/>
      <c r="H238" s="28">
        <v>6029673</v>
      </c>
      <c r="I238" s="28">
        <v>182256</v>
      </c>
      <c r="J238" s="28">
        <v>0.99</v>
      </c>
      <c r="K238" s="28">
        <v>24</v>
      </c>
      <c r="L238" s="28">
        <v>1</v>
      </c>
    </row>
    <row r="239" spans="1:12" ht="14.25" customHeight="1" x14ac:dyDescent="0.2">
      <c r="A239" s="28">
        <v>238</v>
      </c>
      <c r="B239" s="28" t="s">
        <v>532</v>
      </c>
      <c r="C239" s="28" t="s">
        <v>521</v>
      </c>
      <c r="D239" s="28" t="s">
        <v>503</v>
      </c>
      <c r="E239" s="28" t="s">
        <v>211</v>
      </c>
      <c r="F239" s="28" t="s">
        <v>490</v>
      </c>
      <c r="G239" s="28"/>
      <c r="H239" s="28">
        <v>5846442</v>
      </c>
      <c r="I239" s="28">
        <v>175386</v>
      </c>
      <c r="J239" s="28">
        <v>0.99</v>
      </c>
      <c r="K239" s="28">
        <v>37</v>
      </c>
      <c r="L239" s="28">
        <v>1</v>
      </c>
    </row>
    <row r="240" spans="1:12" ht="14.25" customHeight="1" x14ac:dyDescent="0.2">
      <c r="A240" s="28">
        <v>239</v>
      </c>
      <c r="B240" s="28" t="s">
        <v>533</v>
      </c>
      <c r="C240" s="28" t="s">
        <v>521</v>
      </c>
      <c r="D240" s="28" t="s">
        <v>503</v>
      </c>
      <c r="E240" s="28" t="s">
        <v>211</v>
      </c>
      <c r="F240" s="28" t="s">
        <v>490</v>
      </c>
      <c r="G240" s="28"/>
      <c r="H240" s="28">
        <v>7270749</v>
      </c>
      <c r="I240" s="28">
        <v>214099</v>
      </c>
      <c r="J240" s="28">
        <v>0.99</v>
      </c>
      <c r="K240" s="28">
        <v>97</v>
      </c>
      <c r="L240" s="28">
        <v>0</v>
      </c>
    </row>
    <row r="241" spans="1:12" ht="14.25" customHeight="1" x14ac:dyDescent="0.2">
      <c r="A241" s="28">
        <v>240</v>
      </c>
      <c r="B241" s="28" t="s">
        <v>534</v>
      </c>
      <c r="C241" s="28" t="s">
        <v>521</v>
      </c>
      <c r="D241" s="28" t="s">
        <v>503</v>
      </c>
      <c r="E241" s="28" t="s">
        <v>211</v>
      </c>
      <c r="F241" s="28" t="s">
        <v>490</v>
      </c>
      <c r="G241" s="28"/>
      <c r="H241" s="28">
        <v>8778172</v>
      </c>
      <c r="I241" s="28">
        <v>260257</v>
      </c>
      <c r="J241" s="28">
        <v>0.99</v>
      </c>
      <c r="K241" s="28">
        <v>54</v>
      </c>
      <c r="L241" s="28">
        <v>2</v>
      </c>
    </row>
    <row r="242" spans="1:12" ht="14.25" customHeight="1" x14ac:dyDescent="0.2">
      <c r="A242" s="28">
        <v>241</v>
      </c>
      <c r="B242" s="28" t="s">
        <v>535</v>
      </c>
      <c r="C242" s="28" t="s">
        <v>521</v>
      </c>
      <c r="D242" s="28" t="s">
        <v>503</v>
      </c>
      <c r="E242" s="28" t="s">
        <v>211</v>
      </c>
      <c r="F242" s="28" t="s">
        <v>490</v>
      </c>
      <c r="G242" s="28"/>
      <c r="H242" s="28">
        <v>10342226</v>
      </c>
      <c r="I242" s="28">
        <v>317570</v>
      </c>
      <c r="J242" s="28">
        <v>0.99</v>
      </c>
      <c r="K242" s="28">
        <v>95</v>
      </c>
      <c r="L242" s="28">
        <v>2</v>
      </c>
    </row>
    <row r="243" spans="1:12" ht="14.25" customHeight="1" x14ac:dyDescent="0.2">
      <c r="A243" s="28">
        <v>242</v>
      </c>
      <c r="B243" s="28" t="s">
        <v>536</v>
      </c>
      <c r="C243" s="28" t="s">
        <v>521</v>
      </c>
      <c r="D243" s="28" t="s">
        <v>503</v>
      </c>
      <c r="E243" s="28" t="s">
        <v>211</v>
      </c>
      <c r="F243" s="28" t="s">
        <v>490</v>
      </c>
      <c r="G243" s="28"/>
      <c r="H243" s="28">
        <v>5461468</v>
      </c>
      <c r="I243" s="28">
        <v>169717</v>
      </c>
      <c r="J243" s="28">
        <v>0.99</v>
      </c>
      <c r="K243" s="28">
        <v>51</v>
      </c>
      <c r="L243" s="28">
        <v>1</v>
      </c>
    </row>
    <row r="244" spans="1:12" ht="14.25" customHeight="1" x14ac:dyDescent="0.2">
      <c r="A244" s="28">
        <v>243</v>
      </c>
      <c r="B244" s="28" t="s">
        <v>537</v>
      </c>
      <c r="C244" s="28" t="s">
        <v>521</v>
      </c>
      <c r="D244" s="28" t="s">
        <v>503</v>
      </c>
      <c r="E244" s="28" t="s">
        <v>211</v>
      </c>
      <c r="F244" s="28" t="s">
        <v>490</v>
      </c>
      <c r="G244" s="28"/>
      <c r="H244" s="28">
        <v>4693941</v>
      </c>
      <c r="I244" s="28">
        <v>139154</v>
      </c>
      <c r="J244" s="28">
        <v>0.99</v>
      </c>
      <c r="K244" s="28">
        <v>92</v>
      </c>
      <c r="L244" s="28">
        <v>0</v>
      </c>
    </row>
    <row r="245" spans="1:12" ht="14.25" customHeight="1" x14ac:dyDescent="0.2">
      <c r="A245" s="28">
        <v>244</v>
      </c>
      <c r="B245" s="28" t="s">
        <v>538</v>
      </c>
      <c r="C245" s="28" t="s">
        <v>521</v>
      </c>
      <c r="D245" s="28" t="s">
        <v>503</v>
      </c>
      <c r="E245" s="28" t="s">
        <v>211</v>
      </c>
      <c r="F245" s="28" t="s">
        <v>490</v>
      </c>
      <c r="G245" s="28"/>
      <c r="H245" s="28">
        <v>5074189</v>
      </c>
      <c r="I245" s="28">
        <v>153208</v>
      </c>
      <c r="J245" s="28">
        <v>0.99</v>
      </c>
      <c r="K245" s="28">
        <v>83</v>
      </c>
      <c r="L245" s="28">
        <v>1</v>
      </c>
    </row>
    <row r="246" spans="1:12" ht="14.25" customHeight="1" x14ac:dyDescent="0.2">
      <c r="A246" s="28">
        <v>245</v>
      </c>
      <c r="B246" s="28" t="s">
        <v>539</v>
      </c>
      <c r="C246" s="28" t="s">
        <v>521</v>
      </c>
      <c r="D246" s="28" t="s">
        <v>503</v>
      </c>
      <c r="E246" s="28" t="s">
        <v>211</v>
      </c>
      <c r="F246" s="28" t="s">
        <v>490</v>
      </c>
      <c r="G246" s="28"/>
      <c r="H246" s="28">
        <v>12675305</v>
      </c>
      <c r="I246" s="28">
        <v>383059</v>
      </c>
      <c r="J246" s="28">
        <v>0.99</v>
      </c>
      <c r="K246" s="28">
        <v>2</v>
      </c>
      <c r="L246" s="28">
        <v>87</v>
      </c>
    </row>
    <row r="247" spans="1:12" ht="14.25" customHeight="1" x14ac:dyDescent="0.2">
      <c r="A247" s="28">
        <v>246</v>
      </c>
      <c r="B247" s="28" t="s">
        <v>540</v>
      </c>
      <c r="C247" s="28" t="s">
        <v>541</v>
      </c>
      <c r="D247" s="28" t="s">
        <v>542</v>
      </c>
      <c r="E247" s="28" t="s">
        <v>211</v>
      </c>
      <c r="F247" s="28" t="s">
        <v>490</v>
      </c>
      <c r="G247" s="28" t="s">
        <v>543</v>
      </c>
      <c r="H247" s="28">
        <v>1103013</v>
      </c>
      <c r="I247" s="28">
        <v>33149</v>
      </c>
      <c r="J247" s="28">
        <v>0.99</v>
      </c>
      <c r="K247" s="28">
        <v>66</v>
      </c>
      <c r="L247" s="28">
        <v>1</v>
      </c>
    </row>
    <row r="248" spans="1:12" ht="14.25" customHeight="1" x14ac:dyDescent="0.2">
      <c r="A248" s="28">
        <v>247</v>
      </c>
      <c r="B248" s="28" t="s">
        <v>544</v>
      </c>
      <c r="C248" s="28" t="s">
        <v>541</v>
      </c>
      <c r="D248" s="28" t="s">
        <v>542</v>
      </c>
      <c r="E248" s="28" t="s">
        <v>211</v>
      </c>
      <c r="F248" s="28" t="s">
        <v>490</v>
      </c>
      <c r="G248" s="28" t="s">
        <v>543</v>
      </c>
      <c r="H248" s="28">
        <v>6724966</v>
      </c>
      <c r="I248" s="28">
        <v>200933</v>
      </c>
      <c r="J248" s="28">
        <v>0.99</v>
      </c>
      <c r="K248" s="28">
        <v>71</v>
      </c>
      <c r="L248" s="28">
        <v>1</v>
      </c>
    </row>
    <row r="249" spans="1:12" ht="14.25" customHeight="1" x14ac:dyDescent="0.2">
      <c r="A249" s="28">
        <v>248</v>
      </c>
      <c r="B249" s="28" t="s">
        <v>545</v>
      </c>
      <c r="C249" s="28" t="s">
        <v>541</v>
      </c>
      <c r="D249" s="28" t="s">
        <v>542</v>
      </c>
      <c r="E249" s="28" t="s">
        <v>211</v>
      </c>
      <c r="F249" s="28" t="s">
        <v>490</v>
      </c>
      <c r="G249" s="28" t="s">
        <v>543</v>
      </c>
      <c r="H249" s="28">
        <v>5061413</v>
      </c>
      <c r="I249" s="28">
        <v>152555</v>
      </c>
      <c r="J249" s="28">
        <v>0.99</v>
      </c>
      <c r="K249" s="28">
        <v>3</v>
      </c>
      <c r="L249" s="28">
        <v>1</v>
      </c>
    </row>
    <row r="250" spans="1:12" ht="14.25" customHeight="1" x14ac:dyDescent="0.2">
      <c r="A250" s="28">
        <v>249</v>
      </c>
      <c r="B250" s="28" t="s">
        <v>546</v>
      </c>
      <c r="C250" s="28" t="s">
        <v>541</v>
      </c>
      <c r="D250" s="28" t="s">
        <v>542</v>
      </c>
      <c r="E250" s="28" t="s">
        <v>211</v>
      </c>
      <c r="F250" s="28" t="s">
        <v>490</v>
      </c>
      <c r="G250" s="28" t="s">
        <v>543</v>
      </c>
      <c r="H250" s="28">
        <v>5042447</v>
      </c>
      <c r="I250" s="28">
        <v>151823</v>
      </c>
      <c r="J250" s="28">
        <v>0.99</v>
      </c>
      <c r="K250" s="28">
        <v>73</v>
      </c>
      <c r="L250" s="28">
        <v>0</v>
      </c>
    </row>
    <row r="251" spans="1:12" ht="14.25" customHeight="1" x14ac:dyDescent="0.2">
      <c r="A251" s="28">
        <v>250</v>
      </c>
      <c r="B251" s="28" t="s">
        <v>547</v>
      </c>
      <c r="C251" s="28" t="s">
        <v>541</v>
      </c>
      <c r="D251" s="28" t="s">
        <v>542</v>
      </c>
      <c r="E251" s="28" t="s">
        <v>211</v>
      </c>
      <c r="F251" s="28" t="s">
        <v>490</v>
      </c>
      <c r="G251" s="28" t="s">
        <v>543</v>
      </c>
      <c r="H251" s="28">
        <v>8253934</v>
      </c>
      <c r="I251" s="28">
        <v>249600</v>
      </c>
      <c r="J251" s="28">
        <v>0.99</v>
      </c>
      <c r="K251" s="28">
        <v>53</v>
      </c>
      <c r="L251" s="28">
        <v>0</v>
      </c>
    </row>
    <row r="252" spans="1:12" ht="14.25" customHeight="1" x14ac:dyDescent="0.2">
      <c r="A252" s="28">
        <v>251</v>
      </c>
      <c r="B252" s="28" t="s">
        <v>548</v>
      </c>
      <c r="C252" s="28" t="s">
        <v>541</v>
      </c>
      <c r="D252" s="28" t="s">
        <v>542</v>
      </c>
      <c r="E252" s="28" t="s">
        <v>211</v>
      </c>
      <c r="F252" s="28" t="s">
        <v>490</v>
      </c>
      <c r="G252" s="28" t="s">
        <v>543</v>
      </c>
      <c r="H252" s="28">
        <v>7984291</v>
      </c>
      <c r="I252" s="28">
        <v>240091</v>
      </c>
      <c r="J252" s="28">
        <v>0.99</v>
      </c>
      <c r="K252" s="28">
        <v>4</v>
      </c>
      <c r="L252" s="28">
        <v>1</v>
      </c>
    </row>
    <row r="253" spans="1:12" ht="14.25" customHeight="1" x14ac:dyDescent="0.2">
      <c r="A253" s="28">
        <v>252</v>
      </c>
      <c r="B253" s="28" t="s">
        <v>549</v>
      </c>
      <c r="C253" s="28" t="s">
        <v>541</v>
      </c>
      <c r="D253" s="28" t="s">
        <v>542</v>
      </c>
      <c r="E253" s="28" t="s">
        <v>211</v>
      </c>
      <c r="F253" s="28" t="s">
        <v>490</v>
      </c>
      <c r="G253" s="28" t="s">
        <v>543</v>
      </c>
      <c r="H253" s="28">
        <v>7541688</v>
      </c>
      <c r="I253" s="28">
        <v>227317</v>
      </c>
      <c r="J253" s="28">
        <v>0.99</v>
      </c>
      <c r="K253" s="28">
        <v>75</v>
      </c>
      <c r="L253" s="28">
        <v>2</v>
      </c>
    </row>
    <row r="254" spans="1:12" ht="14.25" customHeight="1" x14ac:dyDescent="0.2">
      <c r="A254" s="28">
        <v>253</v>
      </c>
      <c r="B254" s="28" t="s">
        <v>550</v>
      </c>
      <c r="C254" s="28" t="s">
        <v>541</v>
      </c>
      <c r="D254" s="28" t="s">
        <v>542</v>
      </c>
      <c r="E254" s="28" t="s">
        <v>211</v>
      </c>
      <c r="F254" s="28" t="s">
        <v>490</v>
      </c>
      <c r="G254" s="28" t="s">
        <v>543</v>
      </c>
      <c r="H254" s="28">
        <v>9670057</v>
      </c>
      <c r="I254" s="28">
        <v>284264</v>
      </c>
      <c r="J254" s="28">
        <v>0.99</v>
      </c>
      <c r="K254" s="28">
        <v>20</v>
      </c>
      <c r="L254" s="28">
        <v>1</v>
      </c>
    </row>
    <row r="255" spans="1:12" ht="14.25" customHeight="1" x14ac:dyDescent="0.2">
      <c r="A255" s="28">
        <v>254</v>
      </c>
      <c r="B255" s="28" t="s">
        <v>551</v>
      </c>
      <c r="C255" s="28" t="s">
        <v>541</v>
      </c>
      <c r="D255" s="28" t="s">
        <v>542</v>
      </c>
      <c r="E255" s="28" t="s">
        <v>211</v>
      </c>
      <c r="F255" s="28" t="s">
        <v>490</v>
      </c>
      <c r="G255" s="28" t="s">
        <v>543</v>
      </c>
      <c r="H255" s="28">
        <v>3240816</v>
      </c>
      <c r="I255" s="28">
        <v>99108</v>
      </c>
      <c r="J255" s="28">
        <v>0.99</v>
      </c>
      <c r="K255" s="28">
        <v>18</v>
      </c>
      <c r="L255" s="28">
        <v>0</v>
      </c>
    </row>
    <row r="256" spans="1:12" ht="14.25" customHeight="1" x14ac:dyDescent="0.2">
      <c r="A256" s="28">
        <v>255</v>
      </c>
      <c r="B256" s="28" t="s">
        <v>552</v>
      </c>
      <c r="C256" s="28" t="s">
        <v>541</v>
      </c>
      <c r="D256" s="28" t="s">
        <v>542</v>
      </c>
      <c r="E256" s="28" t="s">
        <v>211</v>
      </c>
      <c r="F256" s="28" t="s">
        <v>490</v>
      </c>
      <c r="G256" s="28" t="s">
        <v>543</v>
      </c>
      <c r="H256" s="28">
        <v>7714954</v>
      </c>
      <c r="I256" s="28">
        <v>232672</v>
      </c>
      <c r="J256" s="28">
        <v>0.99</v>
      </c>
      <c r="K256" s="28">
        <v>32</v>
      </c>
      <c r="L256" s="28">
        <v>0</v>
      </c>
    </row>
    <row r="257" spans="1:12" ht="14.25" customHeight="1" x14ac:dyDescent="0.2">
      <c r="A257" s="28">
        <v>256</v>
      </c>
      <c r="B257" s="28" t="s">
        <v>553</v>
      </c>
      <c r="C257" s="28" t="s">
        <v>541</v>
      </c>
      <c r="D257" s="28" t="s">
        <v>542</v>
      </c>
      <c r="E257" s="28" t="s">
        <v>211</v>
      </c>
      <c r="F257" s="28" t="s">
        <v>490</v>
      </c>
      <c r="G257" s="28" t="s">
        <v>543</v>
      </c>
      <c r="H257" s="28">
        <v>7960868</v>
      </c>
      <c r="I257" s="28">
        <v>240091</v>
      </c>
      <c r="J257" s="28">
        <v>0.99</v>
      </c>
      <c r="K257" s="28">
        <v>56</v>
      </c>
      <c r="L257" s="28">
        <v>1</v>
      </c>
    </row>
    <row r="258" spans="1:12" ht="14.25" customHeight="1" x14ac:dyDescent="0.2">
      <c r="A258" s="28">
        <v>257</v>
      </c>
      <c r="B258" s="28" t="s">
        <v>554</v>
      </c>
      <c r="C258" s="28" t="s">
        <v>541</v>
      </c>
      <c r="D258" s="28" t="s">
        <v>542</v>
      </c>
      <c r="E258" s="28" t="s">
        <v>211</v>
      </c>
      <c r="F258" s="28" t="s">
        <v>490</v>
      </c>
      <c r="G258" s="28" t="s">
        <v>543</v>
      </c>
      <c r="H258" s="28">
        <v>6475159</v>
      </c>
      <c r="I258" s="28">
        <v>194560</v>
      </c>
      <c r="J258" s="28">
        <v>0.99</v>
      </c>
      <c r="K258" s="28">
        <v>62</v>
      </c>
      <c r="L258" s="28">
        <v>1</v>
      </c>
    </row>
    <row r="259" spans="1:12" ht="14.25" customHeight="1" x14ac:dyDescent="0.2">
      <c r="A259" s="28">
        <v>258</v>
      </c>
      <c r="B259" s="28" t="s">
        <v>555</v>
      </c>
      <c r="C259" s="28" t="s">
        <v>541</v>
      </c>
      <c r="D259" s="28" t="s">
        <v>542</v>
      </c>
      <c r="E259" s="28" t="s">
        <v>211</v>
      </c>
      <c r="F259" s="28" t="s">
        <v>490</v>
      </c>
      <c r="G259" s="28" t="s">
        <v>543</v>
      </c>
      <c r="H259" s="28">
        <v>4272821</v>
      </c>
      <c r="I259" s="28">
        <v>126615</v>
      </c>
      <c r="J259" s="28">
        <v>0.99</v>
      </c>
      <c r="K259" s="28">
        <v>23</v>
      </c>
      <c r="L259" s="28">
        <v>1</v>
      </c>
    </row>
    <row r="260" spans="1:12" ht="14.25" customHeight="1" x14ac:dyDescent="0.2">
      <c r="A260" s="28">
        <v>259</v>
      </c>
      <c r="B260" s="28" t="s">
        <v>556</v>
      </c>
      <c r="C260" s="28" t="s">
        <v>541</v>
      </c>
      <c r="D260" s="28" t="s">
        <v>542</v>
      </c>
      <c r="E260" s="28" t="s">
        <v>211</v>
      </c>
      <c r="F260" s="28" t="s">
        <v>490</v>
      </c>
      <c r="G260" s="28" t="s">
        <v>543</v>
      </c>
      <c r="H260" s="28">
        <v>5198539</v>
      </c>
      <c r="I260" s="28">
        <v>152659</v>
      </c>
      <c r="J260" s="28">
        <v>0.99</v>
      </c>
      <c r="K260" s="28">
        <v>16</v>
      </c>
      <c r="L260" s="28">
        <v>0</v>
      </c>
    </row>
    <row r="261" spans="1:12" ht="14.25" customHeight="1" x14ac:dyDescent="0.2">
      <c r="A261" s="28">
        <v>260</v>
      </c>
      <c r="B261" s="28" t="s">
        <v>557</v>
      </c>
      <c r="C261" s="28" t="s">
        <v>541</v>
      </c>
      <c r="D261" s="28" t="s">
        <v>542</v>
      </c>
      <c r="E261" s="28" t="s">
        <v>211</v>
      </c>
      <c r="F261" s="28" t="s">
        <v>490</v>
      </c>
      <c r="G261" s="28" t="s">
        <v>543</v>
      </c>
      <c r="H261" s="28">
        <v>4415557</v>
      </c>
      <c r="I261" s="28">
        <v>132231</v>
      </c>
      <c r="J261" s="28">
        <v>0.99</v>
      </c>
      <c r="K261" s="28">
        <v>52</v>
      </c>
      <c r="L261" s="28">
        <v>1</v>
      </c>
    </row>
    <row r="262" spans="1:12" ht="14.25" customHeight="1" x14ac:dyDescent="0.2">
      <c r="A262" s="28">
        <v>261</v>
      </c>
      <c r="B262" s="28" t="s">
        <v>558</v>
      </c>
      <c r="C262" s="28" t="s">
        <v>541</v>
      </c>
      <c r="D262" s="28" t="s">
        <v>542</v>
      </c>
      <c r="E262" s="28" t="s">
        <v>211</v>
      </c>
      <c r="F262" s="28" t="s">
        <v>490</v>
      </c>
      <c r="G262" s="28" t="s">
        <v>543</v>
      </c>
      <c r="H262" s="28">
        <v>2968650</v>
      </c>
      <c r="I262" s="28">
        <v>88764</v>
      </c>
      <c r="J262" s="28">
        <v>0.99</v>
      </c>
      <c r="K262" s="28">
        <v>86</v>
      </c>
      <c r="L262" s="28">
        <v>0</v>
      </c>
    </row>
    <row r="263" spans="1:12" ht="14.25" customHeight="1" x14ac:dyDescent="0.2">
      <c r="A263" s="28">
        <v>262</v>
      </c>
      <c r="B263" s="28" t="s">
        <v>559</v>
      </c>
      <c r="C263" s="28" t="s">
        <v>541</v>
      </c>
      <c r="D263" s="28" t="s">
        <v>542</v>
      </c>
      <c r="E263" s="28" t="s">
        <v>211</v>
      </c>
      <c r="F263" s="28" t="s">
        <v>490</v>
      </c>
      <c r="G263" s="28" t="s">
        <v>543</v>
      </c>
      <c r="H263" s="28">
        <v>2408550</v>
      </c>
      <c r="I263" s="28">
        <v>71627</v>
      </c>
      <c r="J263" s="28">
        <v>0.99</v>
      </c>
      <c r="K263" s="28">
        <v>40</v>
      </c>
      <c r="L263" s="28">
        <v>1</v>
      </c>
    </row>
    <row r="264" spans="1:12" ht="14.25" customHeight="1" x14ac:dyDescent="0.2">
      <c r="A264" s="28">
        <v>263</v>
      </c>
      <c r="B264" s="28" t="s">
        <v>560</v>
      </c>
      <c r="C264" s="28" t="s">
        <v>541</v>
      </c>
      <c r="D264" s="28" t="s">
        <v>542</v>
      </c>
      <c r="E264" s="28" t="s">
        <v>211</v>
      </c>
      <c r="F264" s="28" t="s">
        <v>490</v>
      </c>
      <c r="G264" s="28" t="s">
        <v>543</v>
      </c>
      <c r="H264" s="28">
        <v>6984813</v>
      </c>
      <c r="I264" s="28">
        <v>208222</v>
      </c>
      <c r="J264" s="28">
        <v>0.99</v>
      </c>
      <c r="K264" s="28">
        <v>22</v>
      </c>
      <c r="L264" s="28">
        <v>1</v>
      </c>
    </row>
    <row r="265" spans="1:12" ht="14.25" customHeight="1" x14ac:dyDescent="0.2">
      <c r="A265" s="28">
        <v>264</v>
      </c>
      <c r="B265" s="28" t="s">
        <v>561</v>
      </c>
      <c r="C265" s="28" t="s">
        <v>541</v>
      </c>
      <c r="D265" s="28" t="s">
        <v>542</v>
      </c>
      <c r="E265" s="28" t="s">
        <v>211</v>
      </c>
      <c r="F265" s="28" t="s">
        <v>490</v>
      </c>
      <c r="G265" s="28" t="s">
        <v>543</v>
      </c>
      <c r="H265" s="28">
        <v>5881293</v>
      </c>
      <c r="I265" s="28">
        <v>175333</v>
      </c>
      <c r="J265" s="28">
        <v>0.99</v>
      </c>
      <c r="K265" s="28">
        <v>51</v>
      </c>
      <c r="L265" s="28">
        <v>2</v>
      </c>
    </row>
    <row r="266" spans="1:12" ht="14.25" customHeight="1" x14ac:dyDescent="0.2">
      <c r="A266" s="28">
        <v>265</v>
      </c>
      <c r="B266" s="28" t="s">
        <v>562</v>
      </c>
      <c r="C266" s="28" t="s">
        <v>541</v>
      </c>
      <c r="D266" s="28" t="s">
        <v>542</v>
      </c>
      <c r="E266" s="28" t="s">
        <v>211</v>
      </c>
      <c r="F266" s="28" t="s">
        <v>490</v>
      </c>
      <c r="G266" s="28" t="s">
        <v>543</v>
      </c>
      <c r="H266" s="28">
        <v>8911641</v>
      </c>
      <c r="I266" s="28">
        <v>272431</v>
      </c>
      <c r="J266" s="28">
        <v>0.99</v>
      </c>
      <c r="K266" s="28">
        <v>90</v>
      </c>
      <c r="L266" s="28">
        <v>0</v>
      </c>
    </row>
    <row r="267" spans="1:12" ht="14.25" customHeight="1" x14ac:dyDescent="0.2">
      <c r="A267" s="28">
        <v>266</v>
      </c>
      <c r="B267" s="28" t="s">
        <v>563</v>
      </c>
      <c r="C267" s="28" t="s">
        <v>541</v>
      </c>
      <c r="D267" s="28" t="s">
        <v>542</v>
      </c>
      <c r="E267" s="28" t="s">
        <v>211</v>
      </c>
      <c r="F267" s="28" t="s">
        <v>490</v>
      </c>
      <c r="G267" s="28" t="s">
        <v>543</v>
      </c>
      <c r="H267" s="28">
        <v>9019677</v>
      </c>
      <c r="I267" s="28">
        <v>273084</v>
      </c>
      <c r="J267" s="28">
        <v>0.99</v>
      </c>
      <c r="K267" s="28">
        <v>21</v>
      </c>
      <c r="L267" s="28">
        <v>0</v>
      </c>
    </row>
    <row r="268" spans="1:12" ht="14.25" customHeight="1" x14ac:dyDescent="0.2">
      <c r="A268" s="28">
        <v>267</v>
      </c>
      <c r="B268" s="28" t="s">
        <v>564</v>
      </c>
      <c r="C268" s="28" t="s">
        <v>541</v>
      </c>
      <c r="D268" s="28" t="s">
        <v>542</v>
      </c>
      <c r="E268" s="28" t="s">
        <v>211</v>
      </c>
      <c r="F268" s="28" t="s">
        <v>490</v>
      </c>
      <c r="G268" s="28" t="s">
        <v>543</v>
      </c>
      <c r="H268" s="28">
        <v>6986421</v>
      </c>
      <c r="I268" s="28">
        <v>210155</v>
      </c>
      <c r="J268" s="28">
        <v>0.99</v>
      </c>
      <c r="K268" s="28">
        <v>8</v>
      </c>
      <c r="L268" s="28">
        <v>0</v>
      </c>
    </row>
    <row r="269" spans="1:12" ht="14.25" customHeight="1" x14ac:dyDescent="0.2">
      <c r="A269" s="28">
        <v>268</v>
      </c>
      <c r="B269" s="28" t="s">
        <v>565</v>
      </c>
      <c r="C269" s="28" t="s">
        <v>541</v>
      </c>
      <c r="D269" s="28" t="s">
        <v>542</v>
      </c>
      <c r="E269" s="28" t="s">
        <v>211</v>
      </c>
      <c r="F269" s="28" t="s">
        <v>490</v>
      </c>
      <c r="G269" s="28" t="s">
        <v>543</v>
      </c>
      <c r="H269" s="28">
        <v>7380787</v>
      </c>
      <c r="I269" s="28">
        <v>221492</v>
      </c>
      <c r="J269" s="28">
        <v>0.99</v>
      </c>
      <c r="K269" s="28">
        <v>74</v>
      </c>
      <c r="L269" s="28">
        <v>1</v>
      </c>
    </row>
    <row r="270" spans="1:12" ht="14.25" customHeight="1" x14ac:dyDescent="0.2">
      <c r="A270" s="28">
        <v>269</v>
      </c>
      <c r="B270" s="28" t="s">
        <v>566</v>
      </c>
      <c r="C270" s="28" t="s">
        <v>567</v>
      </c>
      <c r="D270" s="28" t="s">
        <v>542</v>
      </c>
      <c r="E270" s="28" t="s">
        <v>211</v>
      </c>
      <c r="F270" s="28" t="s">
        <v>490</v>
      </c>
      <c r="G270" s="28"/>
      <c r="H270" s="28">
        <v>10251097</v>
      </c>
      <c r="I270" s="28">
        <v>307095</v>
      </c>
      <c r="J270" s="28">
        <v>0.99</v>
      </c>
      <c r="K270" s="28">
        <v>12</v>
      </c>
      <c r="L270" s="28">
        <v>1</v>
      </c>
    </row>
    <row r="271" spans="1:12" ht="14.25" customHeight="1" x14ac:dyDescent="0.2">
      <c r="A271" s="28">
        <v>270</v>
      </c>
      <c r="B271" s="28" t="s">
        <v>566</v>
      </c>
      <c r="C271" s="28" t="s">
        <v>567</v>
      </c>
      <c r="D271" s="28" t="s">
        <v>542</v>
      </c>
      <c r="E271" s="28" t="s">
        <v>211</v>
      </c>
      <c r="F271" s="28" t="s">
        <v>490</v>
      </c>
      <c r="G271" s="28"/>
      <c r="H271" s="28">
        <v>8147224</v>
      </c>
      <c r="I271" s="28">
        <v>243644</v>
      </c>
      <c r="J271" s="28">
        <v>0.99</v>
      </c>
      <c r="K271" s="28">
        <v>36</v>
      </c>
      <c r="L271" s="28">
        <v>1</v>
      </c>
    </row>
    <row r="272" spans="1:12" ht="14.25" customHeight="1" x14ac:dyDescent="0.2">
      <c r="A272" s="28">
        <v>271</v>
      </c>
      <c r="B272" s="28" t="s">
        <v>568</v>
      </c>
      <c r="C272" s="28" t="s">
        <v>567</v>
      </c>
      <c r="D272" s="28" t="s">
        <v>542</v>
      </c>
      <c r="E272" s="28" t="s">
        <v>211</v>
      </c>
      <c r="F272" s="28" t="s">
        <v>490</v>
      </c>
      <c r="G272" s="28"/>
      <c r="H272" s="28">
        <v>9659152</v>
      </c>
      <c r="I272" s="28">
        <v>286720</v>
      </c>
      <c r="J272" s="28">
        <v>0.99</v>
      </c>
      <c r="K272" s="28">
        <v>66</v>
      </c>
      <c r="L272" s="28">
        <v>1</v>
      </c>
    </row>
    <row r="273" spans="1:12" ht="14.25" customHeight="1" x14ac:dyDescent="0.2">
      <c r="A273" s="28">
        <v>272</v>
      </c>
      <c r="B273" s="28" t="s">
        <v>569</v>
      </c>
      <c r="C273" s="28" t="s">
        <v>567</v>
      </c>
      <c r="D273" s="28" t="s">
        <v>542</v>
      </c>
      <c r="E273" s="28" t="s">
        <v>211</v>
      </c>
      <c r="F273" s="28" t="s">
        <v>490</v>
      </c>
      <c r="G273" s="28"/>
      <c r="H273" s="28">
        <v>7241817</v>
      </c>
      <c r="I273" s="28">
        <v>216346</v>
      </c>
      <c r="J273" s="28">
        <v>0.99</v>
      </c>
      <c r="K273" s="28">
        <v>73</v>
      </c>
      <c r="L273" s="28">
        <v>0</v>
      </c>
    </row>
    <row r="274" spans="1:12" ht="14.25" customHeight="1" x14ac:dyDescent="0.2">
      <c r="A274" s="28">
        <v>273</v>
      </c>
      <c r="B274" s="28" t="s">
        <v>570</v>
      </c>
      <c r="C274" s="28" t="s">
        <v>567</v>
      </c>
      <c r="D274" s="28" t="s">
        <v>542</v>
      </c>
      <c r="E274" s="28" t="s">
        <v>211</v>
      </c>
      <c r="F274" s="28" t="s">
        <v>490</v>
      </c>
      <c r="G274" s="28"/>
      <c r="H274" s="28">
        <v>6172781</v>
      </c>
      <c r="I274" s="28">
        <v>183640</v>
      </c>
      <c r="J274" s="28">
        <v>0.99</v>
      </c>
      <c r="K274" s="28">
        <v>15</v>
      </c>
      <c r="L274" s="28">
        <v>0</v>
      </c>
    </row>
    <row r="275" spans="1:12" ht="14.25" customHeight="1" x14ac:dyDescent="0.2">
      <c r="A275" s="28">
        <v>274</v>
      </c>
      <c r="B275" s="28" t="s">
        <v>571</v>
      </c>
      <c r="C275" s="28" t="s">
        <v>567</v>
      </c>
      <c r="D275" s="28" t="s">
        <v>542</v>
      </c>
      <c r="E275" s="28" t="s">
        <v>211</v>
      </c>
      <c r="F275" s="28" t="s">
        <v>490</v>
      </c>
      <c r="G275" s="28"/>
      <c r="H275" s="28">
        <v>9095410</v>
      </c>
      <c r="I275" s="28">
        <v>271856</v>
      </c>
      <c r="J275" s="28">
        <v>0.99</v>
      </c>
      <c r="K275" s="28">
        <v>17</v>
      </c>
      <c r="L275" s="28">
        <v>1</v>
      </c>
    </row>
    <row r="276" spans="1:12" ht="14.25" customHeight="1" x14ac:dyDescent="0.2">
      <c r="A276" s="28">
        <v>275</v>
      </c>
      <c r="B276" s="28" t="s">
        <v>567</v>
      </c>
      <c r="C276" s="28" t="s">
        <v>567</v>
      </c>
      <c r="D276" s="28" t="s">
        <v>542</v>
      </c>
      <c r="E276" s="28" t="s">
        <v>211</v>
      </c>
      <c r="F276" s="28" t="s">
        <v>490</v>
      </c>
      <c r="G276" s="28"/>
      <c r="H276" s="28">
        <v>8378065</v>
      </c>
      <c r="I276" s="28">
        <v>251559</v>
      </c>
      <c r="J276" s="28">
        <v>0.99</v>
      </c>
      <c r="K276" s="28">
        <v>87</v>
      </c>
      <c r="L276" s="28">
        <v>1</v>
      </c>
    </row>
    <row r="277" spans="1:12" ht="14.25" customHeight="1" x14ac:dyDescent="0.2">
      <c r="A277" s="28">
        <v>276</v>
      </c>
      <c r="B277" s="28" t="s">
        <v>572</v>
      </c>
      <c r="C277" s="28" t="s">
        <v>567</v>
      </c>
      <c r="D277" s="28" t="s">
        <v>542</v>
      </c>
      <c r="E277" s="28" t="s">
        <v>211</v>
      </c>
      <c r="F277" s="28" t="s">
        <v>490</v>
      </c>
      <c r="G277" s="28"/>
      <c r="H277" s="28">
        <v>2901397</v>
      </c>
      <c r="I277" s="28">
        <v>88868</v>
      </c>
      <c r="J277" s="28">
        <v>0.99</v>
      </c>
      <c r="K277" s="28">
        <v>68</v>
      </c>
      <c r="L277" s="28">
        <v>1</v>
      </c>
    </row>
    <row r="278" spans="1:12" ht="14.25" customHeight="1" x14ac:dyDescent="0.2">
      <c r="A278" s="28">
        <v>277</v>
      </c>
      <c r="B278" s="28" t="s">
        <v>573</v>
      </c>
      <c r="C278" s="28" t="s">
        <v>567</v>
      </c>
      <c r="D278" s="28" t="s">
        <v>542</v>
      </c>
      <c r="E278" s="28" t="s">
        <v>211</v>
      </c>
      <c r="F278" s="28" t="s">
        <v>490</v>
      </c>
      <c r="G278" s="28"/>
      <c r="H278" s="28">
        <v>7183969</v>
      </c>
      <c r="I278" s="28">
        <v>215405</v>
      </c>
      <c r="J278" s="28">
        <v>0.99</v>
      </c>
      <c r="K278" s="28">
        <v>83</v>
      </c>
      <c r="L278" s="28">
        <v>0</v>
      </c>
    </row>
    <row r="279" spans="1:12" ht="14.25" customHeight="1" x14ac:dyDescent="0.2">
      <c r="A279" s="28">
        <v>278</v>
      </c>
      <c r="B279" s="28" t="s">
        <v>574</v>
      </c>
      <c r="C279" s="28" t="s">
        <v>567</v>
      </c>
      <c r="D279" s="28" t="s">
        <v>542</v>
      </c>
      <c r="E279" s="28" t="s">
        <v>211</v>
      </c>
      <c r="F279" s="28" t="s">
        <v>490</v>
      </c>
      <c r="G279" s="28"/>
      <c r="H279" s="28">
        <v>8253618</v>
      </c>
      <c r="I279" s="28">
        <v>248372</v>
      </c>
      <c r="J279" s="28">
        <v>0.99</v>
      </c>
      <c r="K279" s="28">
        <v>21</v>
      </c>
      <c r="L279" s="28">
        <v>0</v>
      </c>
    </row>
    <row r="280" spans="1:12" ht="14.25" customHeight="1" x14ac:dyDescent="0.2">
      <c r="A280" s="28">
        <v>279</v>
      </c>
      <c r="B280" s="28" t="s">
        <v>575</v>
      </c>
      <c r="C280" s="28" t="s">
        <v>567</v>
      </c>
      <c r="D280" s="28" t="s">
        <v>542</v>
      </c>
      <c r="E280" s="28" t="s">
        <v>211</v>
      </c>
      <c r="F280" s="28" t="s">
        <v>490</v>
      </c>
      <c r="G280" s="28"/>
      <c r="H280" s="28">
        <v>3536938</v>
      </c>
      <c r="I280" s="28">
        <v>105586</v>
      </c>
      <c r="J280" s="28">
        <v>0.99</v>
      </c>
      <c r="K280" s="28">
        <v>99</v>
      </c>
      <c r="L280" s="28">
        <v>0</v>
      </c>
    </row>
    <row r="281" spans="1:12" ht="14.25" customHeight="1" x14ac:dyDescent="0.2">
      <c r="A281" s="28">
        <v>280</v>
      </c>
      <c r="B281" s="28" t="s">
        <v>576</v>
      </c>
      <c r="C281" s="28" t="s">
        <v>567</v>
      </c>
      <c r="D281" s="28" t="s">
        <v>542</v>
      </c>
      <c r="E281" s="28" t="s">
        <v>211</v>
      </c>
      <c r="F281" s="28" t="s">
        <v>490</v>
      </c>
      <c r="G281" s="28"/>
      <c r="H281" s="28">
        <v>6534200</v>
      </c>
      <c r="I281" s="28">
        <v>193253</v>
      </c>
      <c r="J281" s="28">
        <v>0.99</v>
      </c>
      <c r="K281" s="28">
        <v>12</v>
      </c>
      <c r="L281" s="28">
        <v>2</v>
      </c>
    </row>
    <row r="282" spans="1:12" ht="14.25" customHeight="1" x14ac:dyDescent="0.2">
      <c r="A282" s="28">
        <v>281</v>
      </c>
      <c r="B282" s="28" t="s">
        <v>577</v>
      </c>
      <c r="C282" s="28" t="s">
        <v>567</v>
      </c>
      <c r="D282" s="28" t="s">
        <v>542</v>
      </c>
      <c r="E282" s="28" t="s">
        <v>211</v>
      </c>
      <c r="F282" s="28" t="s">
        <v>490</v>
      </c>
      <c r="G282" s="28"/>
      <c r="H282" s="28">
        <v>13702771</v>
      </c>
      <c r="I282" s="28">
        <v>404323</v>
      </c>
      <c r="J282" s="28">
        <v>0.99</v>
      </c>
      <c r="K282" s="28">
        <v>33</v>
      </c>
      <c r="L282" s="28">
        <v>1</v>
      </c>
    </row>
    <row r="283" spans="1:12" ht="14.25" customHeight="1" x14ac:dyDescent="0.2">
      <c r="A283" s="28">
        <v>282</v>
      </c>
      <c r="B283" s="28" t="s">
        <v>578</v>
      </c>
      <c r="C283" s="28" t="s">
        <v>579</v>
      </c>
      <c r="D283" s="28" t="s">
        <v>580</v>
      </c>
      <c r="E283" s="28" t="s">
        <v>211</v>
      </c>
      <c r="F283" s="28" t="s">
        <v>581</v>
      </c>
      <c r="G283" s="28" t="s">
        <v>582</v>
      </c>
      <c r="H283" s="28">
        <v>8327676</v>
      </c>
      <c r="I283" s="28">
        <v>249808</v>
      </c>
      <c r="J283" s="28">
        <v>0.99</v>
      </c>
      <c r="K283" s="28">
        <v>69</v>
      </c>
      <c r="L283" s="28">
        <v>0</v>
      </c>
    </row>
    <row r="284" spans="1:12" ht="14.25" customHeight="1" x14ac:dyDescent="0.2">
      <c r="A284" s="28">
        <v>283</v>
      </c>
      <c r="B284" s="28" t="s">
        <v>583</v>
      </c>
      <c r="C284" s="28" t="s">
        <v>579</v>
      </c>
      <c r="D284" s="28" t="s">
        <v>580</v>
      </c>
      <c r="E284" s="28" t="s">
        <v>211</v>
      </c>
      <c r="F284" s="28" t="s">
        <v>581</v>
      </c>
      <c r="G284" s="28" t="s">
        <v>584</v>
      </c>
      <c r="H284" s="28">
        <v>7697230</v>
      </c>
      <c r="I284" s="28">
        <v>230922</v>
      </c>
      <c r="J284" s="28">
        <v>0.99</v>
      </c>
      <c r="K284" s="28">
        <v>34</v>
      </c>
      <c r="L284" s="28">
        <v>0</v>
      </c>
    </row>
    <row r="285" spans="1:12" ht="14.25" customHeight="1" x14ac:dyDescent="0.2">
      <c r="A285" s="28">
        <v>284</v>
      </c>
      <c r="B285" s="28" t="s">
        <v>585</v>
      </c>
      <c r="C285" s="28" t="s">
        <v>579</v>
      </c>
      <c r="D285" s="28" t="s">
        <v>580</v>
      </c>
      <c r="E285" s="28" t="s">
        <v>211</v>
      </c>
      <c r="F285" s="28" t="s">
        <v>581</v>
      </c>
      <c r="G285" s="28" t="s">
        <v>376</v>
      </c>
      <c r="H285" s="28">
        <v>8505985</v>
      </c>
      <c r="I285" s="28">
        <v>254615</v>
      </c>
      <c r="J285" s="28">
        <v>0.99</v>
      </c>
      <c r="K285" s="28">
        <v>6</v>
      </c>
      <c r="L285" s="28">
        <v>0</v>
      </c>
    </row>
    <row r="286" spans="1:12" ht="14.25" customHeight="1" x14ac:dyDescent="0.2">
      <c r="A286" s="28">
        <v>285</v>
      </c>
      <c r="B286" s="28" t="s">
        <v>586</v>
      </c>
      <c r="C286" s="28" t="s">
        <v>579</v>
      </c>
      <c r="D286" s="28" t="s">
        <v>580</v>
      </c>
      <c r="E286" s="28" t="s">
        <v>211</v>
      </c>
      <c r="F286" s="28" t="s">
        <v>581</v>
      </c>
      <c r="G286" s="28" t="s">
        <v>587</v>
      </c>
      <c r="H286" s="28">
        <v>6455080</v>
      </c>
      <c r="I286" s="28">
        <v>194220</v>
      </c>
      <c r="J286" s="28">
        <v>0.99</v>
      </c>
      <c r="K286" s="28">
        <v>75</v>
      </c>
      <c r="L286" s="28">
        <v>1</v>
      </c>
    </row>
    <row r="287" spans="1:12" ht="14.25" customHeight="1" x14ac:dyDescent="0.2">
      <c r="A287" s="28">
        <v>286</v>
      </c>
      <c r="B287" s="28" t="s">
        <v>588</v>
      </c>
      <c r="C287" s="28" t="s">
        <v>579</v>
      </c>
      <c r="D287" s="28" t="s">
        <v>580</v>
      </c>
      <c r="E287" s="28" t="s">
        <v>211</v>
      </c>
      <c r="F287" s="28" t="s">
        <v>581</v>
      </c>
      <c r="G287" s="28" t="s">
        <v>589</v>
      </c>
      <c r="H287" s="28">
        <v>7402658</v>
      </c>
      <c r="I287" s="28">
        <v>222145</v>
      </c>
      <c r="J287" s="28">
        <v>0.99</v>
      </c>
      <c r="K287" s="28">
        <v>84</v>
      </c>
      <c r="L287" s="28">
        <v>1</v>
      </c>
    </row>
    <row r="288" spans="1:12" ht="14.25" customHeight="1" x14ac:dyDescent="0.2">
      <c r="A288" s="28">
        <v>287</v>
      </c>
      <c r="B288" s="28" t="s">
        <v>590</v>
      </c>
      <c r="C288" s="28" t="s">
        <v>579</v>
      </c>
      <c r="D288" s="28" t="s">
        <v>580</v>
      </c>
      <c r="E288" s="28" t="s">
        <v>211</v>
      </c>
      <c r="F288" s="28" t="s">
        <v>581</v>
      </c>
      <c r="G288" s="28" t="s">
        <v>499</v>
      </c>
      <c r="H288" s="28">
        <v>10078050</v>
      </c>
      <c r="I288" s="28">
        <v>304352</v>
      </c>
      <c r="J288" s="28">
        <v>0.99</v>
      </c>
      <c r="K288" s="28">
        <v>84</v>
      </c>
      <c r="L288" s="28">
        <v>1</v>
      </c>
    </row>
    <row r="289" spans="1:12" ht="14.25" customHeight="1" x14ac:dyDescent="0.2">
      <c r="A289" s="28">
        <v>288</v>
      </c>
      <c r="B289" s="28" t="s">
        <v>591</v>
      </c>
      <c r="C289" s="28" t="s">
        <v>579</v>
      </c>
      <c r="D289" s="28" t="s">
        <v>580</v>
      </c>
      <c r="E289" s="28" t="s">
        <v>211</v>
      </c>
      <c r="F289" s="28" t="s">
        <v>581</v>
      </c>
      <c r="G289" s="28" t="s">
        <v>592</v>
      </c>
      <c r="H289" s="28">
        <v>7866924</v>
      </c>
      <c r="I289" s="28">
        <v>236382</v>
      </c>
      <c r="J289" s="28">
        <v>0.99</v>
      </c>
      <c r="K289" s="28">
        <v>11</v>
      </c>
      <c r="L289" s="28">
        <v>0</v>
      </c>
    </row>
    <row r="290" spans="1:12" ht="14.25" customHeight="1" x14ac:dyDescent="0.2">
      <c r="A290" s="28">
        <v>289</v>
      </c>
      <c r="B290" s="28" t="s">
        <v>593</v>
      </c>
      <c r="C290" s="28" t="s">
        <v>579</v>
      </c>
      <c r="D290" s="28" t="s">
        <v>580</v>
      </c>
      <c r="E290" s="28" t="s">
        <v>211</v>
      </c>
      <c r="F290" s="28" t="s">
        <v>581</v>
      </c>
      <c r="G290" s="28" t="s">
        <v>594</v>
      </c>
      <c r="H290" s="28">
        <v>7747747</v>
      </c>
      <c r="I290" s="28">
        <v>232280</v>
      </c>
      <c r="J290" s="28">
        <v>0.99</v>
      </c>
      <c r="K290" s="28">
        <v>69</v>
      </c>
      <c r="L290" s="28">
        <v>1</v>
      </c>
    </row>
    <row r="291" spans="1:12" ht="14.25" customHeight="1" x14ac:dyDescent="0.2">
      <c r="A291" s="28">
        <v>290</v>
      </c>
      <c r="B291" s="28" t="s">
        <v>595</v>
      </c>
      <c r="C291" s="28" t="s">
        <v>579</v>
      </c>
      <c r="D291" s="28" t="s">
        <v>580</v>
      </c>
      <c r="E291" s="28" t="s">
        <v>211</v>
      </c>
      <c r="F291" s="28" t="s">
        <v>581</v>
      </c>
      <c r="G291" s="28" t="s">
        <v>594</v>
      </c>
      <c r="H291" s="28">
        <v>8275673</v>
      </c>
      <c r="I291" s="28">
        <v>248842</v>
      </c>
      <c r="J291" s="28">
        <v>0.99</v>
      </c>
      <c r="K291" s="28">
        <v>68</v>
      </c>
      <c r="L291" s="28">
        <v>0</v>
      </c>
    </row>
    <row r="292" spans="1:12" ht="14.25" customHeight="1" x14ac:dyDescent="0.2">
      <c r="A292" s="28">
        <v>291</v>
      </c>
      <c r="B292" s="28" t="s">
        <v>596</v>
      </c>
      <c r="C292" s="28" t="s">
        <v>579</v>
      </c>
      <c r="D292" s="28" t="s">
        <v>580</v>
      </c>
      <c r="E292" s="28" t="s">
        <v>211</v>
      </c>
      <c r="F292" s="28" t="s">
        <v>581</v>
      </c>
      <c r="G292" s="28" t="s">
        <v>584</v>
      </c>
      <c r="H292" s="28">
        <v>6920424</v>
      </c>
      <c r="I292" s="28">
        <v>207542</v>
      </c>
      <c r="J292" s="28">
        <v>0.99</v>
      </c>
      <c r="K292" s="28">
        <v>32</v>
      </c>
      <c r="L292" s="28">
        <v>0</v>
      </c>
    </row>
    <row r="293" spans="1:12" ht="14.25" customHeight="1" x14ac:dyDescent="0.2">
      <c r="A293" s="28">
        <v>292</v>
      </c>
      <c r="B293" s="28" t="s">
        <v>597</v>
      </c>
      <c r="C293" s="28" t="s">
        <v>579</v>
      </c>
      <c r="D293" s="28" t="s">
        <v>580</v>
      </c>
      <c r="E293" s="28" t="s">
        <v>211</v>
      </c>
      <c r="F293" s="28" t="s">
        <v>581</v>
      </c>
      <c r="G293" s="28" t="s">
        <v>594</v>
      </c>
      <c r="H293" s="28">
        <v>7388466</v>
      </c>
      <c r="I293" s="28">
        <v>221544</v>
      </c>
      <c r="J293" s="28">
        <v>0.99</v>
      </c>
      <c r="K293" s="28">
        <v>52</v>
      </c>
      <c r="L293" s="28">
        <v>1</v>
      </c>
    </row>
    <row r="294" spans="1:12" ht="14.25" customHeight="1" x14ac:dyDescent="0.2">
      <c r="A294" s="28">
        <v>293</v>
      </c>
      <c r="B294" s="28" t="s">
        <v>598</v>
      </c>
      <c r="C294" s="28" t="s">
        <v>579</v>
      </c>
      <c r="D294" s="28" t="s">
        <v>580</v>
      </c>
      <c r="E294" s="28" t="s">
        <v>211</v>
      </c>
      <c r="F294" s="28" t="s">
        <v>581</v>
      </c>
      <c r="G294" s="28" t="s">
        <v>599</v>
      </c>
      <c r="H294" s="28">
        <v>8502588</v>
      </c>
      <c r="I294" s="28">
        <v>256026</v>
      </c>
      <c r="J294" s="28">
        <v>0.99</v>
      </c>
      <c r="K294" s="28">
        <v>9</v>
      </c>
      <c r="L294" s="28">
        <v>1</v>
      </c>
    </row>
    <row r="295" spans="1:12" ht="14.25" customHeight="1" x14ac:dyDescent="0.2">
      <c r="A295" s="28">
        <v>294</v>
      </c>
      <c r="B295" s="28" t="s">
        <v>600</v>
      </c>
      <c r="C295" s="28" t="s">
        <v>579</v>
      </c>
      <c r="D295" s="28" t="s">
        <v>580</v>
      </c>
      <c r="E295" s="28" t="s">
        <v>211</v>
      </c>
      <c r="F295" s="28" t="s">
        <v>581</v>
      </c>
      <c r="G295" s="28" t="s">
        <v>601</v>
      </c>
      <c r="H295" s="28">
        <v>5748424</v>
      </c>
      <c r="I295" s="28">
        <v>173008</v>
      </c>
      <c r="J295" s="28">
        <v>0.99</v>
      </c>
      <c r="K295" s="28">
        <v>71</v>
      </c>
      <c r="L295" s="28">
        <v>1</v>
      </c>
    </row>
    <row r="296" spans="1:12" ht="14.25" customHeight="1" x14ac:dyDescent="0.2">
      <c r="A296" s="28">
        <v>295</v>
      </c>
      <c r="B296" s="28" t="s">
        <v>602</v>
      </c>
      <c r="C296" s="28" t="s">
        <v>579</v>
      </c>
      <c r="D296" s="28" t="s">
        <v>580</v>
      </c>
      <c r="E296" s="28" t="s">
        <v>211</v>
      </c>
      <c r="F296" s="28" t="s">
        <v>581</v>
      </c>
      <c r="G296" s="28" t="s">
        <v>603</v>
      </c>
      <c r="H296" s="28">
        <v>8552474</v>
      </c>
      <c r="I296" s="28">
        <v>257619</v>
      </c>
      <c r="J296" s="28">
        <v>0.99</v>
      </c>
      <c r="K296" s="28">
        <v>48</v>
      </c>
      <c r="L296" s="28">
        <v>0</v>
      </c>
    </row>
    <row r="297" spans="1:12" ht="14.25" customHeight="1" x14ac:dyDescent="0.2">
      <c r="A297" s="28">
        <v>296</v>
      </c>
      <c r="B297" s="28" t="s">
        <v>604</v>
      </c>
      <c r="C297" s="28" t="s">
        <v>579</v>
      </c>
      <c r="D297" s="28" t="s">
        <v>580</v>
      </c>
      <c r="E297" s="28" t="s">
        <v>211</v>
      </c>
      <c r="F297" s="28" t="s">
        <v>581</v>
      </c>
      <c r="G297" s="28" t="s">
        <v>594</v>
      </c>
      <c r="H297" s="28">
        <v>6503533</v>
      </c>
      <c r="I297" s="28">
        <v>195239</v>
      </c>
      <c r="J297" s="28">
        <v>0.99</v>
      </c>
      <c r="K297" s="28">
        <v>28</v>
      </c>
      <c r="L297" s="28">
        <v>0</v>
      </c>
    </row>
    <row r="298" spans="1:12" ht="14.25" customHeight="1" x14ac:dyDescent="0.2">
      <c r="A298" s="28">
        <v>297</v>
      </c>
      <c r="B298" s="28" t="s">
        <v>605</v>
      </c>
      <c r="C298" s="28" t="s">
        <v>579</v>
      </c>
      <c r="D298" s="28" t="s">
        <v>580</v>
      </c>
      <c r="E298" s="28" t="s">
        <v>211</v>
      </c>
      <c r="F298" s="28" t="s">
        <v>581</v>
      </c>
      <c r="G298" s="28" t="s">
        <v>606</v>
      </c>
      <c r="H298" s="28">
        <v>7488852</v>
      </c>
      <c r="I298" s="28">
        <v>225332</v>
      </c>
      <c r="J298" s="28">
        <v>0.99</v>
      </c>
      <c r="K298" s="28">
        <v>54</v>
      </c>
      <c r="L298" s="28">
        <v>0</v>
      </c>
    </row>
    <row r="299" spans="1:12" ht="14.25" customHeight="1" x14ac:dyDescent="0.2">
      <c r="A299" s="28">
        <v>298</v>
      </c>
      <c r="B299" s="28" t="s">
        <v>607</v>
      </c>
      <c r="C299" s="28" t="s">
        <v>579</v>
      </c>
      <c r="D299" s="28" t="s">
        <v>580</v>
      </c>
      <c r="E299" s="28" t="s">
        <v>211</v>
      </c>
      <c r="F299" s="28" t="s">
        <v>581</v>
      </c>
      <c r="G299" s="28" t="s">
        <v>608</v>
      </c>
      <c r="H299" s="28">
        <v>7663348</v>
      </c>
      <c r="I299" s="28">
        <v>231392</v>
      </c>
      <c r="J299" s="28">
        <v>0.99</v>
      </c>
      <c r="K299" s="28">
        <v>46</v>
      </c>
      <c r="L299" s="28">
        <v>2</v>
      </c>
    </row>
    <row r="300" spans="1:12" ht="14.25" customHeight="1" x14ac:dyDescent="0.2">
      <c r="A300" s="28">
        <v>299</v>
      </c>
      <c r="B300" s="28" t="s">
        <v>598</v>
      </c>
      <c r="C300" s="28" t="s">
        <v>609</v>
      </c>
      <c r="D300" s="28" t="s">
        <v>580</v>
      </c>
      <c r="E300" s="28" t="s">
        <v>211</v>
      </c>
      <c r="F300" s="28" t="s">
        <v>581</v>
      </c>
      <c r="G300" s="28" t="s">
        <v>599</v>
      </c>
      <c r="H300" s="28">
        <v>10056970</v>
      </c>
      <c r="I300" s="28">
        <v>298396</v>
      </c>
      <c r="J300" s="28">
        <v>0.99</v>
      </c>
      <c r="K300" s="28">
        <v>68</v>
      </c>
      <c r="L300" s="28">
        <v>1</v>
      </c>
    </row>
    <row r="301" spans="1:12" ht="14.25" customHeight="1" x14ac:dyDescent="0.2">
      <c r="A301" s="28">
        <v>300</v>
      </c>
      <c r="B301" s="28" t="s">
        <v>591</v>
      </c>
      <c r="C301" s="28" t="s">
        <v>609</v>
      </c>
      <c r="D301" s="28" t="s">
        <v>580</v>
      </c>
      <c r="E301" s="28" t="s">
        <v>211</v>
      </c>
      <c r="F301" s="28" t="s">
        <v>581</v>
      </c>
      <c r="G301" s="28" t="s">
        <v>610</v>
      </c>
      <c r="H301" s="28">
        <v>6950332</v>
      </c>
      <c r="I301" s="28">
        <v>206942</v>
      </c>
      <c r="J301" s="28">
        <v>0.99</v>
      </c>
      <c r="K301" s="28">
        <v>20</v>
      </c>
      <c r="L301" s="28">
        <v>0</v>
      </c>
    </row>
    <row r="302" spans="1:12" ht="14.25" customHeight="1" x14ac:dyDescent="0.2">
      <c r="A302" s="28">
        <v>301</v>
      </c>
      <c r="B302" s="28" t="s">
        <v>583</v>
      </c>
      <c r="C302" s="28" t="s">
        <v>609</v>
      </c>
      <c r="D302" s="28" t="s">
        <v>580</v>
      </c>
      <c r="E302" s="28" t="s">
        <v>211</v>
      </c>
      <c r="F302" s="28" t="s">
        <v>581</v>
      </c>
      <c r="G302" s="28" t="s">
        <v>584</v>
      </c>
      <c r="H302" s="28">
        <v>9544383</v>
      </c>
      <c r="I302" s="28">
        <v>285231</v>
      </c>
      <c r="J302" s="28">
        <v>0.99</v>
      </c>
      <c r="K302" s="28">
        <v>96</v>
      </c>
      <c r="L302" s="28">
        <v>0</v>
      </c>
    </row>
    <row r="303" spans="1:12" ht="14.25" customHeight="1" x14ac:dyDescent="0.2">
      <c r="A303" s="28">
        <v>302</v>
      </c>
      <c r="B303" s="28" t="s">
        <v>595</v>
      </c>
      <c r="C303" s="28" t="s">
        <v>609</v>
      </c>
      <c r="D303" s="28" t="s">
        <v>580</v>
      </c>
      <c r="E303" s="28" t="s">
        <v>211</v>
      </c>
      <c r="F303" s="28" t="s">
        <v>581</v>
      </c>
      <c r="G303" s="28" t="s">
        <v>611</v>
      </c>
      <c r="H303" s="28">
        <v>9344477</v>
      </c>
      <c r="I303" s="28">
        <v>282174</v>
      </c>
      <c r="J303" s="28">
        <v>0.99</v>
      </c>
      <c r="K303" s="28">
        <v>59</v>
      </c>
      <c r="L303" s="28">
        <v>0</v>
      </c>
    </row>
    <row r="304" spans="1:12" ht="14.25" customHeight="1" x14ac:dyDescent="0.2">
      <c r="A304" s="28">
        <v>303</v>
      </c>
      <c r="B304" s="28" t="s">
        <v>612</v>
      </c>
      <c r="C304" s="28" t="s">
        <v>609</v>
      </c>
      <c r="D304" s="28" t="s">
        <v>580</v>
      </c>
      <c r="E304" s="28" t="s">
        <v>211</v>
      </c>
      <c r="F304" s="28" t="s">
        <v>581</v>
      </c>
      <c r="G304" s="28" t="s">
        <v>613</v>
      </c>
      <c r="H304" s="28">
        <v>8189093</v>
      </c>
      <c r="I304" s="28">
        <v>244950</v>
      </c>
      <c r="J304" s="28">
        <v>0.99</v>
      </c>
      <c r="K304" s="28">
        <v>80</v>
      </c>
      <c r="L304" s="28">
        <v>1</v>
      </c>
    </row>
    <row r="305" spans="1:12" ht="14.25" customHeight="1" x14ac:dyDescent="0.2">
      <c r="A305" s="28">
        <v>304</v>
      </c>
      <c r="B305" s="28" t="s">
        <v>588</v>
      </c>
      <c r="C305" s="28" t="s">
        <v>609</v>
      </c>
      <c r="D305" s="28" t="s">
        <v>580</v>
      </c>
      <c r="E305" s="28" t="s">
        <v>211</v>
      </c>
      <c r="F305" s="28" t="s">
        <v>581</v>
      </c>
      <c r="G305" s="28" t="s">
        <v>614</v>
      </c>
      <c r="H305" s="28">
        <v>7507866</v>
      </c>
      <c r="I305" s="28">
        <v>225488</v>
      </c>
      <c r="J305" s="28">
        <v>0.99</v>
      </c>
      <c r="K305" s="28">
        <v>27</v>
      </c>
      <c r="L305" s="28">
        <v>1</v>
      </c>
    </row>
    <row r="306" spans="1:12" ht="14.25" customHeight="1" x14ac:dyDescent="0.2">
      <c r="A306" s="28">
        <v>305</v>
      </c>
      <c r="B306" s="28" t="s">
        <v>600</v>
      </c>
      <c r="C306" s="28" t="s">
        <v>609</v>
      </c>
      <c r="D306" s="28" t="s">
        <v>580</v>
      </c>
      <c r="E306" s="28" t="s">
        <v>211</v>
      </c>
      <c r="F306" s="28" t="s">
        <v>581</v>
      </c>
      <c r="G306" s="28" t="s">
        <v>613</v>
      </c>
      <c r="H306" s="28">
        <v>6399761</v>
      </c>
      <c r="I306" s="28">
        <v>192391</v>
      </c>
      <c r="J306" s="28">
        <v>0.99</v>
      </c>
      <c r="K306" s="28">
        <v>56</v>
      </c>
      <c r="L306" s="28">
        <v>0</v>
      </c>
    </row>
    <row r="307" spans="1:12" ht="14.25" customHeight="1" x14ac:dyDescent="0.2">
      <c r="A307" s="28">
        <v>306</v>
      </c>
      <c r="B307" s="28" t="s">
        <v>604</v>
      </c>
      <c r="C307" s="28" t="s">
        <v>609</v>
      </c>
      <c r="D307" s="28" t="s">
        <v>580</v>
      </c>
      <c r="E307" s="28" t="s">
        <v>211</v>
      </c>
      <c r="F307" s="28" t="s">
        <v>581</v>
      </c>
      <c r="G307" s="28" t="s">
        <v>615</v>
      </c>
      <c r="H307" s="28">
        <v>8069934</v>
      </c>
      <c r="I307" s="28">
        <v>240300</v>
      </c>
      <c r="J307" s="28">
        <v>0.99</v>
      </c>
      <c r="K307" s="28">
        <v>65</v>
      </c>
      <c r="L307" s="28">
        <v>0</v>
      </c>
    </row>
    <row r="308" spans="1:12" ht="14.25" customHeight="1" x14ac:dyDescent="0.2">
      <c r="A308" s="28">
        <v>307</v>
      </c>
      <c r="B308" s="28" t="s">
        <v>616</v>
      </c>
      <c r="C308" s="28" t="s">
        <v>609</v>
      </c>
      <c r="D308" s="28" t="s">
        <v>580</v>
      </c>
      <c r="E308" s="28" t="s">
        <v>211</v>
      </c>
      <c r="F308" s="28" t="s">
        <v>581</v>
      </c>
      <c r="G308" s="28" t="s">
        <v>617</v>
      </c>
      <c r="H308" s="28">
        <v>5950952</v>
      </c>
      <c r="I308" s="28">
        <v>178155</v>
      </c>
      <c r="J308" s="28">
        <v>0.99</v>
      </c>
      <c r="K308" s="28">
        <v>76</v>
      </c>
      <c r="L308" s="28">
        <v>1</v>
      </c>
    </row>
    <row r="309" spans="1:12" ht="14.25" customHeight="1" x14ac:dyDescent="0.2">
      <c r="A309" s="28">
        <v>308</v>
      </c>
      <c r="B309" s="28" t="s">
        <v>618</v>
      </c>
      <c r="C309" s="28" t="s">
        <v>609</v>
      </c>
      <c r="D309" s="28" t="s">
        <v>580</v>
      </c>
      <c r="E309" s="28" t="s">
        <v>211</v>
      </c>
      <c r="F309" s="28" t="s">
        <v>581</v>
      </c>
      <c r="G309" s="28" t="s">
        <v>619</v>
      </c>
      <c r="H309" s="28">
        <v>9633659</v>
      </c>
      <c r="I309" s="28">
        <v>289750</v>
      </c>
      <c r="J309" s="28">
        <v>0.99</v>
      </c>
      <c r="K309" s="28">
        <v>57</v>
      </c>
      <c r="L309" s="28">
        <v>1</v>
      </c>
    </row>
    <row r="310" spans="1:12" ht="14.25" customHeight="1" x14ac:dyDescent="0.2">
      <c r="A310" s="28">
        <v>309</v>
      </c>
      <c r="B310" s="28" t="s">
        <v>620</v>
      </c>
      <c r="C310" s="28" t="s">
        <v>609</v>
      </c>
      <c r="D310" s="28" t="s">
        <v>580</v>
      </c>
      <c r="E310" s="28" t="s">
        <v>211</v>
      </c>
      <c r="F310" s="28" t="s">
        <v>581</v>
      </c>
      <c r="G310" s="28" t="s">
        <v>580</v>
      </c>
      <c r="H310" s="28">
        <v>8024386</v>
      </c>
      <c r="I310" s="28">
        <v>239725</v>
      </c>
      <c r="J310" s="28">
        <v>0.99</v>
      </c>
      <c r="K310" s="28">
        <v>30</v>
      </c>
      <c r="L310" s="28">
        <v>0</v>
      </c>
    </row>
    <row r="311" spans="1:12" ht="14.25" customHeight="1" x14ac:dyDescent="0.2">
      <c r="A311" s="28">
        <v>310</v>
      </c>
      <c r="B311" s="28" t="s">
        <v>621</v>
      </c>
      <c r="C311" s="28" t="s">
        <v>609</v>
      </c>
      <c r="D311" s="28" t="s">
        <v>580</v>
      </c>
      <c r="E311" s="28" t="s">
        <v>211</v>
      </c>
      <c r="F311" s="28" t="s">
        <v>581</v>
      </c>
      <c r="G311" s="28" t="s">
        <v>622</v>
      </c>
      <c r="H311" s="28">
        <v>8895073</v>
      </c>
      <c r="I311" s="28">
        <v>267363</v>
      </c>
      <c r="J311" s="28">
        <v>0.99</v>
      </c>
      <c r="K311" s="28">
        <v>82</v>
      </c>
      <c r="L311" s="28">
        <v>1</v>
      </c>
    </row>
    <row r="312" spans="1:12" ht="14.25" customHeight="1" x14ac:dyDescent="0.2">
      <c r="A312" s="28">
        <v>311</v>
      </c>
      <c r="B312" s="28" t="s">
        <v>607</v>
      </c>
      <c r="C312" s="28" t="s">
        <v>609</v>
      </c>
      <c r="D312" s="28" t="s">
        <v>580</v>
      </c>
      <c r="E312" s="28" t="s">
        <v>211</v>
      </c>
      <c r="F312" s="28" t="s">
        <v>581</v>
      </c>
      <c r="G312" s="28" t="s">
        <v>623</v>
      </c>
      <c r="H312" s="28">
        <v>9142937</v>
      </c>
      <c r="I312" s="28">
        <v>273031</v>
      </c>
      <c r="J312" s="28">
        <v>0.99</v>
      </c>
      <c r="K312" s="28">
        <v>53</v>
      </c>
      <c r="L312" s="28">
        <v>0</v>
      </c>
    </row>
    <row r="313" spans="1:12" ht="14.25" customHeight="1" x14ac:dyDescent="0.2">
      <c r="A313" s="28">
        <v>312</v>
      </c>
      <c r="B313" s="28" t="s">
        <v>624</v>
      </c>
      <c r="C313" s="28" t="s">
        <v>609</v>
      </c>
      <c r="D313" s="28" t="s">
        <v>580</v>
      </c>
      <c r="E313" s="28" t="s">
        <v>211</v>
      </c>
      <c r="F313" s="28" t="s">
        <v>581</v>
      </c>
      <c r="G313" s="28" t="s">
        <v>625</v>
      </c>
      <c r="H313" s="28">
        <v>7029400</v>
      </c>
      <c r="I313" s="28">
        <v>211147</v>
      </c>
      <c r="J313" s="28">
        <v>0.99</v>
      </c>
      <c r="K313" s="28">
        <v>21</v>
      </c>
      <c r="L313" s="28">
        <v>1</v>
      </c>
    </row>
    <row r="314" spans="1:12" ht="14.25" customHeight="1" x14ac:dyDescent="0.2">
      <c r="A314" s="28">
        <v>313</v>
      </c>
      <c r="B314" s="28" t="s">
        <v>626</v>
      </c>
      <c r="C314" s="28" t="s">
        <v>627</v>
      </c>
      <c r="D314" s="28" t="s">
        <v>628</v>
      </c>
      <c r="E314" s="28" t="s">
        <v>211</v>
      </c>
      <c r="F314" s="28" t="s">
        <v>490</v>
      </c>
      <c r="G314" s="28"/>
      <c r="H314" s="28">
        <v>10309980</v>
      </c>
      <c r="I314" s="28">
        <v>311353</v>
      </c>
      <c r="J314" s="28">
        <v>0.99</v>
      </c>
      <c r="K314" s="28">
        <v>36</v>
      </c>
      <c r="L314" s="28">
        <v>0</v>
      </c>
    </row>
    <row r="315" spans="1:12" ht="14.25" customHeight="1" x14ac:dyDescent="0.2">
      <c r="A315" s="28">
        <v>314</v>
      </c>
      <c r="B315" s="28" t="s">
        <v>629</v>
      </c>
      <c r="C315" s="28" t="s">
        <v>627</v>
      </c>
      <c r="D315" s="28" t="s">
        <v>628</v>
      </c>
      <c r="E315" s="28" t="s">
        <v>211</v>
      </c>
      <c r="F315" s="28" t="s">
        <v>490</v>
      </c>
      <c r="G315" s="28"/>
      <c r="H315" s="28">
        <v>8150846</v>
      </c>
      <c r="I315" s="28">
        <v>244532</v>
      </c>
      <c r="J315" s="28">
        <v>0.99</v>
      </c>
      <c r="K315" s="28">
        <v>91</v>
      </c>
      <c r="L315" s="28">
        <v>0</v>
      </c>
    </row>
    <row r="316" spans="1:12" ht="14.25" customHeight="1" x14ac:dyDescent="0.2">
      <c r="A316" s="28">
        <v>315</v>
      </c>
      <c r="B316" s="28" t="s">
        <v>630</v>
      </c>
      <c r="C316" s="28" t="s">
        <v>627</v>
      </c>
      <c r="D316" s="28" t="s">
        <v>628</v>
      </c>
      <c r="E316" s="28" t="s">
        <v>211</v>
      </c>
      <c r="F316" s="28" t="s">
        <v>490</v>
      </c>
      <c r="G316" s="28"/>
      <c r="H316" s="28">
        <v>8441034</v>
      </c>
      <c r="I316" s="28">
        <v>253492</v>
      </c>
      <c r="J316" s="28">
        <v>0.99</v>
      </c>
      <c r="K316" s="28">
        <v>29</v>
      </c>
      <c r="L316" s="28">
        <v>0</v>
      </c>
    </row>
    <row r="317" spans="1:12" ht="14.25" customHeight="1" x14ac:dyDescent="0.2">
      <c r="A317" s="28">
        <v>316</v>
      </c>
      <c r="B317" s="28" t="s">
        <v>509</v>
      </c>
      <c r="C317" s="28" t="s">
        <v>627</v>
      </c>
      <c r="D317" s="28" t="s">
        <v>628</v>
      </c>
      <c r="E317" s="28" t="s">
        <v>211</v>
      </c>
      <c r="F317" s="28" t="s">
        <v>490</v>
      </c>
      <c r="G317" s="28"/>
      <c r="H317" s="28">
        <v>8123466</v>
      </c>
      <c r="I317" s="28">
        <v>244715</v>
      </c>
      <c r="J317" s="28">
        <v>0.99</v>
      </c>
      <c r="K317" s="28">
        <v>59</v>
      </c>
      <c r="L317" s="28">
        <v>2</v>
      </c>
    </row>
    <row r="318" spans="1:12" ht="14.25" customHeight="1" x14ac:dyDescent="0.2">
      <c r="A318" s="28">
        <v>317</v>
      </c>
      <c r="B318" s="28" t="s">
        <v>631</v>
      </c>
      <c r="C318" s="28" t="s">
        <v>627</v>
      </c>
      <c r="D318" s="28" t="s">
        <v>628</v>
      </c>
      <c r="E318" s="28" t="s">
        <v>211</v>
      </c>
      <c r="F318" s="28" t="s">
        <v>490</v>
      </c>
      <c r="G318" s="28"/>
      <c r="H318" s="28">
        <v>8420093</v>
      </c>
      <c r="I318" s="28">
        <v>254040</v>
      </c>
      <c r="J318" s="28">
        <v>0.99</v>
      </c>
      <c r="K318" s="28">
        <v>44</v>
      </c>
      <c r="L318" s="28">
        <v>1</v>
      </c>
    </row>
    <row r="319" spans="1:12" ht="14.25" customHeight="1" x14ac:dyDescent="0.2">
      <c r="A319" s="28">
        <v>318</v>
      </c>
      <c r="B319" s="28" t="s">
        <v>632</v>
      </c>
      <c r="C319" s="28" t="s">
        <v>627</v>
      </c>
      <c r="D319" s="28" t="s">
        <v>628</v>
      </c>
      <c r="E319" s="28" t="s">
        <v>211</v>
      </c>
      <c r="F319" s="28" t="s">
        <v>490</v>
      </c>
      <c r="G319" s="28"/>
      <c r="H319" s="28">
        <v>8731945</v>
      </c>
      <c r="I319" s="28">
        <v>264202</v>
      </c>
      <c r="J319" s="28">
        <v>0.99</v>
      </c>
      <c r="K319" s="28">
        <v>32</v>
      </c>
      <c r="L319" s="28">
        <v>0</v>
      </c>
    </row>
    <row r="320" spans="1:12" ht="14.25" customHeight="1" x14ac:dyDescent="0.2">
      <c r="A320" s="28">
        <v>319</v>
      </c>
      <c r="B320" s="28" t="s">
        <v>633</v>
      </c>
      <c r="C320" s="28" t="s">
        <v>627</v>
      </c>
      <c r="D320" s="28" t="s">
        <v>628</v>
      </c>
      <c r="E320" s="28" t="s">
        <v>211</v>
      </c>
      <c r="F320" s="28" t="s">
        <v>490</v>
      </c>
      <c r="G320" s="28"/>
      <c r="H320" s="28">
        <v>7685326</v>
      </c>
      <c r="I320" s="28">
        <v>230452</v>
      </c>
      <c r="J320" s="28">
        <v>0.99</v>
      </c>
      <c r="K320" s="28">
        <v>24</v>
      </c>
      <c r="L320" s="28">
        <v>0</v>
      </c>
    </row>
    <row r="321" spans="1:12" ht="14.25" customHeight="1" x14ac:dyDescent="0.2">
      <c r="A321" s="28">
        <v>320</v>
      </c>
      <c r="B321" s="28" t="s">
        <v>634</v>
      </c>
      <c r="C321" s="28" t="s">
        <v>627</v>
      </c>
      <c r="D321" s="28" t="s">
        <v>628</v>
      </c>
      <c r="E321" s="28" t="s">
        <v>211</v>
      </c>
      <c r="F321" s="28" t="s">
        <v>490</v>
      </c>
      <c r="G321" s="28"/>
      <c r="H321" s="28">
        <v>9205941</v>
      </c>
      <c r="I321" s="28">
        <v>275748</v>
      </c>
      <c r="J321" s="28">
        <v>0.99</v>
      </c>
      <c r="K321" s="28">
        <v>98</v>
      </c>
      <c r="L321" s="28">
        <v>0</v>
      </c>
    </row>
    <row r="322" spans="1:12" ht="14.25" customHeight="1" x14ac:dyDescent="0.2">
      <c r="A322" s="28">
        <v>321</v>
      </c>
      <c r="B322" s="28" t="s">
        <v>635</v>
      </c>
      <c r="C322" s="28" t="s">
        <v>627</v>
      </c>
      <c r="D322" s="28" t="s">
        <v>628</v>
      </c>
      <c r="E322" s="28" t="s">
        <v>211</v>
      </c>
      <c r="F322" s="28" t="s">
        <v>490</v>
      </c>
      <c r="G322" s="28"/>
      <c r="H322" s="28">
        <v>8873358</v>
      </c>
      <c r="I322" s="28">
        <v>266605</v>
      </c>
      <c r="J322" s="28">
        <v>0.99</v>
      </c>
      <c r="K322" s="28">
        <v>41</v>
      </c>
      <c r="L322" s="28">
        <v>1</v>
      </c>
    </row>
    <row r="323" spans="1:12" ht="14.25" customHeight="1" x14ac:dyDescent="0.2">
      <c r="A323" s="28">
        <v>322</v>
      </c>
      <c r="B323" s="28" t="s">
        <v>636</v>
      </c>
      <c r="C323" s="28" t="s">
        <v>627</v>
      </c>
      <c r="D323" s="28" t="s">
        <v>628</v>
      </c>
      <c r="E323" s="28" t="s">
        <v>211</v>
      </c>
      <c r="F323" s="28" t="s">
        <v>490</v>
      </c>
      <c r="G323" s="28"/>
      <c r="H323" s="28">
        <v>7111596</v>
      </c>
      <c r="I323" s="28">
        <v>214595</v>
      </c>
      <c r="J323" s="28">
        <v>0.99</v>
      </c>
      <c r="K323" s="28">
        <v>62</v>
      </c>
      <c r="L323" s="28">
        <v>1</v>
      </c>
    </row>
    <row r="324" spans="1:12" ht="14.25" customHeight="1" x14ac:dyDescent="0.2">
      <c r="A324" s="28">
        <v>323</v>
      </c>
      <c r="B324" s="28" t="s">
        <v>637</v>
      </c>
      <c r="C324" s="28" t="s">
        <v>638</v>
      </c>
      <c r="D324" s="28" t="s">
        <v>639</v>
      </c>
      <c r="E324" s="28" t="s">
        <v>211</v>
      </c>
      <c r="F324" s="28" t="s">
        <v>640</v>
      </c>
      <c r="G324" s="28" t="s">
        <v>641</v>
      </c>
      <c r="H324" s="28">
        <v>6892516</v>
      </c>
      <c r="I324" s="28">
        <v>205479</v>
      </c>
      <c r="J324" s="28">
        <v>0.99</v>
      </c>
      <c r="K324" s="28">
        <v>38</v>
      </c>
      <c r="L324" s="28">
        <v>0</v>
      </c>
    </row>
    <row r="325" spans="1:12" ht="14.25" customHeight="1" x14ac:dyDescent="0.2">
      <c r="A325" s="28">
        <v>324</v>
      </c>
      <c r="B325" s="28" t="s">
        <v>642</v>
      </c>
      <c r="C325" s="28" t="s">
        <v>638</v>
      </c>
      <c r="D325" s="28" t="s">
        <v>639</v>
      </c>
      <c r="E325" s="28" t="s">
        <v>211</v>
      </c>
      <c r="F325" s="28" t="s">
        <v>640</v>
      </c>
      <c r="G325" s="28" t="s">
        <v>643</v>
      </c>
      <c r="H325" s="28">
        <v>6643207</v>
      </c>
      <c r="I325" s="28">
        <v>198661</v>
      </c>
      <c r="J325" s="28">
        <v>0.99</v>
      </c>
      <c r="K325" s="28">
        <v>53</v>
      </c>
      <c r="L325" s="28">
        <v>0</v>
      </c>
    </row>
    <row r="326" spans="1:12" ht="14.25" customHeight="1" x14ac:dyDescent="0.2">
      <c r="A326" s="28">
        <v>325</v>
      </c>
      <c r="B326" s="28" t="s">
        <v>644</v>
      </c>
      <c r="C326" s="28" t="s">
        <v>638</v>
      </c>
      <c r="D326" s="28" t="s">
        <v>639</v>
      </c>
      <c r="E326" s="28" t="s">
        <v>211</v>
      </c>
      <c r="F326" s="28" t="s">
        <v>640</v>
      </c>
      <c r="G326" s="28" t="s">
        <v>645</v>
      </c>
      <c r="H326" s="28">
        <v>6507950</v>
      </c>
      <c r="I326" s="28">
        <v>194194</v>
      </c>
      <c r="J326" s="28">
        <v>0.99</v>
      </c>
      <c r="K326" s="28">
        <v>16</v>
      </c>
      <c r="L326" s="28">
        <v>1</v>
      </c>
    </row>
    <row r="327" spans="1:12" ht="14.25" customHeight="1" x14ac:dyDescent="0.2">
      <c r="A327" s="28">
        <v>326</v>
      </c>
      <c r="B327" s="28" t="s">
        <v>646</v>
      </c>
      <c r="C327" s="28" t="s">
        <v>638</v>
      </c>
      <c r="D327" s="28" t="s">
        <v>639</v>
      </c>
      <c r="E327" s="28" t="s">
        <v>211</v>
      </c>
      <c r="F327" s="28" t="s">
        <v>640</v>
      </c>
      <c r="G327" s="28" t="s">
        <v>647</v>
      </c>
      <c r="H327" s="28">
        <v>6327391</v>
      </c>
      <c r="I327" s="28">
        <v>188630</v>
      </c>
      <c r="J327" s="28">
        <v>0.99</v>
      </c>
      <c r="K327" s="28">
        <v>72</v>
      </c>
      <c r="L327" s="28">
        <v>1</v>
      </c>
    </row>
    <row r="328" spans="1:12" ht="14.25" customHeight="1" x14ac:dyDescent="0.2">
      <c r="A328" s="28">
        <v>327</v>
      </c>
      <c r="B328" s="28" t="s">
        <v>648</v>
      </c>
      <c r="C328" s="28" t="s">
        <v>638</v>
      </c>
      <c r="D328" s="28" t="s">
        <v>639</v>
      </c>
      <c r="E328" s="28" t="s">
        <v>211</v>
      </c>
      <c r="F328" s="28" t="s">
        <v>640</v>
      </c>
      <c r="G328" s="28" t="s">
        <v>649</v>
      </c>
      <c r="H328" s="28">
        <v>7748006</v>
      </c>
      <c r="I328" s="28">
        <v>230791</v>
      </c>
      <c r="J328" s="28">
        <v>0.99</v>
      </c>
      <c r="K328" s="28">
        <v>88</v>
      </c>
      <c r="L328" s="28">
        <v>0</v>
      </c>
    </row>
    <row r="329" spans="1:12" ht="14.25" customHeight="1" x14ac:dyDescent="0.2">
      <c r="A329" s="28">
        <v>328</v>
      </c>
      <c r="B329" s="28" t="s">
        <v>650</v>
      </c>
      <c r="C329" s="28" t="s">
        <v>638</v>
      </c>
      <c r="D329" s="28" t="s">
        <v>639</v>
      </c>
      <c r="E329" s="28" t="s">
        <v>211</v>
      </c>
      <c r="F329" s="28" t="s">
        <v>640</v>
      </c>
      <c r="G329" s="28" t="s">
        <v>651</v>
      </c>
      <c r="H329" s="28">
        <v>7034985</v>
      </c>
      <c r="I329" s="28">
        <v>206733</v>
      </c>
      <c r="J329" s="28">
        <v>0.99</v>
      </c>
      <c r="K329" s="28">
        <v>16</v>
      </c>
      <c r="L329" s="28">
        <v>0</v>
      </c>
    </row>
    <row r="330" spans="1:12" ht="14.25" customHeight="1" x14ac:dyDescent="0.2">
      <c r="A330" s="28">
        <v>329</v>
      </c>
      <c r="B330" s="28" t="s">
        <v>652</v>
      </c>
      <c r="C330" s="28" t="s">
        <v>638</v>
      </c>
      <c r="D330" s="28" t="s">
        <v>639</v>
      </c>
      <c r="E330" s="28" t="s">
        <v>211</v>
      </c>
      <c r="F330" s="28" t="s">
        <v>640</v>
      </c>
      <c r="G330" s="28" t="s">
        <v>653</v>
      </c>
      <c r="H330" s="28">
        <v>6973625</v>
      </c>
      <c r="I330" s="28">
        <v>210155</v>
      </c>
      <c r="J330" s="28">
        <v>0.99</v>
      </c>
      <c r="K330" s="28">
        <v>34</v>
      </c>
      <c r="L330" s="28">
        <v>0</v>
      </c>
    </row>
    <row r="331" spans="1:12" ht="14.25" customHeight="1" x14ac:dyDescent="0.2">
      <c r="A331" s="28">
        <v>330</v>
      </c>
      <c r="B331" s="28" t="s">
        <v>654</v>
      </c>
      <c r="C331" s="28" t="s">
        <v>638</v>
      </c>
      <c r="D331" s="28" t="s">
        <v>639</v>
      </c>
      <c r="E331" s="28" t="s">
        <v>211</v>
      </c>
      <c r="F331" s="28" t="s">
        <v>640</v>
      </c>
      <c r="G331" s="28" t="s">
        <v>655</v>
      </c>
      <c r="H331" s="28">
        <v>6457752</v>
      </c>
      <c r="I331" s="28">
        <v>190093</v>
      </c>
      <c r="J331" s="28">
        <v>0.99</v>
      </c>
      <c r="K331" s="28">
        <v>43</v>
      </c>
      <c r="L331" s="28">
        <v>1</v>
      </c>
    </row>
    <row r="332" spans="1:12" ht="14.25" customHeight="1" x14ac:dyDescent="0.2">
      <c r="A332" s="28">
        <v>331</v>
      </c>
      <c r="B332" s="28" t="s">
        <v>656</v>
      </c>
      <c r="C332" s="28" t="s">
        <v>638</v>
      </c>
      <c r="D332" s="28" t="s">
        <v>639</v>
      </c>
      <c r="E332" s="28" t="s">
        <v>211</v>
      </c>
      <c r="F332" s="28" t="s">
        <v>640</v>
      </c>
      <c r="G332" s="28" t="s">
        <v>657</v>
      </c>
      <c r="H332" s="28">
        <v>7254147</v>
      </c>
      <c r="I332" s="28">
        <v>214256</v>
      </c>
      <c r="J332" s="28">
        <v>0.99</v>
      </c>
      <c r="K332" s="28">
        <v>53</v>
      </c>
      <c r="L332" s="28">
        <v>1</v>
      </c>
    </row>
    <row r="333" spans="1:12" ht="14.25" customHeight="1" x14ac:dyDescent="0.2">
      <c r="A333" s="28">
        <v>332</v>
      </c>
      <c r="B333" s="28" t="s">
        <v>658</v>
      </c>
      <c r="C333" s="28" t="s">
        <v>638</v>
      </c>
      <c r="D333" s="28" t="s">
        <v>639</v>
      </c>
      <c r="E333" s="28" t="s">
        <v>211</v>
      </c>
      <c r="F333" s="28" t="s">
        <v>640</v>
      </c>
      <c r="G333" s="28" t="s">
        <v>659</v>
      </c>
      <c r="H333" s="28">
        <v>7027525</v>
      </c>
      <c r="I333" s="28">
        <v>210599</v>
      </c>
      <c r="J333" s="28">
        <v>0.99</v>
      </c>
      <c r="K333" s="28">
        <v>95</v>
      </c>
      <c r="L333" s="28">
        <v>0</v>
      </c>
    </row>
    <row r="334" spans="1:12" ht="14.25" customHeight="1" x14ac:dyDescent="0.2">
      <c r="A334" s="28">
        <v>333</v>
      </c>
      <c r="B334" s="28" t="s">
        <v>660</v>
      </c>
      <c r="C334" s="28" t="s">
        <v>638</v>
      </c>
      <c r="D334" s="28" t="s">
        <v>639</v>
      </c>
      <c r="E334" s="28" t="s">
        <v>211</v>
      </c>
      <c r="F334" s="28" t="s">
        <v>640</v>
      </c>
      <c r="G334" s="28" t="s">
        <v>661</v>
      </c>
      <c r="H334" s="28">
        <v>6568081</v>
      </c>
      <c r="I334" s="28">
        <v>196519</v>
      </c>
      <c r="J334" s="28">
        <v>0.99</v>
      </c>
      <c r="K334" s="28">
        <v>89</v>
      </c>
      <c r="L334" s="28">
        <v>0</v>
      </c>
    </row>
    <row r="335" spans="1:12" ht="14.25" customHeight="1" x14ac:dyDescent="0.2">
      <c r="A335" s="28">
        <v>334</v>
      </c>
      <c r="B335" s="28" t="s">
        <v>662</v>
      </c>
      <c r="C335" s="28" t="s">
        <v>638</v>
      </c>
      <c r="D335" s="28" t="s">
        <v>639</v>
      </c>
      <c r="E335" s="28" t="s">
        <v>211</v>
      </c>
      <c r="F335" s="28" t="s">
        <v>640</v>
      </c>
      <c r="G335" s="28" t="s">
        <v>663</v>
      </c>
      <c r="H335" s="28">
        <v>6931328</v>
      </c>
      <c r="I335" s="28">
        <v>206654</v>
      </c>
      <c r="J335" s="28">
        <v>0.99</v>
      </c>
      <c r="K335" s="28">
        <v>45</v>
      </c>
      <c r="L335" s="28">
        <v>1</v>
      </c>
    </row>
    <row r="336" spans="1:12" ht="14.25" customHeight="1" x14ac:dyDescent="0.2">
      <c r="A336" s="28">
        <v>335</v>
      </c>
      <c r="B336" s="28" t="s">
        <v>664</v>
      </c>
      <c r="C336" s="28" t="s">
        <v>638</v>
      </c>
      <c r="D336" s="28" t="s">
        <v>639</v>
      </c>
      <c r="E336" s="28" t="s">
        <v>211</v>
      </c>
      <c r="F336" s="28" t="s">
        <v>640</v>
      </c>
      <c r="G336" s="28" t="s">
        <v>665</v>
      </c>
      <c r="H336" s="28">
        <v>6772813</v>
      </c>
      <c r="I336" s="28">
        <v>203493</v>
      </c>
      <c r="J336" s="28">
        <v>0.99</v>
      </c>
      <c r="K336" s="28">
        <v>70</v>
      </c>
      <c r="L336" s="28">
        <v>1</v>
      </c>
    </row>
    <row r="337" spans="1:12" ht="14.25" customHeight="1" x14ac:dyDescent="0.2">
      <c r="A337" s="28">
        <v>336</v>
      </c>
      <c r="B337" s="28" t="s">
        <v>666</v>
      </c>
      <c r="C337" s="28" t="s">
        <v>638</v>
      </c>
      <c r="D337" s="28" t="s">
        <v>639</v>
      </c>
      <c r="E337" s="28" t="s">
        <v>211</v>
      </c>
      <c r="F337" s="28" t="s">
        <v>640</v>
      </c>
      <c r="G337" s="28" t="s">
        <v>667</v>
      </c>
      <c r="H337" s="28">
        <v>5532564</v>
      </c>
      <c r="I337" s="28">
        <v>166687</v>
      </c>
      <c r="J337" s="28">
        <v>0.99</v>
      </c>
      <c r="K337" s="28">
        <v>58</v>
      </c>
      <c r="L337" s="28">
        <v>0</v>
      </c>
    </row>
    <row r="338" spans="1:12" ht="14.25" customHeight="1" x14ac:dyDescent="0.2">
      <c r="A338" s="28">
        <v>337</v>
      </c>
      <c r="B338" s="28" t="s">
        <v>668</v>
      </c>
      <c r="C338" s="28" t="s">
        <v>669</v>
      </c>
      <c r="D338" s="28" t="s">
        <v>670</v>
      </c>
      <c r="E338" s="28" t="s">
        <v>211</v>
      </c>
      <c r="F338" s="28" t="s">
        <v>212</v>
      </c>
      <c r="G338" s="28" t="s">
        <v>671</v>
      </c>
      <c r="H338" s="28">
        <v>10249958</v>
      </c>
      <c r="I338" s="28">
        <v>315951</v>
      </c>
      <c r="J338" s="28">
        <v>0.99</v>
      </c>
      <c r="K338" s="28">
        <v>3</v>
      </c>
      <c r="L338" s="28">
        <v>0</v>
      </c>
    </row>
    <row r="339" spans="1:12" ht="14.25" customHeight="1" x14ac:dyDescent="0.2">
      <c r="A339" s="28">
        <v>338</v>
      </c>
      <c r="B339" s="28" t="s">
        <v>672</v>
      </c>
      <c r="C339" s="28" t="s">
        <v>669</v>
      </c>
      <c r="D339" s="28" t="s">
        <v>670</v>
      </c>
      <c r="E339" s="28" t="s">
        <v>211</v>
      </c>
      <c r="F339" s="28" t="s">
        <v>212</v>
      </c>
      <c r="G339" s="28" t="s">
        <v>473</v>
      </c>
      <c r="H339" s="28">
        <v>8581414</v>
      </c>
      <c r="I339" s="28">
        <v>263836</v>
      </c>
      <c r="J339" s="28">
        <v>0.99</v>
      </c>
      <c r="K339" s="28">
        <v>16</v>
      </c>
      <c r="L339" s="28">
        <v>0</v>
      </c>
    </row>
    <row r="340" spans="1:12" ht="14.25" customHeight="1" x14ac:dyDescent="0.2">
      <c r="A340" s="28">
        <v>339</v>
      </c>
      <c r="B340" s="28" t="s">
        <v>673</v>
      </c>
      <c r="C340" s="28" t="s">
        <v>669</v>
      </c>
      <c r="D340" s="28" t="s">
        <v>670</v>
      </c>
      <c r="E340" s="28" t="s">
        <v>211</v>
      </c>
      <c r="F340" s="28" t="s">
        <v>212</v>
      </c>
      <c r="G340" s="28" t="s">
        <v>674</v>
      </c>
      <c r="H340" s="28">
        <v>6287257</v>
      </c>
      <c r="I340" s="28">
        <v>192653</v>
      </c>
      <c r="J340" s="28">
        <v>0.99</v>
      </c>
      <c r="K340" s="28">
        <v>22</v>
      </c>
      <c r="L340" s="28">
        <v>1</v>
      </c>
    </row>
    <row r="341" spans="1:12" ht="14.25" customHeight="1" x14ac:dyDescent="0.2">
      <c r="A341" s="28">
        <v>340</v>
      </c>
      <c r="B341" s="28" t="s">
        <v>675</v>
      </c>
      <c r="C341" s="28" t="s">
        <v>669</v>
      </c>
      <c r="D341" s="28" t="s">
        <v>670</v>
      </c>
      <c r="E341" s="28" t="s">
        <v>211</v>
      </c>
      <c r="F341" s="28" t="s">
        <v>212</v>
      </c>
      <c r="G341" s="28" t="s">
        <v>676</v>
      </c>
      <c r="H341" s="28">
        <v>13035765</v>
      </c>
      <c r="I341" s="28">
        <v>401920</v>
      </c>
      <c r="J341" s="28">
        <v>0.99</v>
      </c>
      <c r="K341" s="28">
        <v>12</v>
      </c>
      <c r="L341" s="28">
        <v>1</v>
      </c>
    </row>
    <row r="342" spans="1:12" ht="14.25" customHeight="1" x14ac:dyDescent="0.2">
      <c r="A342" s="28">
        <v>341</v>
      </c>
      <c r="B342" s="28" t="s">
        <v>677</v>
      </c>
      <c r="C342" s="28" t="s">
        <v>669</v>
      </c>
      <c r="D342" s="28" t="s">
        <v>670</v>
      </c>
      <c r="E342" s="28" t="s">
        <v>211</v>
      </c>
      <c r="F342" s="28" t="s">
        <v>212</v>
      </c>
      <c r="G342" s="28" t="s">
        <v>678</v>
      </c>
      <c r="H342" s="28">
        <v>5995686</v>
      </c>
      <c r="I342" s="28">
        <v>183327</v>
      </c>
      <c r="J342" s="28">
        <v>0.99</v>
      </c>
      <c r="K342" s="28">
        <v>68</v>
      </c>
      <c r="L342" s="28">
        <v>0</v>
      </c>
    </row>
    <row r="343" spans="1:12" ht="14.25" customHeight="1" x14ac:dyDescent="0.2">
      <c r="A343" s="28">
        <v>342</v>
      </c>
      <c r="B343" s="28" t="s">
        <v>679</v>
      </c>
      <c r="C343" s="28" t="s">
        <v>669</v>
      </c>
      <c r="D343" s="28" t="s">
        <v>670</v>
      </c>
      <c r="E343" s="28" t="s">
        <v>211</v>
      </c>
      <c r="F343" s="28" t="s">
        <v>212</v>
      </c>
      <c r="G343" s="28" t="s">
        <v>680</v>
      </c>
      <c r="H343" s="28">
        <v>8497116</v>
      </c>
      <c r="I343" s="28">
        <v>260675</v>
      </c>
      <c r="J343" s="28">
        <v>0.99</v>
      </c>
      <c r="K343" s="28">
        <v>79</v>
      </c>
      <c r="L343" s="28">
        <v>0</v>
      </c>
    </row>
    <row r="344" spans="1:12" ht="14.25" customHeight="1" x14ac:dyDescent="0.2">
      <c r="A344" s="28">
        <v>343</v>
      </c>
      <c r="B344" s="28" t="s">
        <v>681</v>
      </c>
      <c r="C344" s="28" t="s">
        <v>669</v>
      </c>
      <c r="D344" s="28" t="s">
        <v>670</v>
      </c>
      <c r="E344" s="28" t="s">
        <v>211</v>
      </c>
      <c r="F344" s="28" t="s">
        <v>212</v>
      </c>
      <c r="G344" s="28" t="s">
        <v>674</v>
      </c>
      <c r="H344" s="28">
        <v>5261022</v>
      </c>
      <c r="I344" s="28">
        <v>161149</v>
      </c>
      <c r="J344" s="28">
        <v>0.99</v>
      </c>
      <c r="K344" s="28">
        <v>0</v>
      </c>
      <c r="L344" s="28">
        <v>1</v>
      </c>
    </row>
    <row r="345" spans="1:12" ht="14.25" customHeight="1" x14ac:dyDescent="0.2">
      <c r="A345" s="28">
        <v>344</v>
      </c>
      <c r="B345" s="28" t="s">
        <v>682</v>
      </c>
      <c r="C345" s="28" t="s">
        <v>669</v>
      </c>
      <c r="D345" s="28" t="s">
        <v>670</v>
      </c>
      <c r="E345" s="28" t="s">
        <v>211</v>
      </c>
      <c r="F345" s="28" t="s">
        <v>212</v>
      </c>
      <c r="G345" s="28" t="s">
        <v>683</v>
      </c>
      <c r="H345" s="28">
        <v>10232581</v>
      </c>
      <c r="I345" s="28">
        <v>312032</v>
      </c>
      <c r="J345" s="28">
        <v>0.99</v>
      </c>
      <c r="K345" s="28">
        <v>50</v>
      </c>
      <c r="L345" s="28">
        <v>1</v>
      </c>
    </row>
    <row r="346" spans="1:12" ht="14.25" customHeight="1" x14ac:dyDescent="0.2">
      <c r="A346" s="28">
        <v>345</v>
      </c>
      <c r="B346" s="28" t="s">
        <v>684</v>
      </c>
      <c r="C346" s="28" t="s">
        <v>669</v>
      </c>
      <c r="D346" s="28" t="s">
        <v>670</v>
      </c>
      <c r="E346" s="28" t="s">
        <v>211</v>
      </c>
      <c r="F346" s="28" t="s">
        <v>212</v>
      </c>
      <c r="G346" s="28" t="s">
        <v>685</v>
      </c>
      <c r="H346" s="28">
        <v>12258175</v>
      </c>
      <c r="I346" s="28">
        <v>373394</v>
      </c>
      <c r="J346" s="28">
        <v>0.99</v>
      </c>
      <c r="K346" s="28">
        <v>99</v>
      </c>
      <c r="L346" s="28">
        <v>0</v>
      </c>
    </row>
    <row r="347" spans="1:12" ht="14.25" customHeight="1" x14ac:dyDescent="0.2">
      <c r="A347" s="28">
        <v>346</v>
      </c>
      <c r="B347" s="28" t="s">
        <v>686</v>
      </c>
      <c r="C347" s="28" t="s">
        <v>669</v>
      </c>
      <c r="D347" s="28" t="s">
        <v>670</v>
      </c>
      <c r="E347" s="28" t="s">
        <v>211</v>
      </c>
      <c r="F347" s="28" t="s">
        <v>212</v>
      </c>
      <c r="G347" s="28" t="s">
        <v>687</v>
      </c>
      <c r="H347" s="28">
        <v>4165650</v>
      </c>
      <c r="I347" s="28">
        <v>127869</v>
      </c>
      <c r="J347" s="28">
        <v>0.99</v>
      </c>
      <c r="K347" s="28">
        <v>7</v>
      </c>
      <c r="L347" s="28">
        <v>0</v>
      </c>
    </row>
    <row r="348" spans="1:12" ht="14.25" customHeight="1" x14ac:dyDescent="0.2">
      <c r="A348" s="28">
        <v>347</v>
      </c>
      <c r="B348" s="28" t="s">
        <v>688</v>
      </c>
      <c r="C348" s="28" t="s">
        <v>669</v>
      </c>
      <c r="D348" s="28" t="s">
        <v>670</v>
      </c>
      <c r="E348" s="28" t="s">
        <v>211</v>
      </c>
      <c r="F348" s="28" t="s">
        <v>212</v>
      </c>
      <c r="G348" s="28" t="s">
        <v>674</v>
      </c>
      <c r="H348" s="28">
        <v>6041133</v>
      </c>
      <c r="I348" s="28">
        <v>185260</v>
      </c>
      <c r="J348" s="28">
        <v>0.99</v>
      </c>
      <c r="K348" s="28">
        <v>35</v>
      </c>
      <c r="L348" s="28">
        <v>0</v>
      </c>
    </row>
    <row r="349" spans="1:12" ht="14.25" customHeight="1" x14ac:dyDescent="0.2">
      <c r="A349" s="28">
        <v>348</v>
      </c>
      <c r="B349" s="28" t="s">
        <v>689</v>
      </c>
      <c r="C349" s="28" t="s">
        <v>669</v>
      </c>
      <c r="D349" s="28" t="s">
        <v>670</v>
      </c>
      <c r="E349" s="28" t="s">
        <v>211</v>
      </c>
      <c r="F349" s="28" t="s">
        <v>212</v>
      </c>
      <c r="G349" s="28" t="s">
        <v>473</v>
      </c>
      <c r="H349" s="28">
        <v>12377615</v>
      </c>
      <c r="I349" s="28">
        <v>380551</v>
      </c>
      <c r="J349" s="28">
        <v>0.99</v>
      </c>
      <c r="K349" s="28">
        <v>44</v>
      </c>
      <c r="L349" s="28">
        <v>1</v>
      </c>
    </row>
    <row r="350" spans="1:12" ht="14.25" customHeight="1" x14ac:dyDescent="0.2">
      <c r="A350" s="28">
        <v>349</v>
      </c>
      <c r="B350" s="28" t="s">
        <v>690</v>
      </c>
      <c r="C350" s="28" t="s">
        <v>669</v>
      </c>
      <c r="D350" s="28" t="s">
        <v>670</v>
      </c>
      <c r="E350" s="28" t="s">
        <v>211</v>
      </c>
      <c r="F350" s="28" t="s">
        <v>212</v>
      </c>
      <c r="G350" s="28" t="s">
        <v>671</v>
      </c>
      <c r="H350" s="28">
        <v>20138673</v>
      </c>
      <c r="I350" s="28">
        <v>619467</v>
      </c>
      <c r="J350" s="28">
        <v>0.99</v>
      </c>
      <c r="K350" s="28">
        <v>16</v>
      </c>
      <c r="L350" s="28">
        <v>1</v>
      </c>
    </row>
    <row r="351" spans="1:12" ht="14.25" customHeight="1" x14ac:dyDescent="0.2">
      <c r="A351" s="28">
        <v>350</v>
      </c>
      <c r="B351" s="28" t="s">
        <v>691</v>
      </c>
      <c r="C351" s="28" t="s">
        <v>669</v>
      </c>
      <c r="D351" s="28" t="s">
        <v>670</v>
      </c>
      <c r="E351" s="28" t="s">
        <v>211</v>
      </c>
      <c r="F351" s="28" t="s">
        <v>212</v>
      </c>
      <c r="G351" s="28" t="s">
        <v>692</v>
      </c>
      <c r="H351" s="28">
        <v>23092953</v>
      </c>
      <c r="I351" s="28">
        <v>711836</v>
      </c>
      <c r="J351" s="28">
        <v>0.99</v>
      </c>
      <c r="K351" s="28">
        <v>46</v>
      </c>
      <c r="L351" s="28">
        <v>0</v>
      </c>
    </row>
    <row r="352" spans="1:12" ht="14.25" customHeight="1" x14ac:dyDescent="0.2">
      <c r="A352" s="28">
        <v>351</v>
      </c>
      <c r="B352" s="28" t="s">
        <v>693</v>
      </c>
      <c r="C352" s="28" t="s">
        <v>694</v>
      </c>
      <c r="D352" s="28" t="s">
        <v>695</v>
      </c>
      <c r="E352" s="28" t="s">
        <v>211</v>
      </c>
      <c r="F352" s="28" t="s">
        <v>212</v>
      </c>
      <c r="G352" s="28" t="s">
        <v>696</v>
      </c>
      <c r="H352" s="28">
        <v>7649679</v>
      </c>
      <c r="I352" s="28">
        <v>234553</v>
      </c>
      <c r="J352" s="28">
        <v>0.99</v>
      </c>
      <c r="K352" s="28">
        <v>66</v>
      </c>
      <c r="L352" s="28">
        <v>0</v>
      </c>
    </row>
    <row r="353" spans="1:12" ht="14.25" customHeight="1" x14ac:dyDescent="0.2">
      <c r="A353" s="28">
        <v>352</v>
      </c>
      <c r="B353" s="28" t="s">
        <v>697</v>
      </c>
      <c r="C353" s="28" t="s">
        <v>694</v>
      </c>
      <c r="D353" s="28" t="s">
        <v>695</v>
      </c>
      <c r="E353" s="28" t="s">
        <v>211</v>
      </c>
      <c r="F353" s="28" t="s">
        <v>212</v>
      </c>
      <c r="G353" s="28" t="s">
        <v>696</v>
      </c>
      <c r="H353" s="28">
        <v>11731061</v>
      </c>
      <c r="I353" s="28">
        <v>359680</v>
      </c>
      <c r="J353" s="28">
        <v>0.99</v>
      </c>
      <c r="K353" s="28">
        <v>46</v>
      </c>
      <c r="L353" s="28">
        <v>1</v>
      </c>
    </row>
    <row r="354" spans="1:12" ht="14.25" customHeight="1" x14ac:dyDescent="0.2">
      <c r="A354" s="28">
        <v>353</v>
      </c>
      <c r="B354" s="28" t="s">
        <v>698</v>
      </c>
      <c r="C354" s="28" t="s">
        <v>694</v>
      </c>
      <c r="D354" s="28" t="s">
        <v>695</v>
      </c>
      <c r="E354" s="28" t="s">
        <v>211</v>
      </c>
      <c r="F354" s="28" t="s">
        <v>212</v>
      </c>
      <c r="G354" s="28" t="s">
        <v>699</v>
      </c>
      <c r="H354" s="28">
        <v>5572993</v>
      </c>
      <c r="I354" s="28">
        <v>171284</v>
      </c>
      <c r="J354" s="28">
        <v>0.99</v>
      </c>
      <c r="K354" s="28">
        <v>98</v>
      </c>
      <c r="L354" s="28">
        <v>1</v>
      </c>
    </row>
    <row r="355" spans="1:12" ht="14.25" customHeight="1" x14ac:dyDescent="0.2">
      <c r="A355" s="28">
        <v>354</v>
      </c>
      <c r="B355" s="28" t="s">
        <v>700</v>
      </c>
      <c r="C355" s="28" t="s">
        <v>694</v>
      </c>
      <c r="D355" s="28" t="s">
        <v>695</v>
      </c>
      <c r="E355" s="28" t="s">
        <v>211</v>
      </c>
      <c r="F355" s="28" t="s">
        <v>212</v>
      </c>
      <c r="G355" s="28" t="s">
        <v>696</v>
      </c>
      <c r="H355" s="28">
        <v>6007019</v>
      </c>
      <c r="I355" s="28">
        <v>183902</v>
      </c>
      <c r="J355" s="28">
        <v>0.99</v>
      </c>
      <c r="K355" s="28">
        <v>72</v>
      </c>
      <c r="L355" s="28">
        <v>0</v>
      </c>
    </row>
    <row r="356" spans="1:12" ht="14.25" customHeight="1" x14ac:dyDescent="0.2">
      <c r="A356" s="28">
        <v>355</v>
      </c>
      <c r="B356" s="28" t="s">
        <v>701</v>
      </c>
      <c r="C356" s="28" t="s">
        <v>694</v>
      </c>
      <c r="D356" s="28" t="s">
        <v>695</v>
      </c>
      <c r="E356" s="28" t="s">
        <v>211</v>
      </c>
      <c r="F356" s="28" t="s">
        <v>212</v>
      </c>
      <c r="G356" s="28" t="s">
        <v>696</v>
      </c>
      <c r="H356" s="28">
        <v>8912465</v>
      </c>
      <c r="I356" s="28">
        <v>272561</v>
      </c>
      <c r="J356" s="28">
        <v>0.99</v>
      </c>
      <c r="K356" s="28">
        <v>84</v>
      </c>
      <c r="L356" s="28">
        <v>0</v>
      </c>
    </row>
    <row r="357" spans="1:12" ht="14.25" customHeight="1" x14ac:dyDescent="0.2">
      <c r="A357" s="28">
        <v>356</v>
      </c>
      <c r="B357" s="28" t="s">
        <v>702</v>
      </c>
      <c r="C357" s="28" t="s">
        <v>694</v>
      </c>
      <c r="D357" s="28" t="s">
        <v>695</v>
      </c>
      <c r="E357" s="28" t="s">
        <v>211</v>
      </c>
      <c r="F357" s="28" t="s">
        <v>212</v>
      </c>
      <c r="G357" s="28" t="s">
        <v>696</v>
      </c>
      <c r="H357" s="28">
        <v>4728586</v>
      </c>
      <c r="I357" s="28">
        <v>144483</v>
      </c>
      <c r="J357" s="28">
        <v>0.99</v>
      </c>
      <c r="K357" s="28">
        <v>78</v>
      </c>
      <c r="L357" s="28">
        <v>0</v>
      </c>
    </row>
    <row r="358" spans="1:12" ht="14.25" customHeight="1" x14ac:dyDescent="0.2">
      <c r="A358" s="28">
        <v>357</v>
      </c>
      <c r="B358" s="28" t="s">
        <v>703</v>
      </c>
      <c r="C358" s="28" t="s">
        <v>694</v>
      </c>
      <c r="D358" s="28" t="s">
        <v>695</v>
      </c>
      <c r="E358" s="28" t="s">
        <v>211</v>
      </c>
      <c r="F358" s="28" t="s">
        <v>212</v>
      </c>
      <c r="G358" s="28" t="s">
        <v>696</v>
      </c>
      <c r="H358" s="28">
        <v>22080051</v>
      </c>
      <c r="I358" s="28">
        <v>677694</v>
      </c>
      <c r="J358" s="28">
        <v>0.99</v>
      </c>
      <c r="K358" s="28">
        <v>40</v>
      </c>
      <c r="L358" s="28">
        <v>1</v>
      </c>
    </row>
    <row r="359" spans="1:12" ht="14.25" customHeight="1" x14ac:dyDescent="0.2">
      <c r="A359" s="28">
        <v>358</v>
      </c>
      <c r="B359" s="28" t="s">
        <v>704</v>
      </c>
      <c r="C359" s="28" t="s">
        <v>694</v>
      </c>
      <c r="D359" s="28" t="s">
        <v>695</v>
      </c>
      <c r="E359" s="28" t="s">
        <v>211</v>
      </c>
      <c r="F359" s="28" t="s">
        <v>212</v>
      </c>
      <c r="G359" s="28" t="s">
        <v>699</v>
      </c>
      <c r="H359" s="28">
        <v>2922044</v>
      </c>
      <c r="I359" s="28">
        <v>88894</v>
      </c>
      <c r="J359" s="28">
        <v>0.99</v>
      </c>
      <c r="K359" s="28">
        <v>0</v>
      </c>
      <c r="L359" s="28">
        <v>1</v>
      </c>
    </row>
    <row r="360" spans="1:12" ht="14.25" customHeight="1" x14ac:dyDescent="0.2">
      <c r="A360" s="28">
        <v>359</v>
      </c>
      <c r="B360" s="28" t="s">
        <v>705</v>
      </c>
      <c r="C360" s="28" t="s">
        <v>694</v>
      </c>
      <c r="D360" s="28" t="s">
        <v>695</v>
      </c>
      <c r="E360" s="28" t="s">
        <v>211</v>
      </c>
      <c r="F360" s="28" t="s">
        <v>212</v>
      </c>
      <c r="G360" s="28" t="s">
        <v>696</v>
      </c>
      <c r="H360" s="28">
        <v>10891682</v>
      </c>
      <c r="I360" s="28">
        <v>332878</v>
      </c>
      <c r="J360" s="28">
        <v>0.99</v>
      </c>
      <c r="K360" s="28">
        <v>57</v>
      </c>
      <c r="L360" s="28">
        <v>0</v>
      </c>
    </row>
    <row r="361" spans="1:12" ht="14.25" customHeight="1" x14ac:dyDescent="0.2">
      <c r="A361" s="28">
        <v>360</v>
      </c>
      <c r="B361" s="28" t="s">
        <v>706</v>
      </c>
      <c r="C361" s="28" t="s">
        <v>707</v>
      </c>
      <c r="D361" s="28" t="s">
        <v>639</v>
      </c>
      <c r="E361" s="28" t="s">
        <v>211</v>
      </c>
      <c r="F361" s="28" t="s">
        <v>708</v>
      </c>
      <c r="G361" s="28"/>
      <c r="H361" s="28">
        <v>9402241</v>
      </c>
      <c r="I361" s="28">
        <v>276349</v>
      </c>
      <c r="J361" s="28">
        <v>0.99</v>
      </c>
      <c r="K361" s="28">
        <v>56</v>
      </c>
      <c r="L361" s="28">
        <v>0</v>
      </c>
    </row>
    <row r="362" spans="1:12" ht="14.25" customHeight="1" x14ac:dyDescent="0.2">
      <c r="A362" s="28">
        <v>361</v>
      </c>
      <c r="B362" s="28" t="s">
        <v>709</v>
      </c>
      <c r="C362" s="28" t="s">
        <v>707</v>
      </c>
      <c r="D362" s="28" t="s">
        <v>639</v>
      </c>
      <c r="E362" s="28" t="s">
        <v>211</v>
      </c>
      <c r="F362" s="28" t="s">
        <v>708</v>
      </c>
      <c r="G362" s="28"/>
      <c r="H362" s="28">
        <v>9310370</v>
      </c>
      <c r="I362" s="28">
        <v>273920</v>
      </c>
      <c r="J362" s="28">
        <v>0.99</v>
      </c>
      <c r="K362" s="28">
        <v>55</v>
      </c>
      <c r="L362" s="28">
        <v>1</v>
      </c>
    </row>
    <row r="363" spans="1:12" ht="14.25" customHeight="1" x14ac:dyDescent="0.2">
      <c r="A363" s="28">
        <v>362</v>
      </c>
      <c r="B363" s="28" t="s">
        <v>710</v>
      </c>
      <c r="C363" s="28" t="s">
        <v>707</v>
      </c>
      <c r="D363" s="28" t="s">
        <v>639</v>
      </c>
      <c r="E363" s="28" t="s">
        <v>211</v>
      </c>
      <c r="F363" s="28" t="s">
        <v>708</v>
      </c>
      <c r="G363" s="28"/>
      <c r="H363" s="28">
        <v>9616640</v>
      </c>
      <c r="I363" s="28">
        <v>282723</v>
      </c>
      <c r="J363" s="28">
        <v>0.99</v>
      </c>
      <c r="K363" s="28">
        <v>66</v>
      </c>
      <c r="L363" s="28">
        <v>1</v>
      </c>
    </row>
    <row r="364" spans="1:12" ht="14.25" customHeight="1" x14ac:dyDescent="0.2">
      <c r="A364" s="28">
        <v>363</v>
      </c>
      <c r="B364" s="28" t="s">
        <v>711</v>
      </c>
      <c r="C364" s="28" t="s">
        <v>707</v>
      </c>
      <c r="D364" s="28" t="s">
        <v>639</v>
      </c>
      <c r="E364" s="28" t="s">
        <v>211</v>
      </c>
      <c r="F364" s="28" t="s">
        <v>708</v>
      </c>
      <c r="G364" s="28"/>
      <c r="H364" s="28">
        <v>9694508</v>
      </c>
      <c r="I364" s="28">
        <v>284969</v>
      </c>
      <c r="J364" s="28">
        <v>0.99</v>
      </c>
      <c r="K364" s="28">
        <v>11</v>
      </c>
      <c r="L364" s="28">
        <v>0</v>
      </c>
    </row>
    <row r="365" spans="1:12" ht="14.25" customHeight="1" x14ac:dyDescent="0.2">
      <c r="A365" s="28">
        <v>364</v>
      </c>
      <c r="B365" s="28" t="s">
        <v>712</v>
      </c>
      <c r="C365" s="28" t="s">
        <v>707</v>
      </c>
      <c r="D365" s="28" t="s">
        <v>639</v>
      </c>
      <c r="E365" s="28" t="s">
        <v>211</v>
      </c>
      <c r="F365" s="28" t="s">
        <v>708</v>
      </c>
      <c r="G365" s="28"/>
      <c r="H365" s="28">
        <v>9721084</v>
      </c>
      <c r="I365" s="28">
        <v>284342</v>
      </c>
      <c r="J365" s="28">
        <v>0.99</v>
      </c>
      <c r="K365" s="28">
        <v>37</v>
      </c>
      <c r="L365" s="28">
        <v>0</v>
      </c>
    </row>
    <row r="366" spans="1:12" ht="14.25" customHeight="1" x14ac:dyDescent="0.2">
      <c r="A366" s="28">
        <v>365</v>
      </c>
      <c r="B366" s="28" t="s">
        <v>713</v>
      </c>
      <c r="C366" s="28" t="s">
        <v>707</v>
      </c>
      <c r="D366" s="28" t="s">
        <v>639</v>
      </c>
      <c r="E366" s="28" t="s">
        <v>211</v>
      </c>
      <c r="F366" s="28" t="s">
        <v>708</v>
      </c>
      <c r="G366" s="28"/>
      <c r="H366" s="28">
        <v>9599937</v>
      </c>
      <c r="I366" s="28">
        <v>282488</v>
      </c>
      <c r="J366" s="28">
        <v>0.99</v>
      </c>
      <c r="K366" s="28">
        <v>10</v>
      </c>
      <c r="L366" s="28">
        <v>0</v>
      </c>
    </row>
    <row r="367" spans="1:12" ht="14.25" customHeight="1" x14ac:dyDescent="0.2">
      <c r="A367" s="28">
        <v>366</v>
      </c>
      <c r="B367" s="28" t="s">
        <v>714</v>
      </c>
      <c r="C367" s="28" t="s">
        <v>707</v>
      </c>
      <c r="D367" s="28" t="s">
        <v>639</v>
      </c>
      <c r="E367" s="28" t="s">
        <v>211</v>
      </c>
      <c r="F367" s="28" t="s">
        <v>708</v>
      </c>
      <c r="G367" s="28"/>
      <c r="H367" s="28">
        <v>9633755</v>
      </c>
      <c r="I367" s="28">
        <v>283454</v>
      </c>
      <c r="J367" s="28">
        <v>0.99</v>
      </c>
      <c r="K367" s="28">
        <v>10</v>
      </c>
      <c r="L367" s="28">
        <v>1</v>
      </c>
    </row>
    <row r="368" spans="1:12" ht="14.25" customHeight="1" x14ac:dyDescent="0.2">
      <c r="A368" s="28">
        <v>367</v>
      </c>
      <c r="B368" s="28" t="s">
        <v>715</v>
      </c>
      <c r="C368" s="28" t="s">
        <v>707</v>
      </c>
      <c r="D368" s="28" t="s">
        <v>639</v>
      </c>
      <c r="E368" s="28" t="s">
        <v>211</v>
      </c>
      <c r="F368" s="28" t="s">
        <v>708</v>
      </c>
      <c r="G368" s="28"/>
      <c r="H368" s="28">
        <v>9451845</v>
      </c>
      <c r="I368" s="28">
        <v>274808</v>
      </c>
      <c r="J368" s="28">
        <v>0.99</v>
      </c>
      <c r="K368" s="28">
        <v>76</v>
      </c>
      <c r="L368" s="28">
        <v>1</v>
      </c>
    </row>
    <row r="369" spans="1:12" ht="14.25" customHeight="1" x14ac:dyDescent="0.2">
      <c r="A369" s="28">
        <v>368</v>
      </c>
      <c r="B369" s="28" t="s">
        <v>716</v>
      </c>
      <c r="C369" s="28" t="s">
        <v>707</v>
      </c>
      <c r="D369" s="28" t="s">
        <v>639</v>
      </c>
      <c r="E369" s="28" t="s">
        <v>211</v>
      </c>
      <c r="F369" s="28" t="s">
        <v>708</v>
      </c>
      <c r="G369" s="28"/>
      <c r="H369" s="28">
        <v>9883335</v>
      </c>
      <c r="I369" s="28">
        <v>287921</v>
      </c>
      <c r="J369" s="28">
        <v>0.99</v>
      </c>
      <c r="K369" s="28">
        <v>78</v>
      </c>
      <c r="L369" s="28">
        <v>0</v>
      </c>
    </row>
    <row r="370" spans="1:12" ht="14.25" customHeight="1" x14ac:dyDescent="0.2">
      <c r="A370" s="28">
        <v>369</v>
      </c>
      <c r="B370" s="28" t="s">
        <v>717</v>
      </c>
      <c r="C370" s="28" t="s">
        <v>707</v>
      </c>
      <c r="D370" s="28" t="s">
        <v>639</v>
      </c>
      <c r="E370" s="28" t="s">
        <v>211</v>
      </c>
      <c r="F370" s="28" t="s">
        <v>708</v>
      </c>
      <c r="G370" s="28"/>
      <c r="H370" s="28">
        <v>9698729</v>
      </c>
      <c r="I370" s="28">
        <v>284160</v>
      </c>
      <c r="J370" s="28">
        <v>0.99</v>
      </c>
      <c r="K370" s="28">
        <v>95</v>
      </c>
      <c r="L370" s="28">
        <v>0</v>
      </c>
    </row>
    <row r="371" spans="1:12" ht="14.25" customHeight="1" x14ac:dyDescent="0.2">
      <c r="A371" s="28">
        <v>370</v>
      </c>
      <c r="B371" s="28" t="s">
        <v>718</v>
      </c>
      <c r="C371" s="28" t="s">
        <v>707</v>
      </c>
      <c r="D371" s="28" t="s">
        <v>639</v>
      </c>
      <c r="E371" s="28" t="s">
        <v>211</v>
      </c>
      <c r="F371" s="28" t="s">
        <v>708</v>
      </c>
      <c r="G371" s="28"/>
      <c r="H371" s="28">
        <v>8522591</v>
      </c>
      <c r="I371" s="28">
        <v>248293</v>
      </c>
      <c r="J371" s="28">
        <v>0.99</v>
      </c>
      <c r="K371" s="28">
        <v>22</v>
      </c>
      <c r="L371" s="28">
        <v>1</v>
      </c>
    </row>
    <row r="372" spans="1:12" ht="14.25" customHeight="1" x14ac:dyDescent="0.2">
      <c r="A372" s="28">
        <v>371</v>
      </c>
      <c r="B372" s="28" t="s">
        <v>719</v>
      </c>
      <c r="C372" s="28" t="s">
        <v>707</v>
      </c>
      <c r="D372" s="28" t="s">
        <v>639</v>
      </c>
      <c r="E372" s="28" t="s">
        <v>211</v>
      </c>
      <c r="F372" s="28" t="s">
        <v>708</v>
      </c>
      <c r="G372" s="28"/>
      <c r="H372" s="28">
        <v>9718778</v>
      </c>
      <c r="I372" s="28">
        <v>284708</v>
      </c>
      <c r="J372" s="28">
        <v>0.99</v>
      </c>
      <c r="K372" s="28">
        <v>92</v>
      </c>
      <c r="L372" s="28">
        <v>1</v>
      </c>
    </row>
    <row r="373" spans="1:12" ht="14.25" customHeight="1" x14ac:dyDescent="0.2">
      <c r="A373" s="28">
        <v>372</v>
      </c>
      <c r="B373" s="28" t="s">
        <v>720</v>
      </c>
      <c r="C373" s="28" t="s">
        <v>707</v>
      </c>
      <c r="D373" s="28" t="s">
        <v>639</v>
      </c>
      <c r="E373" s="28" t="s">
        <v>211</v>
      </c>
      <c r="F373" s="28" t="s">
        <v>708</v>
      </c>
      <c r="G373" s="28"/>
      <c r="H373" s="28">
        <v>9619196</v>
      </c>
      <c r="I373" s="28">
        <v>281626</v>
      </c>
      <c r="J373" s="28">
        <v>0.99</v>
      </c>
      <c r="K373" s="28">
        <v>95</v>
      </c>
      <c r="L373" s="28">
        <v>0</v>
      </c>
    </row>
    <row r="374" spans="1:12" ht="14.25" customHeight="1" x14ac:dyDescent="0.2">
      <c r="A374" s="28">
        <v>373</v>
      </c>
      <c r="B374" s="28" t="s">
        <v>721</v>
      </c>
      <c r="C374" s="28" t="s">
        <v>707</v>
      </c>
      <c r="D374" s="28" t="s">
        <v>639</v>
      </c>
      <c r="E374" s="28" t="s">
        <v>211</v>
      </c>
      <c r="F374" s="28" t="s">
        <v>708</v>
      </c>
      <c r="G374" s="28"/>
      <c r="H374" s="28">
        <v>10020122</v>
      </c>
      <c r="I374" s="28">
        <v>296254</v>
      </c>
      <c r="J374" s="28">
        <v>0.99</v>
      </c>
      <c r="K374" s="28">
        <v>85</v>
      </c>
      <c r="L374" s="28">
        <v>0</v>
      </c>
    </row>
    <row r="375" spans="1:12" ht="14.25" customHeight="1" x14ac:dyDescent="0.2">
      <c r="A375" s="28">
        <v>374</v>
      </c>
      <c r="B375" s="28" t="s">
        <v>722</v>
      </c>
      <c r="C375" s="28" t="s">
        <v>723</v>
      </c>
      <c r="D375" s="28" t="s">
        <v>724</v>
      </c>
      <c r="E375" s="28" t="s">
        <v>211</v>
      </c>
      <c r="F375" s="28" t="s">
        <v>490</v>
      </c>
      <c r="G375" s="28" t="s">
        <v>724</v>
      </c>
      <c r="H375" s="28">
        <v>8499591</v>
      </c>
      <c r="I375" s="28">
        <v>247614</v>
      </c>
      <c r="J375" s="28">
        <v>0.99</v>
      </c>
      <c r="K375" s="28">
        <v>9</v>
      </c>
      <c r="L375" s="28">
        <v>0</v>
      </c>
    </row>
    <row r="376" spans="1:12" ht="14.25" customHeight="1" x14ac:dyDescent="0.2">
      <c r="A376" s="28">
        <v>375</v>
      </c>
      <c r="B376" s="28" t="s">
        <v>725</v>
      </c>
      <c r="C376" s="28" t="s">
        <v>723</v>
      </c>
      <c r="D376" s="28" t="s">
        <v>724</v>
      </c>
      <c r="E376" s="28" t="s">
        <v>211</v>
      </c>
      <c r="F376" s="28" t="s">
        <v>490</v>
      </c>
      <c r="G376" s="28" t="s">
        <v>491</v>
      </c>
      <c r="H376" s="28">
        <v>8255254</v>
      </c>
      <c r="I376" s="28">
        <v>248398</v>
      </c>
      <c r="J376" s="28">
        <v>0.99</v>
      </c>
      <c r="K376" s="28">
        <v>40</v>
      </c>
      <c r="L376" s="28">
        <v>1</v>
      </c>
    </row>
    <row r="377" spans="1:12" ht="14.25" customHeight="1" x14ac:dyDescent="0.2">
      <c r="A377" s="28">
        <v>376</v>
      </c>
      <c r="B377" s="28" t="s">
        <v>726</v>
      </c>
      <c r="C377" s="28" t="s">
        <v>723</v>
      </c>
      <c r="D377" s="28" t="s">
        <v>724</v>
      </c>
      <c r="E377" s="28" t="s">
        <v>211</v>
      </c>
      <c r="F377" s="28" t="s">
        <v>490</v>
      </c>
      <c r="G377" s="28" t="s">
        <v>727</v>
      </c>
      <c r="H377" s="28">
        <v>7528825</v>
      </c>
      <c r="I377" s="28">
        <v>225097</v>
      </c>
      <c r="J377" s="28">
        <v>0.99</v>
      </c>
      <c r="K377" s="28">
        <v>52</v>
      </c>
      <c r="L377" s="28">
        <v>1</v>
      </c>
    </row>
    <row r="378" spans="1:12" ht="14.25" customHeight="1" x14ac:dyDescent="0.2">
      <c r="A378" s="28">
        <v>377</v>
      </c>
      <c r="B378" s="28" t="s">
        <v>728</v>
      </c>
      <c r="C378" s="28" t="s">
        <v>723</v>
      </c>
      <c r="D378" s="28" t="s">
        <v>724</v>
      </c>
      <c r="E378" s="28" t="s">
        <v>211</v>
      </c>
      <c r="F378" s="28" t="s">
        <v>490</v>
      </c>
      <c r="G378" s="28" t="s">
        <v>729</v>
      </c>
      <c r="H378" s="28">
        <v>8619173</v>
      </c>
      <c r="I378" s="28">
        <v>263183</v>
      </c>
      <c r="J378" s="28">
        <v>0.99</v>
      </c>
      <c r="K378" s="28">
        <v>66</v>
      </c>
      <c r="L378" s="28">
        <v>0</v>
      </c>
    </row>
    <row r="379" spans="1:12" ht="14.25" customHeight="1" x14ac:dyDescent="0.2">
      <c r="A379" s="28">
        <v>378</v>
      </c>
      <c r="B379" s="28" t="s">
        <v>730</v>
      </c>
      <c r="C379" s="28" t="s">
        <v>723</v>
      </c>
      <c r="D379" s="28" t="s">
        <v>724</v>
      </c>
      <c r="E379" s="28" t="s">
        <v>211</v>
      </c>
      <c r="F379" s="28" t="s">
        <v>490</v>
      </c>
      <c r="G379" s="28" t="s">
        <v>731</v>
      </c>
      <c r="H379" s="28">
        <v>9057557</v>
      </c>
      <c r="I379" s="28">
        <v>271647</v>
      </c>
      <c r="J379" s="28">
        <v>0.99</v>
      </c>
      <c r="K379" s="28">
        <v>61</v>
      </c>
      <c r="L379" s="28">
        <v>0</v>
      </c>
    </row>
    <row r="380" spans="1:12" ht="14.25" customHeight="1" x14ac:dyDescent="0.2">
      <c r="A380" s="28">
        <v>379</v>
      </c>
      <c r="B380" s="28" t="s">
        <v>732</v>
      </c>
      <c r="C380" s="28" t="s">
        <v>723</v>
      </c>
      <c r="D380" s="28" t="s">
        <v>724</v>
      </c>
      <c r="E380" s="28" t="s">
        <v>211</v>
      </c>
      <c r="F380" s="28" t="s">
        <v>490</v>
      </c>
      <c r="G380" s="28" t="s">
        <v>733</v>
      </c>
      <c r="H380" s="28">
        <v>4866476</v>
      </c>
      <c r="I380" s="28">
        <v>146677</v>
      </c>
      <c r="J380" s="28">
        <v>0.99</v>
      </c>
      <c r="K380" s="28">
        <v>25</v>
      </c>
      <c r="L380" s="28">
        <v>1</v>
      </c>
    </row>
    <row r="381" spans="1:12" ht="14.25" customHeight="1" x14ac:dyDescent="0.2">
      <c r="A381" s="28">
        <v>380</v>
      </c>
      <c r="B381" s="28" t="s">
        <v>734</v>
      </c>
      <c r="C381" s="28" t="s">
        <v>723</v>
      </c>
      <c r="D381" s="28" t="s">
        <v>724</v>
      </c>
      <c r="E381" s="28" t="s">
        <v>211</v>
      </c>
      <c r="F381" s="28" t="s">
        <v>490</v>
      </c>
      <c r="G381" s="28" t="s">
        <v>735</v>
      </c>
      <c r="H381" s="28">
        <v>9440676</v>
      </c>
      <c r="I381" s="28">
        <v>282200</v>
      </c>
      <c r="J381" s="28">
        <v>0.99</v>
      </c>
      <c r="K381" s="28">
        <v>13</v>
      </c>
      <c r="L381" s="28">
        <v>1</v>
      </c>
    </row>
    <row r="382" spans="1:12" ht="14.25" customHeight="1" x14ac:dyDescent="0.2">
      <c r="A382" s="28">
        <v>381</v>
      </c>
      <c r="B382" s="28" t="s">
        <v>736</v>
      </c>
      <c r="C382" s="28" t="s">
        <v>723</v>
      </c>
      <c r="D382" s="28" t="s">
        <v>724</v>
      </c>
      <c r="E382" s="28" t="s">
        <v>211</v>
      </c>
      <c r="F382" s="28" t="s">
        <v>490</v>
      </c>
      <c r="G382" s="28" t="s">
        <v>737</v>
      </c>
      <c r="H382" s="28">
        <v>6046678</v>
      </c>
      <c r="I382" s="28">
        <v>179408</v>
      </c>
      <c r="J382" s="28">
        <v>0.99</v>
      </c>
      <c r="K382" s="28">
        <v>19</v>
      </c>
      <c r="L382" s="28">
        <v>0</v>
      </c>
    </row>
    <row r="383" spans="1:12" ht="14.25" customHeight="1" x14ac:dyDescent="0.2">
      <c r="A383" s="28">
        <v>382</v>
      </c>
      <c r="B383" s="28" t="s">
        <v>738</v>
      </c>
      <c r="C383" s="28" t="s">
        <v>723</v>
      </c>
      <c r="D383" s="28" t="s">
        <v>724</v>
      </c>
      <c r="E383" s="28" t="s">
        <v>211</v>
      </c>
      <c r="F383" s="28" t="s">
        <v>490</v>
      </c>
      <c r="G383" s="28" t="s">
        <v>489</v>
      </c>
      <c r="H383" s="28">
        <v>8737489</v>
      </c>
      <c r="I383" s="28">
        <v>262713</v>
      </c>
      <c r="J383" s="28">
        <v>0.99</v>
      </c>
      <c r="K383" s="28">
        <v>56</v>
      </c>
      <c r="L383" s="28">
        <v>0</v>
      </c>
    </row>
    <row r="384" spans="1:12" ht="14.25" customHeight="1" x14ac:dyDescent="0.2">
      <c r="A384" s="28">
        <v>383</v>
      </c>
      <c r="B384" s="28" t="s">
        <v>739</v>
      </c>
      <c r="C384" s="28" t="s">
        <v>723</v>
      </c>
      <c r="D384" s="28" t="s">
        <v>724</v>
      </c>
      <c r="E384" s="28" t="s">
        <v>211</v>
      </c>
      <c r="F384" s="28" t="s">
        <v>490</v>
      </c>
      <c r="G384" s="28" t="s">
        <v>489</v>
      </c>
      <c r="H384" s="28">
        <v>6547648</v>
      </c>
      <c r="I384" s="28">
        <v>195813</v>
      </c>
      <c r="J384" s="28">
        <v>0.99</v>
      </c>
      <c r="K384" s="28">
        <v>96</v>
      </c>
      <c r="L384" s="28">
        <v>0</v>
      </c>
    </row>
    <row r="385" spans="1:12" ht="14.25" customHeight="1" x14ac:dyDescent="0.2">
      <c r="A385" s="28">
        <v>384</v>
      </c>
      <c r="B385" s="28" t="s">
        <v>740</v>
      </c>
      <c r="C385" s="28" t="s">
        <v>723</v>
      </c>
      <c r="D385" s="28" t="s">
        <v>724</v>
      </c>
      <c r="E385" s="28" t="s">
        <v>211</v>
      </c>
      <c r="F385" s="28" t="s">
        <v>490</v>
      </c>
      <c r="G385" s="28" t="s">
        <v>741</v>
      </c>
      <c r="H385" s="28">
        <v>6191752</v>
      </c>
      <c r="I385" s="28">
        <v>184320</v>
      </c>
      <c r="J385" s="28">
        <v>0.99</v>
      </c>
      <c r="K385" s="28">
        <v>59</v>
      </c>
      <c r="L385" s="28">
        <v>1</v>
      </c>
    </row>
    <row r="386" spans="1:12" ht="14.25" customHeight="1" x14ac:dyDescent="0.2">
      <c r="A386" s="28">
        <v>385</v>
      </c>
      <c r="B386" s="28" t="s">
        <v>742</v>
      </c>
      <c r="C386" s="28" t="s">
        <v>723</v>
      </c>
      <c r="D386" s="28" t="s">
        <v>724</v>
      </c>
      <c r="E386" s="28" t="s">
        <v>211</v>
      </c>
      <c r="F386" s="28" t="s">
        <v>490</v>
      </c>
      <c r="G386" s="28" t="s">
        <v>743</v>
      </c>
      <c r="H386" s="28">
        <v>5891697</v>
      </c>
      <c r="I386" s="28">
        <v>176326</v>
      </c>
      <c r="J386" s="28">
        <v>0.99</v>
      </c>
      <c r="K386" s="28">
        <v>23</v>
      </c>
      <c r="L386" s="28">
        <v>1</v>
      </c>
    </row>
    <row r="387" spans="1:12" ht="14.25" customHeight="1" x14ac:dyDescent="0.2">
      <c r="A387" s="28">
        <v>386</v>
      </c>
      <c r="B387" s="28" t="s">
        <v>744</v>
      </c>
      <c r="C387" s="28" t="s">
        <v>723</v>
      </c>
      <c r="D387" s="28" t="s">
        <v>724</v>
      </c>
      <c r="E387" s="28" t="s">
        <v>211</v>
      </c>
      <c r="F387" s="28" t="s">
        <v>490</v>
      </c>
      <c r="G387" s="28" t="s">
        <v>745</v>
      </c>
      <c r="H387" s="28">
        <v>7938246</v>
      </c>
      <c r="I387" s="28">
        <v>237087</v>
      </c>
      <c r="J387" s="28">
        <v>0.99</v>
      </c>
      <c r="K387" s="28">
        <v>22</v>
      </c>
      <c r="L387" s="28">
        <v>0</v>
      </c>
    </row>
    <row r="388" spans="1:12" ht="14.25" customHeight="1" x14ac:dyDescent="0.2">
      <c r="A388" s="28">
        <v>387</v>
      </c>
      <c r="B388" s="28" t="s">
        <v>746</v>
      </c>
      <c r="C388" s="28" t="s">
        <v>723</v>
      </c>
      <c r="D388" s="28" t="s">
        <v>724</v>
      </c>
      <c r="E388" s="28" t="s">
        <v>211</v>
      </c>
      <c r="F388" s="28" t="s">
        <v>490</v>
      </c>
      <c r="G388" s="28" t="s">
        <v>747</v>
      </c>
      <c r="H388" s="28">
        <v>8267067</v>
      </c>
      <c r="I388" s="28">
        <v>245524</v>
      </c>
      <c r="J388" s="28">
        <v>0.99</v>
      </c>
      <c r="K388" s="28">
        <v>75</v>
      </c>
      <c r="L388" s="28">
        <v>0</v>
      </c>
    </row>
    <row r="389" spans="1:12" ht="14.25" customHeight="1" x14ac:dyDescent="0.2">
      <c r="A389" s="28">
        <v>388</v>
      </c>
      <c r="B389" s="28" t="s">
        <v>748</v>
      </c>
      <c r="C389" s="28" t="s">
        <v>723</v>
      </c>
      <c r="D389" s="28" t="s">
        <v>724</v>
      </c>
      <c r="E389" s="28" t="s">
        <v>211</v>
      </c>
      <c r="F389" s="28" t="s">
        <v>490</v>
      </c>
      <c r="G389" s="28" t="s">
        <v>749</v>
      </c>
      <c r="H389" s="28">
        <v>5972430</v>
      </c>
      <c r="I389" s="28">
        <v>180636</v>
      </c>
      <c r="J389" s="28">
        <v>0.99</v>
      </c>
      <c r="K389" s="28">
        <v>23</v>
      </c>
      <c r="L389" s="28">
        <v>0</v>
      </c>
    </row>
    <row r="390" spans="1:12" ht="14.25" customHeight="1" x14ac:dyDescent="0.2">
      <c r="A390" s="28">
        <v>389</v>
      </c>
      <c r="B390" s="28" t="s">
        <v>750</v>
      </c>
      <c r="C390" s="28" t="s">
        <v>723</v>
      </c>
      <c r="D390" s="28" t="s">
        <v>724</v>
      </c>
      <c r="E390" s="28" t="s">
        <v>211</v>
      </c>
      <c r="F390" s="28" t="s">
        <v>490</v>
      </c>
      <c r="G390" s="28" t="s">
        <v>751</v>
      </c>
      <c r="H390" s="28">
        <v>4743149</v>
      </c>
      <c r="I390" s="28">
        <v>141008</v>
      </c>
      <c r="J390" s="28">
        <v>0.99</v>
      </c>
      <c r="K390" s="28">
        <v>46</v>
      </c>
      <c r="L390" s="28">
        <v>1</v>
      </c>
    </row>
    <row r="391" spans="1:12" ht="14.25" customHeight="1" x14ac:dyDescent="0.2">
      <c r="A391" s="28">
        <v>390</v>
      </c>
      <c r="B391" s="28" t="s">
        <v>752</v>
      </c>
      <c r="C391" s="28" t="s">
        <v>723</v>
      </c>
      <c r="D391" s="28" t="s">
        <v>724</v>
      </c>
      <c r="E391" s="28" t="s">
        <v>211</v>
      </c>
      <c r="F391" s="28" t="s">
        <v>490</v>
      </c>
      <c r="G391" s="28" t="s">
        <v>753</v>
      </c>
      <c r="H391" s="28">
        <v>7243166</v>
      </c>
      <c r="I391" s="28">
        <v>213655</v>
      </c>
      <c r="J391" s="28">
        <v>0.99</v>
      </c>
      <c r="K391" s="28">
        <v>58</v>
      </c>
      <c r="L391" s="28">
        <v>0</v>
      </c>
    </row>
    <row r="392" spans="1:12" ht="14.25" customHeight="1" x14ac:dyDescent="0.2">
      <c r="A392" s="28">
        <v>391</v>
      </c>
      <c r="B392" s="28" t="s">
        <v>306</v>
      </c>
      <c r="C392" s="28" t="s">
        <v>754</v>
      </c>
      <c r="D392" s="28" t="s">
        <v>304</v>
      </c>
      <c r="E392" s="28" t="s">
        <v>211</v>
      </c>
      <c r="F392" s="28" t="s">
        <v>490</v>
      </c>
      <c r="G392" s="28" t="s">
        <v>755</v>
      </c>
      <c r="H392" s="28">
        <v>9141343</v>
      </c>
      <c r="I392" s="28">
        <v>279536</v>
      </c>
      <c r="J392" s="28">
        <v>0.99</v>
      </c>
      <c r="K392" s="28">
        <v>45</v>
      </c>
      <c r="L392" s="28">
        <v>0</v>
      </c>
    </row>
    <row r="393" spans="1:12" ht="14.25" customHeight="1" x14ac:dyDescent="0.2">
      <c r="A393" s="28">
        <v>392</v>
      </c>
      <c r="B393" s="28" t="s">
        <v>756</v>
      </c>
      <c r="C393" s="28" t="s">
        <v>754</v>
      </c>
      <c r="D393" s="28" t="s">
        <v>304</v>
      </c>
      <c r="E393" s="28" t="s">
        <v>211</v>
      </c>
      <c r="F393" s="28" t="s">
        <v>490</v>
      </c>
      <c r="G393" s="28" t="s">
        <v>755</v>
      </c>
      <c r="H393" s="28">
        <v>7143328</v>
      </c>
      <c r="I393" s="28">
        <v>213237</v>
      </c>
      <c r="J393" s="28">
        <v>0.99</v>
      </c>
      <c r="K393" s="28">
        <v>14</v>
      </c>
      <c r="L393" s="28">
        <v>0</v>
      </c>
    </row>
    <row r="394" spans="1:12" ht="14.25" customHeight="1" x14ac:dyDescent="0.2">
      <c r="A394" s="28">
        <v>393</v>
      </c>
      <c r="B394" s="28" t="s">
        <v>757</v>
      </c>
      <c r="C394" s="28" t="s">
        <v>754</v>
      </c>
      <c r="D394" s="28" t="s">
        <v>304</v>
      </c>
      <c r="E394" s="28" t="s">
        <v>211</v>
      </c>
      <c r="F394" s="28" t="s">
        <v>490</v>
      </c>
      <c r="G394" s="28" t="s">
        <v>755</v>
      </c>
      <c r="H394" s="28">
        <v>10344491</v>
      </c>
      <c r="I394" s="28">
        <v>313704</v>
      </c>
      <c r="J394" s="28">
        <v>0.99</v>
      </c>
      <c r="K394" s="28">
        <v>66</v>
      </c>
      <c r="L394" s="28">
        <v>2</v>
      </c>
    </row>
    <row r="395" spans="1:12" ht="14.25" customHeight="1" x14ac:dyDescent="0.2">
      <c r="A395" s="28">
        <v>394</v>
      </c>
      <c r="B395" s="28" t="s">
        <v>758</v>
      </c>
      <c r="C395" s="28" t="s">
        <v>754</v>
      </c>
      <c r="D395" s="28" t="s">
        <v>304</v>
      </c>
      <c r="E395" s="28" t="s">
        <v>211</v>
      </c>
      <c r="F395" s="28" t="s">
        <v>490</v>
      </c>
      <c r="G395" s="28" t="s">
        <v>755</v>
      </c>
      <c r="H395" s="28">
        <v>5572240</v>
      </c>
      <c r="I395" s="28">
        <v>170292</v>
      </c>
      <c r="J395" s="28">
        <v>0.99</v>
      </c>
      <c r="K395" s="28">
        <v>55</v>
      </c>
      <c r="L395" s="28">
        <v>2</v>
      </c>
    </row>
    <row r="396" spans="1:12" ht="14.25" customHeight="1" x14ac:dyDescent="0.2">
      <c r="A396" s="28">
        <v>395</v>
      </c>
      <c r="B396" s="28" t="s">
        <v>759</v>
      </c>
      <c r="C396" s="28" t="s">
        <v>754</v>
      </c>
      <c r="D396" s="28" t="s">
        <v>304</v>
      </c>
      <c r="E396" s="28" t="s">
        <v>211</v>
      </c>
      <c r="F396" s="28" t="s">
        <v>490</v>
      </c>
      <c r="G396" s="28" t="s">
        <v>755</v>
      </c>
      <c r="H396" s="28">
        <v>5115428</v>
      </c>
      <c r="I396" s="28">
        <v>157988</v>
      </c>
      <c r="J396" s="28">
        <v>0.99</v>
      </c>
      <c r="K396" s="28">
        <v>16</v>
      </c>
      <c r="L396" s="28">
        <v>1</v>
      </c>
    </row>
    <row r="397" spans="1:12" ht="14.25" customHeight="1" x14ac:dyDescent="0.2">
      <c r="A397" s="28">
        <v>396</v>
      </c>
      <c r="B397" s="28" t="s">
        <v>760</v>
      </c>
      <c r="C397" s="28" t="s">
        <v>754</v>
      </c>
      <c r="D397" s="28" t="s">
        <v>304</v>
      </c>
      <c r="E397" s="28" t="s">
        <v>211</v>
      </c>
      <c r="F397" s="28" t="s">
        <v>490</v>
      </c>
      <c r="G397" s="28" t="s">
        <v>755</v>
      </c>
      <c r="H397" s="28">
        <v>8013065</v>
      </c>
      <c r="I397" s="28">
        <v>238106</v>
      </c>
      <c r="J397" s="28">
        <v>0.99</v>
      </c>
      <c r="K397" s="28">
        <v>54</v>
      </c>
      <c r="L397" s="28">
        <v>0</v>
      </c>
    </row>
    <row r="398" spans="1:12" ht="14.25" customHeight="1" x14ac:dyDescent="0.2">
      <c r="A398" s="28">
        <v>397</v>
      </c>
      <c r="B398" s="28" t="s">
        <v>761</v>
      </c>
      <c r="C398" s="28" t="s">
        <v>754</v>
      </c>
      <c r="D398" s="28" t="s">
        <v>304</v>
      </c>
      <c r="E398" s="28" t="s">
        <v>211</v>
      </c>
      <c r="F398" s="28" t="s">
        <v>490</v>
      </c>
      <c r="G398" s="28" t="s">
        <v>755</v>
      </c>
      <c r="H398" s="28">
        <v>9275929</v>
      </c>
      <c r="I398" s="28">
        <v>279484</v>
      </c>
      <c r="J398" s="28">
        <v>0.99</v>
      </c>
      <c r="K398" s="28">
        <v>68</v>
      </c>
      <c r="L398" s="28">
        <v>1</v>
      </c>
    </row>
    <row r="399" spans="1:12" ht="14.25" customHeight="1" x14ac:dyDescent="0.2">
      <c r="A399" s="28">
        <v>398</v>
      </c>
      <c r="B399" s="28" t="s">
        <v>762</v>
      </c>
      <c r="C399" s="28" t="s">
        <v>754</v>
      </c>
      <c r="D399" s="28" t="s">
        <v>304</v>
      </c>
      <c r="E399" s="28" t="s">
        <v>211</v>
      </c>
      <c r="F399" s="28" t="s">
        <v>490</v>
      </c>
      <c r="G399" s="28" t="s">
        <v>755</v>
      </c>
      <c r="H399" s="28">
        <v>12192989</v>
      </c>
      <c r="I399" s="28">
        <v>371356</v>
      </c>
      <c r="J399" s="28">
        <v>0.99</v>
      </c>
      <c r="K399" s="28">
        <v>67</v>
      </c>
      <c r="L399" s="28">
        <v>1</v>
      </c>
    </row>
    <row r="400" spans="1:12" ht="14.25" customHeight="1" x14ac:dyDescent="0.2">
      <c r="A400" s="28">
        <v>399</v>
      </c>
      <c r="B400" s="28" t="s">
        <v>763</v>
      </c>
      <c r="C400" s="28" t="s">
        <v>754</v>
      </c>
      <c r="D400" s="28" t="s">
        <v>304</v>
      </c>
      <c r="E400" s="28" t="s">
        <v>211</v>
      </c>
      <c r="F400" s="28" t="s">
        <v>490</v>
      </c>
      <c r="G400" s="28" t="s">
        <v>755</v>
      </c>
      <c r="H400" s="28">
        <v>8991141</v>
      </c>
      <c r="I400" s="28">
        <v>271960</v>
      </c>
      <c r="J400" s="28">
        <v>0.99</v>
      </c>
      <c r="K400" s="28">
        <v>2</v>
      </c>
      <c r="L400" s="28">
        <v>1</v>
      </c>
    </row>
    <row r="401" spans="1:12" ht="14.25" customHeight="1" x14ac:dyDescent="0.2">
      <c r="A401" s="28">
        <v>400</v>
      </c>
      <c r="B401" s="28" t="s">
        <v>764</v>
      </c>
      <c r="C401" s="28" t="s">
        <v>754</v>
      </c>
      <c r="D401" s="28" t="s">
        <v>304</v>
      </c>
      <c r="E401" s="28" t="s">
        <v>211</v>
      </c>
      <c r="F401" s="28" t="s">
        <v>490</v>
      </c>
      <c r="G401" s="28" t="s">
        <v>755</v>
      </c>
      <c r="H401" s="28">
        <v>5594341</v>
      </c>
      <c r="I401" s="28">
        <v>165982</v>
      </c>
      <c r="J401" s="28">
        <v>0.99</v>
      </c>
      <c r="K401" s="28">
        <v>39</v>
      </c>
      <c r="L401" s="28">
        <v>0</v>
      </c>
    </row>
    <row r="402" spans="1:12" ht="14.25" customHeight="1" x14ac:dyDescent="0.2">
      <c r="A402" s="28">
        <v>401</v>
      </c>
      <c r="B402" s="28" t="s">
        <v>765</v>
      </c>
      <c r="C402" s="28" t="s">
        <v>754</v>
      </c>
      <c r="D402" s="28" t="s">
        <v>304</v>
      </c>
      <c r="E402" s="28" t="s">
        <v>211</v>
      </c>
      <c r="F402" s="28" t="s">
        <v>490</v>
      </c>
      <c r="G402" s="28" t="s">
        <v>755</v>
      </c>
      <c r="H402" s="28">
        <v>9313740</v>
      </c>
      <c r="I402" s="28">
        <v>280137</v>
      </c>
      <c r="J402" s="28">
        <v>0.99</v>
      </c>
      <c r="K402" s="28">
        <v>47</v>
      </c>
      <c r="L402" s="28">
        <v>1</v>
      </c>
    </row>
    <row r="403" spans="1:12" ht="14.25" customHeight="1" x14ac:dyDescent="0.2">
      <c r="A403" s="28">
        <v>402</v>
      </c>
      <c r="B403" s="28" t="s">
        <v>766</v>
      </c>
      <c r="C403" s="28" t="s">
        <v>754</v>
      </c>
      <c r="D403" s="28" t="s">
        <v>304</v>
      </c>
      <c r="E403" s="28" t="s">
        <v>211</v>
      </c>
      <c r="F403" s="28" t="s">
        <v>490</v>
      </c>
      <c r="G403" s="28" t="s">
        <v>755</v>
      </c>
      <c r="H403" s="28">
        <v>7819755</v>
      </c>
      <c r="I403" s="28">
        <v>237714</v>
      </c>
      <c r="J403" s="28">
        <v>0.99</v>
      </c>
      <c r="K403" s="28">
        <v>1</v>
      </c>
      <c r="L403" s="28">
        <v>1</v>
      </c>
    </row>
    <row r="404" spans="1:12" ht="14.25" customHeight="1" x14ac:dyDescent="0.2">
      <c r="A404" s="28">
        <v>403</v>
      </c>
      <c r="B404" s="28" t="s">
        <v>767</v>
      </c>
      <c r="C404" s="28" t="s">
        <v>754</v>
      </c>
      <c r="D404" s="28" t="s">
        <v>304</v>
      </c>
      <c r="E404" s="28" t="s">
        <v>211</v>
      </c>
      <c r="F404" s="28" t="s">
        <v>490</v>
      </c>
      <c r="G404" s="28" t="s">
        <v>755</v>
      </c>
      <c r="H404" s="28">
        <v>9073350</v>
      </c>
      <c r="I404" s="28">
        <v>270158</v>
      </c>
      <c r="J404" s="28">
        <v>0.99</v>
      </c>
      <c r="K404" s="28">
        <v>43</v>
      </c>
      <c r="L404" s="28">
        <v>2</v>
      </c>
    </row>
    <row r="405" spans="1:12" ht="14.25" customHeight="1" x14ac:dyDescent="0.2">
      <c r="A405" s="28">
        <v>404</v>
      </c>
      <c r="B405" s="28" t="s">
        <v>768</v>
      </c>
      <c r="C405" s="28" t="s">
        <v>754</v>
      </c>
      <c r="D405" s="28" t="s">
        <v>304</v>
      </c>
      <c r="E405" s="28" t="s">
        <v>211</v>
      </c>
      <c r="F405" s="28" t="s">
        <v>490</v>
      </c>
      <c r="G405" s="28" t="s">
        <v>755</v>
      </c>
      <c r="H405" s="28">
        <v>7102545</v>
      </c>
      <c r="I405" s="28">
        <v>213890</v>
      </c>
      <c r="J405" s="28">
        <v>0.99</v>
      </c>
      <c r="K405" s="28">
        <v>6</v>
      </c>
      <c r="L405" s="28">
        <v>0</v>
      </c>
    </row>
    <row r="406" spans="1:12" ht="14.25" customHeight="1" x14ac:dyDescent="0.2">
      <c r="A406" s="28">
        <v>405</v>
      </c>
      <c r="B406" s="28" t="s">
        <v>769</v>
      </c>
      <c r="C406" s="28" t="s">
        <v>754</v>
      </c>
      <c r="D406" s="28" t="s">
        <v>304</v>
      </c>
      <c r="E406" s="28" t="s">
        <v>211</v>
      </c>
      <c r="F406" s="28" t="s">
        <v>490</v>
      </c>
      <c r="G406" s="28" t="s">
        <v>755</v>
      </c>
      <c r="H406" s="28">
        <v>5492069</v>
      </c>
      <c r="I406" s="28">
        <v>162716</v>
      </c>
      <c r="J406" s="28">
        <v>0.99</v>
      </c>
      <c r="K406" s="28">
        <v>47</v>
      </c>
      <c r="L406" s="28">
        <v>1</v>
      </c>
    </row>
    <row r="407" spans="1:12" ht="14.25" customHeight="1" x14ac:dyDescent="0.2">
      <c r="A407" s="28">
        <v>406</v>
      </c>
      <c r="B407" s="28" t="s">
        <v>770</v>
      </c>
      <c r="C407" s="28" t="s">
        <v>754</v>
      </c>
      <c r="D407" s="28" t="s">
        <v>304</v>
      </c>
      <c r="E407" s="28" t="s">
        <v>211</v>
      </c>
      <c r="F407" s="28" t="s">
        <v>490</v>
      </c>
      <c r="G407" s="28" t="s">
        <v>755</v>
      </c>
      <c r="H407" s="28">
        <v>6792493</v>
      </c>
      <c r="I407" s="28">
        <v>205557</v>
      </c>
      <c r="J407" s="28">
        <v>0.99</v>
      </c>
      <c r="K407" s="28">
        <v>85</v>
      </c>
      <c r="L407" s="28">
        <v>0</v>
      </c>
    </row>
    <row r="408" spans="1:12" ht="14.25" customHeight="1" x14ac:dyDescent="0.2">
      <c r="A408" s="28">
        <v>407</v>
      </c>
      <c r="B408" s="28" t="s">
        <v>771</v>
      </c>
      <c r="C408" s="28" t="s">
        <v>754</v>
      </c>
      <c r="D408" s="28" t="s">
        <v>304</v>
      </c>
      <c r="E408" s="28" t="s">
        <v>211</v>
      </c>
      <c r="F408" s="28" t="s">
        <v>490</v>
      </c>
      <c r="G408" s="28" t="s">
        <v>755</v>
      </c>
      <c r="H408" s="28">
        <v>13085596</v>
      </c>
      <c r="I408" s="28">
        <v>389642</v>
      </c>
      <c r="J408" s="28">
        <v>0.99</v>
      </c>
      <c r="K408" s="28">
        <v>48</v>
      </c>
      <c r="L408" s="28">
        <v>2</v>
      </c>
    </row>
    <row r="409" spans="1:12" ht="14.25" customHeight="1" x14ac:dyDescent="0.2">
      <c r="A409" s="28">
        <v>408</v>
      </c>
      <c r="B409" s="28" t="s">
        <v>772</v>
      </c>
      <c r="C409" s="28" t="s">
        <v>773</v>
      </c>
      <c r="D409" s="28" t="s">
        <v>774</v>
      </c>
      <c r="E409" s="28" t="s">
        <v>211</v>
      </c>
      <c r="F409" s="28" t="s">
        <v>322</v>
      </c>
      <c r="G409" s="28" t="s">
        <v>775</v>
      </c>
      <c r="H409" s="28">
        <v>5076048</v>
      </c>
      <c r="I409" s="28">
        <v>155428</v>
      </c>
      <c r="J409" s="28">
        <v>0.99</v>
      </c>
      <c r="K409" s="28">
        <v>63</v>
      </c>
      <c r="L409" s="28">
        <v>0</v>
      </c>
    </row>
    <row r="410" spans="1:12" ht="14.25" customHeight="1" x14ac:dyDescent="0.2">
      <c r="A410" s="28">
        <v>409</v>
      </c>
      <c r="B410" s="28" t="s">
        <v>776</v>
      </c>
      <c r="C410" s="28" t="s">
        <v>773</v>
      </c>
      <c r="D410" s="28" t="s">
        <v>774</v>
      </c>
      <c r="E410" s="28" t="s">
        <v>211</v>
      </c>
      <c r="F410" s="28" t="s">
        <v>322</v>
      </c>
      <c r="G410" s="28" t="s">
        <v>777</v>
      </c>
      <c r="H410" s="28">
        <v>6978601</v>
      </c>
      <c r="I410" s="28">
        <v>213995</v>
      </c>
      <c r="J410" s="28">
        <v>0.99</v>
      </c>
      <c r="K410" s="28">
        <v>18</v>
      </c>
      <c r="L410" s="28">
        <v>0</v>
      </c>
    </row>
    <row r="411" spans="1:12" ht="14.25" customHeight="1" x14ac:dyDescent="0.2">
      <c r="A411" s="28">
        <v>410</v>
      </c>
      <c r="B411" s="28" t="s">
        <v>778</v>
      </c>
      <c r="C411" s="28" t="s">
        <v>773</v>
      </c>
      <c r="D411" s="28" t="s">
        <v>774</v>
      </c>
      <c r="E411" s="28" t="s">
        <v>211</v>
      </c>
      <c r="F411" s="28" t="s">
        <v>322</v>
      </c>
      <c r="G411" s="28" t="s">
        <v>417</v>
      </c>
      <c r="H411" s="28">
        <v>12418147</v>
      </c>
      <c r="I411" s="28">
        <v>380342</v>
      </c>
      <c r="J411" s="28">
        <v>0.99</v>
      </c>
      <c r="K411" s="28">
        <v>93</v>
      </c>
      <c r="L411" s="28">
        <v>0</v>
      </c>
    </row>
    <row r="412" spans="1:12" ht="14.25" customHeight="1" x14ac:dyDescent="0.2">
      <c r="A412" s="28">
        <v>411</v>
      </c>
      <c r="B412" s="28" t="s">
        <v>779</v>
      </c>
      <c r="C412" s="28" t="s">
        <v>773</v>
      </c>
      <c r="D412" s="28" t="s">
        <v>774</v>
      </c>
      <c r="E412" s="28" t="s">
        <v>211</v>
      </c>
      <c r="F412" s="28" t="s">
        <v>322</v>
      </c>
      <c r="G412" s="28" t="s">
        <v>780</v>
      </c>
      <c r="H412" s="28">
        <v>11946327</v>
      </c>
      <c r="I412" s="28">
        <v>366524</v>
      </c>
      <c r="J412" s="28">
        <v>0.99</v>
      </c>
      <c r="K412" s="28">
        <v>70</v>
      </c>
      <c r="L412" s="28">
        <v>1</v>
      </c>
    </row>
    <row r="413" spans="1:12" ht="14.25" customHeight="1" x14ac:dyDescent="0.2">
      <c r="A413" s="28">
        <v>412</v>
      </c>
      <c r="B413" s="28" t="s">
        <v>781</v>
      </c>
      <c r="C413" s="28" t="s">
        <v>773</v>
      </c>
      <c r="D413" s="28" t="s">
        <v>774</v>
      </c>
      <c r="E413" s="28" t="s">
        <v>211</v>
      </c>
      <c r="F413" s="28" t="s">
        <v>322</v>
      </c>
      <c r="G413" s="28" t="s">
        <v>782</v>
      </c>
      <c r="H413" s="28">
        <v>4867667</v>
      </c>
      <c r="I413" s="28">
        <v>149315</v>
      </c>
      <c r="J413" s="28">
        <v>0.99</v>
      </c>
      <c r="K413" s="28">
        <v>78</v>
      </c>
      <c r="L413" s="28">
        <v>1</v>
      </c>
    </row>
    <row r="414" spans="1:12" ht="14.25" customHeight="1" x14ac:dyDescent="0.2">
      <c r="A414" s="28">
        <v>413</v>
      </c>
      <c r="B414" s="28" t="s">
        <v>783</v>
      </c>
      <c r="C414" s="28" t="s">
        <v>773</v>
      </c>
      <c r="D414" s="28" t="s">
        <v>774</v>
      </c>
      <c r="E414" s="28" t="s">
        <v>211</v>
      </c>
      <c r="F414" s="28" t="s">
        <v>322</v>
      </c>
      <c r="G414" s="28" t="s">
        <v>784</v>
      </c>
      <c r="H414" s="28">
        <v>15446975</v>
      </c>
      <c r="I414" s="28">
        <v>472764</v>
      </c>
      <c r="J414" s="28">
        <v>0.99</v>
      </c>
      <c r="K414" s="28">
        <v>91</v>
      </c>
      <c r="L414" s="28">
        <v>0</v>
      </c>
    </row>
    <row r="415" spans="1:12" ht="14.25" customHeight="1" x14ac:dyDescent="0.2">
      <c r="A415" s="28">
        <v>414</v>
      </c>
      <c r="B415" s="28" t="s">
        <v>785</v>
      </c>
      <c r="C415" s="28" t="s">
        <v>773</v>
      </c>
      <c r="D415" s="28" t="s">
        <v>774</v>
      </c>
      <c r="E415" s="28" t="s">
        <v>211</v>
      </c>
      <c r="F415" s="28" t="s">
        <v>322</v>
      </c>
      <c r="G415" s="28" t="s">
        <v>786</v>
      </c>
      <c r="H415" s="28">
        <v>21942829</v>
      </c>
      <c r="I415" s="28">
        <v>671712</v>
      </c>
      <c r="J415" s="28">
        <v>0.99</v>
      </c>
      <c r="K415" s="28">
        <v>9</v>
      </c>
      <c r="L415" s="28">
        <v>0</v>
      </c>
    </row>
    <row r="416" spans="1:12" ht="14.25" customHeight="1" x14ac:dyDescent="0.2">
      <c r="A416" s="28">
        <v>415</v>
      </c>
      <c r="B416" s="28" t="s">
        <v>787</v>
      </c>
      <c r="C416" s="28" t="s">
        <v>773</v>
      </c>
      <c r="D416" s="28" t="s">
        <v>774</v>
      </c>
      <c r="E416" s="28" t="s">
        <v>211</v>
      </c>
      <c r="F416" s="28" t="s">
        <v>322</v>
      </c>
      <c r="G416" s="28" t="s">
        <v>788</v>
      </c>
      <c r="H416" s="28">
        <v>13065612</v>
      </c>
      <c r="I416" s="28">
        <v>397531</v>
      </c>
      <c r="J416" s="28">
        <v>0.99</v>
      </c>
      <c r="K416" s="28">
        <v>12</v>
      </c>
      <c r="L416" s="28">
        <v>1</v>
      </c>
    </row>
    <row r="417" spans="1:12" ht="14.25" customHeight="1" x14ac:dyDescent="0.2">
      <c r="A417" s="28">
        <v>416</v>
      </c>
      <c r="B417" s="28" t="s">
        <v>789</v>
      </c>
      <c r="C417" s="28" t="s">
        <v>773</v>
      </c>
      <c r="D417" s="28" t="s">
        <v>774</v>
      </c>
      <c r="E417" s="28" t="s">
        <v>211</v>
      </c>
      <c r="F417" s="28" t="s">
        <v>322</v>
      </c>
      <c r="G417" s="28" t="s">
        <v>790</v>
      </c>
      <c r="H417" s="28">
        <v>9943129</v>
      </c>
      <c r="I417" s="28">
        <v>305005</v>
      </c>
      <c r="J417" s="28">
        <v>0.99</v>
      </c>
      <c r="K417" s="28">
        <v>62</v>
      </c>
      <c r="L417" s="28">
        <v>2</v>
      </c>
    </row>
    <row r="418" spans="1:12" ht="14.25" customHeight="1" x14ac:dyDescent="0.2">
      <c r="A418" s="28">
        <v>417</v>
      </c>
      <c r="B418" s="28" t="s">
        <v>791</v>
      </c>
      <c r="C418" s="28" t="s">
        <v>773</v>
      </c>
      <c r="D418" s="28" t="s">
        <v>774</v>
      </c>
      <c r="E418" s="28" t="s">
        <v>211</v>
      </c>
      <c r="F418" s="28" t="s">
        <v>322</v>
      </c>
      <c r="G418" s="28" t="s">
        <v>792</v>
      </c>
      <c r="H418" s="28">
        <v>17900787</v>
      </c>
      <c r="I418" s="28">
        <v>545750</v>
      </c>
      <c r="J418" s="28">
        <v>0.99</v>
      </c>
      <c r="K418" s="28">
        <v>65</v>
      </c>
      <c r="L418" s="28">
        <v>1</v>
      </c>
    </row>
    <row r="419" spans="1:12" ht="14.25" customHeight="1" x14ac:dyDescent="0.2">
      <c r="A419" s="28">
        <v>418</v>
      </c>
      <c r="B419" s="28" t="s">
        <v>793</v>
      </c>
      <c r="C419" s="28" t="s">
        <v>773</v>
      </c>
      <c r="D419" s="28" t="s">
        <v>774</v>
      </c>
      <c r="E419" s="28" t="s">
        <v>211</v>
      </c>
      <c r="F419" s="28" t="s">
        <v>322</v>
      </c>
      <c r="G419" s="28" t="s">
        <v>775</v>
      </c>
      <c r="H419" s="28">
        <v>9378873</v>
      </c>
      <c r="I419" s="28">
        <v>287973</v>
      </c>
      <c r="J419" s="28">
        <v>0.99</v>
      </c>
      <c r="K419" s="28">
        <v>87</v>
      </c>
      <c r="L419" s="28">
        <v>1</v>
      </c>
    </row>
    <row r="420" spans="1:12" ht="14.25" customHeight="1" x14ac:dyDescent="0.2">
      <c r="A420" s="28">
        <v>419</v>
      </c>
      <c r="B420" s="28" t="s">
        <v>794</v>
      </c>
      <c r="C420" s="28" t="s">
        <v>795</v>
      </c>
      <c r="D420" s="28" t="s">
        <v>796</v>
      </c>
      <c r="E420" s="28" t="s">
        <v>211</v>
      </c>
      <c r="F420" s="28" t="s">
        <v>212</v>
      </c>
      <c r="G420" s="28" t="s">
        <v>797</v>
      </c>
      <c r="H420" s="28">
        <v>8689618</v>
      </c>
      <c r="I420" s="28">
        <v>262608</v>
      </c>
      <c r="J420" s="28">
        <v>0.99</v>
      </c>
      <c r="K420" s="28">
        <v>95</v>
      </c>
      <c r="L420" s="28">
        <v>1</v>
      </c>
    </row>
    <row r="421" spans="1:12" ht="14.25" customHeight="1" x14ac:dyDescent="0.2">
      <c r="A421" s="28">
        <v>420</v>
      </c>
      <c r="B421" s="28" t="s">
        <v>798</v>
      </c>
      <c r="C421" s="28" t="s">
        <v>795</v>
      </c>
      <c r="D421" s="28" t="s">
        <v>796</v>
      </c>
      <c r="E421" s="28" t="s">
        <v>211</v>
      </c>
      <c r="F421" s="28" t="s">
        <v>212</v>
      </c>
      <c r="G421" s="28" t="s">
        <v>799</v>
      </c>
      <c r="H421" s="28">
        <v>7739042</v>
      </c>
      <c r="I421" s="28">
        <v>236617</v>
      </c>
      <c r="J421" s="28">
        <v>0.99</v>
      </c>
      <c r="K421" s="28">
        <v>67</v>
      </c>
      <c r="L421" s="28">
        <v>1</v>
      </c>
    </row>
    <row r="422" spans="1:12" ht="14.25" customHeight="1" x14ac:dyDescent="0.2">
      <c r="A422" s="28">
        <v>421</v>
      </c>
      <c r="B422" s="28" t="s">
        <v>800</v>
      </c>
      <c r="C422" s="28" t="s">
        <v>795</v>
      </c>
      <c r="D422" s="28" t="s">
        <v>796</v>
      </c>
      <c r="E422" s="28" t="s">
        <v>211</v>
      </c>
      <c r="F422" s="28" t="s">
        <v>212</v>
      </c>
      <c r="G422" s="28" t="s">
        <v>797</v>
      </c>
      <c r="H422" s="28">
        <v>11358573</v>
      </c>
      <c r="I422" s="28">
        <v>343745</v>
      </c>
      <c r="J422" s="28">
        <v>0.99</v>
      </c>
      <c r="K422" s="28">
        <v>62</v>
      </c>
      <c r="L422" s="28">
        <v>1</v>
      </c>
    </row>
    <row r="423" spans="1:12" ht="14.25" customHeight="1" x14ac:dyDescent="0.2">
      <c r="A423" s="28">
        <v>422</v>
      </c>
      <c r="B423" s="28" t="s">
        <v>801</v>
      </c>
      <c r="C423" s="28" t="s">
        <v>795</v>
      </c>
      <c r="D423" s="28" t="s">
        <v>796</v>
      </c>
      <c r="E423" s="28" t="s">
        <v>211</v>
      </c>
      <c r="F423" s="28" t="s">
        <v>212</v>
      </c>
      <c r="G423" s="28" t="s">
        <v>796</v>
      </c>
      <c r="H423" s="28">
        <v>7876564</v>
      </c>
      <c r="I423" s="28">
        <v>241684</v>
      </c>
      <c r="J423" s="28">
        <v>0.99</v>
      </c>
      <c r="K423" s="28">
        <v>47</v>
      </c>
      <c r="L423" s="28">
        <v>1</v>
      </c>
    </row>
    <row r="424" spans="1:12" ht="14.25" customHeight="1" x14ac:dyDescent="0.2">
      <c r="A424" s="28">
        <v>423</v>
      </c>
      <c r="B424" s="28" t="s">
        <v>802</v>
      </c>
      <c r="C424" s="28" t="s">
        <v>795</v>
      </c>
      <c r="D424" s="28" t="s">
        <v>796</v>
      </c>
      <c r="E424" s="28" t="s">
        <v>211</v>
      </c>
      <c r="F424" s="28" t="s">
        <v>212</v>
      </c>
      <c r="G424" s="28" t="s">
        <v>803</v>
      </c>
      <c r="H424" s="28">
        <v>8552861</v>
      </c>
      <c r="I424" s="28">
        <v>259108</v>
      </c>
      <c r="J424" s="28">
        <v>0.99</v>
      </c>
      <c r="K424" s="28">
        <v>7</v>
      </c>
      <c r="L424" s="28">
        <v>1</v>
      </c>
    </row>
    <row r="425" spans="1:12" ht="14.25" customHeight="1" x14ac:dyDescent="0.2">
      <c r="A425" s="28">
        <v>424</v>
      </c>
      <c r="B425" s="28" t="s">
        <v>804</v>
      </c>
      <c r="C425" s="28" t="s">
        <v>795</v>
      </c>
      <c r="D425" s="28" t="s">
        <v>796</v>
      </c>
      <c r="E425" s="28" t="s">
        <v>211</v>
      </c>
      <c r="F425" s="28" t="s">
        <v>212</v>
      </c>
      <c r="G425" s="28" t="s">
        <v>796</v>
      </c>
      <c r="H425" s="28">
        <v>12664591</v>
      </c>
      <c r="I425" s="28">
        <v>387761</v>
      </c>
      <c r="J425" s="28">
        <v>0.99</v>
      </c>
      <c r="K425" s="28">
        <v>16</v>
      </c>
      <c r="L425" s="28">
        <v>1</v>
      </c>
    </row>
    <row r="426" spans="1:12" ht="14.25" customHeight="1" x14ac:dyDescent="0.2">
      <c r="A426" s="28">
        <v>425</v>
      </c>
      <c r="B426" s="28" t="s">
        <v>805</v>
      </c>
      <c r="C426" s="28" t="s">
        <v>795</v>
      </c>
      <c r="D426" s="28" t="s">
        <v>796</v>
      </c>
      <c r="E426" s="28" t="s">
        <v>211</v>
      </c>
      <c r="F426" s="28" t="s">
        <v>212</v>
      </c>
      <c r="G426" s="28" t="s">
        <v>806</v>
      </c>
      <c r="H426" s="28">
        <v>8112242</v>
      </c>
      <c r="I426" s="28">
        <v>249417</v>
      </c>
      <c r="J426" s="28">
        <v>0.99</v>
      </c>
      <c r="K426" s="28">
        <v>31</v>
      </c>
      <c r="L426" s="28">
        <v>1</v>
      </c>
    </row>
    <row r="427" spans="1:12" ht="14.25" customHeight="1" x14ac:dyDescent="0.2">
      <c r="A427" s="28">
        <v>426</v>
      </c>
      <c r="B427" s="28" t="s">
        <v>807</v>
      </c>
      <c r="C427" s="28" t="s">
        <v>795</v>
      </c>
      <c r="D427" s="28" t="s">
        <v>796</v>
      </c>
      <c r="E427" s="28" t="s">
        <v>211</v>
      </c>
      <c r="F427" s="28" t="s">
        <v>212</v>
      </c>
      <c r="G427" s="28" t="s">
        <v>796</v>
      </c>
      <c r="H427" s="28">
        <v>8150479</v>
      </c>
      <c r="I427" s="28">
        <v>249234</v>
      </c>
      <c r="J427" s="28">
        <v>0.99</v>
      </c>
      <c r="K427" s="28">
        <v>63</v>
      </c>
      <c r="L427" s="28">
        <v>1</v>
      </c>
    </row>
    <row r="428" spans="1:12" ht="14.25" customHeight="1" x14ac:dyDescent="0.2">
      <c r="A428" s="28">
        <v>427</v>
      </c>
      <c r="B428" s="28" t="s">
        <v>808</v>
      </c>
      <c r="C428" s="28" t="s">
        <v>795</v>
      </c>
      <c r="D428" s="28" t="s">
        <v>796</v>
      </c>
      <c r="E428" s="28" t="s">
        <v>211</v>
      </c>
      <c r="F428" s="28" t="s">
        <v>212</v>
      </c>
      <c r="G428" s="28" t="s">
        <v>809</v>
      </c>
      <c r="H428" s="28">
        <v>9577577</v>
      </c>
      <c r="I428" s="28">
        <v>297691</v>
      </c>
      <c r="J428" s="28">
        <v>0.99</v>
      </c>
      <c r="K428" s="28">
        <v>38</v>
      </c>
      <c r="L428" s="28">
        <v>1</v>
      </c>
    </row>
    <row r="429" spans="1:12" ht="14.25" customHeight="1" x14ac:dyDescent="0.2">
      <c r="A429" s="28">
        <v>428</v>
      </c>
      <c r="B429" s="28" t="s">
        <v>810</v>
      </c>
      <c r="C429" s="28" t="s">
        <v>795</v>
      </c>
      <c r="D429" s="28" t="s">
        <v>796</v>
      </c>
      <c r="E429" s="28" t="s">
        <v>211</v>
      </c>
      <c r="F429" s="28" t="s">
        <v>212</v>
      </c>
      <c r="G429" s="28" t="s">
        <v>796</v>
      </c>
      <c r="H429" s="28">
        <v>8921404</v>
      </c>
      <c r="I429" s="28">
        <v>273057</v>
      </c>
      <c r="J429" s="28">
        <v>0.99</v>
      </c>
      <c r="K429" s="28">
        <v>54</v>
      </c>
      <c r="L429" s="28">
        <v>1</v>
      </c>
    </row>
    <row r="430" spans="1:12" ht="14.25" customHeight="1" x14ac:dyDescent="0.2">
      <c r="A430" s="28">
        <v>429</v>
      </c>
      <c r="B430" s="28" t="s">
        <v>811</v>
      </c>
      <c r="C430" s="28" t="s">
        <v>795</v>
      </c>
      <c r="D430" s="28" t="s">
        <v>796</v>
      </c>
      <c r="E430" s="28" t="s">
        <v>211</v>
      </c>
      <c r="F430" s="28" t="s">
        <v>212</v>
      </c>
      <c r="G430" s="28" t="s">
        <v>796</v>
      </c>
      <c r="H430" s="28">
        <v>9671923</v>
      </c>
      <c r="I430" s="28">
        <v>294974</v>
      </c>
      <c r="J430" s="28">
        <v>0.99</v>
      </c>
      <c r="K430" s="28">
        <v>33</v>
      </c>
      <c r="L430" s="28">
        <v>0</v>
      </c>
    </row>
    <row r="431" spans="1:12" ht="14.25" customHeight="1" x14ac:dyDescent="0.2">
      <c r="A431" s="28">
        <v>430</v>
      </c>
      <c r="B431" s="28" t="s">
        <v>812</v>
      </c>
      <c r="C431" s="28" t="s">
        <v>795</v>
      </c>
      <c r="D431" s="28" t="s">
        <v>796</v>
      </c>
      <c r="E431" s="28" t="s">
        <v>211</v>
      </c>
      <c r="F431" s="28" t="s">
        <v>212</v>
      </c>
      <c r="G431" s="28" t="s">
        <v>796</v>
      </c>
      <c r="H431" s="28">
        <v>8192339</v>
      </c>
      <c r="I431" s="28">
        <v>248032</v>
      </c>
      <c r="J431" s="28">
        <v>0.99</v>
      </c>
      <c r="K431" s="28">
        <v>33</v>
      </c>
      <c r="L431" s="28">
        <v>2</v>
      </c>
    </row>
    <row r="432" spans="1:12" ht="14.25" customHeight="1" x14ac:dyDescent="0.2">
      <c r="A432" s="28">
        <v>431</v>
      </c>
      <c r="B432" s="28" t="s">
        <v>813</v>
      </c>
      <c r="C432" s="28" t="s">
        <v>795</v>
      </c>
      <c r="D432" s="28" t="s">
        <v>796</v>
      </c>
      <c r="E432" s="28" t="s">
        <v>211</v>
      </c>
      <c r="F432" s="28" t="s">
        <v>212</v>
      </c>
      <c r="G432" s="28" t="s">
        <v>796</v>
      </c>
      <c r="H432" s="28">
        <v>7920353</v>
      </c>
      <c r="I432" s="28">
        <v>238994</v>
      </c>
      <c r="J432" s="28">
        <v>0.99</v>
      </c>
      <c r="K432" s="28">
        <v>20</v>
      </c>
      <c r="L432" s="28">
        <v>1</v>
      </c>
    </row>
    <row r="433" spans="1:12" ht="14.25" customHeight="1" x14ac:dyDescent="0.2">
      <c r="A433" s="28">
        <v>432</v>
      </c>
      <c r="B433" s="28" t="s">
        <v>814</v>
      </c>
      <c r="C433" s="28" t="s">
        <v>795</v>
      </c>
      <c r="D433" s="28" t="s">
        <v>796</v>
      </c>
      <c r="E433" s="28" t="s">
        <v>211</v>
      </c>
      <c r="F433" s="28" t="s">
        <v>212</v>
      </c>
      <c r="G433" s="28" t="s">
        <v>809</v>
      </c>
      <c r="H433" s="28">
        <v>7255404</v>
      </c>
      <c r="I433" s="28">
        <v>220316</v>
      </c>
      <c r="J433" s="28">
        <v>0.99</v>
      </c>
      <c r="K433" s="28">
        <v>46</v>
      </c>
      <c r="L433" s="28">
        <v>0</v>
      </c>
    </row>
    <row r="434" spans="1:12" ht="14.25" customHeight="1" x14ac:dyDescent="0.2">
      <c r="A434" s="28">
        <v>433</v>
      </c>
      <c r="B434" s="28" t="s">
        <v>815</v>
      </c>
      <c r="C434" s="28" t="s">
        <v>795</v>
      </c>
      <c r="D434" s="28" t="s">
        <v>796</v>
      </c>
      <c r="E434" s="28" t="s">
        <v>211</v>
      </c>
      <c r="F434" s="28" t="s">
        <v>212</v>
      </c>
      <c r="G434" s="28" t="s">
        <v>816</v>
      </c>
      <c r="H434" s="28">
        <v>8114582</v>
      </c>
      <c r="I434" s="28">
        <v>248920</v>
      </c>
      <c r="J434" s="28">
        <v>0.99</v>
      </c>
      <c r="K434" s="28">
        <v>91</v>
      </c>
      <c r="L434" s="28">
        <v>0</v>
      </c>
    </row>
    <row r="435" spans="1:12" ht="14.25" customHeight="1" x14ac:dyDescent="0.2">
      <c r="A435" s="28">
        <v>434</v>
      </c>
      <c r="B435" s="28" t="s">
        <v>817</v>
      </c>
      <c r="C435" s="28" t="s">
        <v>795</v>
      </c>
      <c r="D435" s="28" t="s">
        <v>796</v>
      </c>
      <c r="E435" s="28" t="s">
        <v>211</v>
      </c>
      <c r="F435" s="28" t="s">
        <v>212</v>
      </c>
      <c r="G435" s="28" t="s">
        <v>796</v>
      </c>
      <c r="H435" s="28">
        <v>8526760</v>
      </c>
      <c r="I435" s="28">
        <v>263784</v>
      </c>
      <c r="J435" s="28">
        <v>0.99</v>
      </c>
      <c r="K435" s="28">
        <v>64</v>
      </c>
      <c r="L435" s="28">
        <v>1</v>
      </c>
    </row>
    <row r="436" spans="1:12" ht="14.25" customHeight="1" x14ac:dyDescent="0.2">
      <c r="A436" s="28">
        <v>435</v>
      </c>
      <c r="B436" s="28" t="s">
        <v>818</v>
      </c>
      <c r="C436" s="28" t="s">
        <v>795</v>
      </c>
      <c r="D436" s="28" t="s">
        <v>796</v>
      </c>
      <c r="E436" s="28" t="s">
        <v>211</v>
      </c>
      <c r="F436" s="28" t="s">
        <v>212</v>
      </c>
      <c r="G436" s="28" t="s">
        <v>796</v>
      </c>
      <c r="H436" s="28">
        <v>7936928</v>
      </c>
      <c r="I436" s="28">
        <v>242599</v>
      </c>
      <c r="J436" s="28">
        <v>0.99</v>
      </c>
      <c r="K436" s="28">
        <v>62</v>
      </c>
      <c r="L436" s="28">
        <v>0</v>
      </c>
    </row>
    <row r="437" spans="1:12" ht="14.25" customHeight="1" x14ac:dyDescent="0.2">
      <c r="A437" s="28">
        <v>436</v>
      </c>
      <c r="B437" s="28" t="s">
        <v>819</v>
      </c>
      <c r="C437" s="28" t="s">
        <v>820</v>
      </c>
      <c r="D437" s="28" t="s">
        <v>821</v>
      </c>
      <c r="E437" s="28" t="s">
        <v>211</v>
      </c>
      <c r="F437" s="28" t="s">
        <v>212</v>
      </c>
      <c r="G437" s="28" t="s">
        <v>822</v>
      </c>
      <c r="H437" s="28">
        <v>7146372</v>
      </c>
      <c r="I437" s="28">
        <v>218880</v>
      </c>
      <c r="J437" s="28">
        <v>0.99</v>
      </c>
      <c r="K437" s="28">
        <v>10</v>
      </c>
      <c r="L437" s="28">
        <v>0</v>
      </c>
    </row>
    <row r="438" spans="1:12" ht="14.25" customHeight="1" x14ac:dyDescent="0.2">
      <c r="A438" s="28">
        <v>437</v>
      </c>
      <c r="B438" s="28" t="s">
        <v>823</v>
      </c>
      <c r="C438" s="28" t="s">
        <v>820</v>
      </c>
      <c r="D438" s="28" t="s">
        <v>821</v>
      </c>
      <c r="E438" s="28" t="s">
        <v>211</v>
      </c>
      <c r="F438" s="28" t="s">
        <v>212</v>
      </c>
      <c r="G438" s="28" t="s">
        <v>824</v>
      </c>
      <c r="H438" s="28">
        <v>10266007</v>
      </c>
      <c r="I438" s="28">
        <v>314148</v>
      </c>
      <c r="J438" s="28">
        <v>0.99</v>
      </c>
      <c r="K438" s="28">
        <v>71</v>
      </c>
      <c r="L438" s="28">
        <v>1</v>
      </c>
    </row>
    <row r="439" spans="1:12" ht="14.25" customHeight="1" x14ac:dyDescent="0.2">
      <c r="A439" s="28">
        <v>438</v>
      </c>
      <c r="B439" s="28" t="s">
        <v>825</v>
      </c>
      <c r="C439" s="28" t="s">
        <v>820</v>
      </c>
      <c r="D439" s="28" t="s">
        <v>821</v>
      </c>
      <c r="E439" s="28" t="s">
        <v>211</v>
      </c>
      <c r="F439" s="28" t="s">
        <v>212</v>
      </c>
      <c r="G439" s="28" t="s">
        <v>824</v>
      </c>
      <c r="H439" s="28">
        <v>7109267</v>
      </c>
      <c r="I439" s="28">
        <v>216032</v>
      </c>
      <c r="J439" s="28">
        <v>0.99</v>
      </c>
      <c r="K439" s="28">
        <v>39</v>
      </c>
      <c r="L439" s="28">
        <v>1</v>
      </c>
    </row>
    <row r="440" spans="1:12" ht="14.25" customHeight="1" x14ac:dyDescent="0.2">
      <c r="A440" s="28">
        <v>439</v>
      </c>
      <c r="B440" s="28" t="s">
        <v>826</v>
      </c>
      <c r="C440" s="28" t="s">
        <v>820</v>
      </c>
      <c r="D440" s="28" t="s">
        <v>821</v>
      </c>
      <c r="E440" s="28" t="s">
        <v>211</v>
      </c>
      <c r="F440" s="28" t="s">
        <v>212</v>
      </c>
      <c r="G440" s="28" t="s">
        <v>827</v>
      </c>
      <c r="H440" s="28">
        <v>7939886</v>
      </c>
      <c r="I440" s="28">
        <v>242468</v>
      </c>
      <c r="J440" s="28">
        <v>0.99</v>
      </c>
      <c r="K440" s="28">
        <v>87</v>
      </c>
      <c r="L440" s="28">
        <v>2</v>
      </c>
    </row>
    <row r="441" spans="1:12" ht="14.25" customHeight="1" x14ac:dyDescent="0.2">
      <c r="A441" s="28">
        <v>440</v>
      </c>
      <c r="B441" s="28" t="s">
        <v>828</v>
      </c>
      <c r="C441" s="28" t="s">
        <v>820</v>
      </c>
      <c r="D441" s="28" t="s">
        <v>821</v>
      </c>
      <c r="E441" s="28" t="s">
        <v>211</v>
      </c>
      <c r="F441" s="28" t="s">
        <v>212</v>
      </c>
      <c r="G441" s="28" t="s">
        <v>824</v>
      </c>
      <c r="H441" s="28">
        <v>6424915</v>
      </c>
      <c r="I441" s="28">
        <v>196257</v>
      </c>
      <c r="J441" s="28">
        <v>0.99</v>
      </c>
      <c r="K441" s="28">
        <v>19</v>
      </c>
      <c r="L441" s="28">
        <v>1</v>
      </c>
    </row>
    <row r="442" spans="1:12" ht="14.25" customHeight="1" x14ac:dyDescent="0.2">
      <c r="A442" s="28">
        <v>441</v>
      </c>
      <c r="B442" s="28" t="s">
        <v>829</v>
      </c>
      <c r="C442" s="28" t="s">
        <v>820</v>
      </c>
      <c r="D442" s="28" t="s">
        <v>821</v>
      </c>
      <c r="E442" s="28" t="s">
        <v>211</v>
      </c>
      <c r="F442" s="28" t="s">
        <v>212</v>
      </c>
      <c r="G442" s="28" t="s">
        <v>830</v>
      </c>
      <c r="H442" s="28">
        <v>6097210</v>
      </c>
      <c r="I442" s="28">
        <v>185077</v>
      </c>
      <c r="J442" s="28">
        <v>0.99</v>
      </c>
      <c r="K442" s="28">
        <v>21</v>
      </c>
      <c r="L442" s="28">
        <v>1</v>
      </c>
    </row>
    <row r="443" spans="1:12" ht="14.25" customHeight="1" x14ac:dyDescent="0.2">
      <c r="A443" s="28">
        <v>442</v>
      </c>
      <c r="B443" s="28" t="s">
        <v>831</v>
      </c>
      <c r="C443" s="28" t="s">
        <v>820</v>
      </c>
      <c r="D443" s="28" t="s">
        <v>821</v>
      </c>
      <c r="E443" s="28" t="s">
        <v>211</v>
      </c>
      <c r="F443" s="28" t="s">
        <v>212</v>
      </c>
      <c r="G443" s="28" t="s">
        <v>832</v>
      </c>
      <c r="H443" s="28">
        <v>7045314</v>
      </c>
      <c r="I443" s="28">
        <v>216215</v>
      </c>
      <c r="J443" s="28">
        <v>0.99</v>
      </c>
      <c r="K443" s="28">
        <v>12</v>
      </c>
      <c r="L443" s="28">
        <v>1</v>
      </c>
    </row>
    <row r="444" spans="1:12" ht="14.25" customHeight="1" x14ac:dyDescent="0.2">
      <c r="A444" s="28">
        <v>443</v>
      </c>
      <c r="B444" s="28" t="s">
        <v>833</v>
      </c>
      <c r="C444" s="28" t="s">
        <v>820</v>
      </c>
      <c r="D444" s="28" t="s">
        <v>821</v>
      </c>
      <c r="E444" s="28" t="s">
        <v>211</v>
      </c>
      <c r="F444" s="28" t="s">
        <v>212</v>
      </c>
      <c r="G444" s="28" t="s">
        <v>834</v>
      </c>
      <c r="H444" s="28">
        <v>7529336</v>
      </c>
      <c r="I444" s="28">
        <v>227291</v>
      </c>
      <c r="J444" s="28">
        <v>0.99</v>
      </c>
      <c r="K444" s="28">
        <v>54</v>
      </c>
      <c r="L444" s="28">
        <v>2</v>
      </c>
    </row>
    <row r="445" spans="1:12" ht="14.25" customHeight="1" x14ac:dyDescent="0.2">
      <c r="A445" s="28">
        <v>444</v>
      </c>
      <c r="B445" s="28" t="s">
        <v>835</v>
      </c>
      <c r="C445" s="28" t="s">
        <v>820</v>
      </c>
      <c r="D445" s="28" t="s">
        <v>821</v>
      </c>
      <c r="E445" s="28" t="s">
        <v>211</v>
      </c>
      <c r="F445" s="28" t="s">
        <v>212</v>
      </c>
      <c r="G445" s="28" t="s">
        <v>836</v>
      </c>
      <c r="H445" s="28">
        <v>6976194</v>
      </c>
      <c r="I445" s="28">
        <v>214987</v>
      </c>
      <c r="J445" s="28">
        <v>0.99</v>
      </c>
      <c r="K445" s="28">
        <v>44</v>
      </c>
      <c r="L445" s="28">
        <v>0</v>
      </c>
    </row>
    <row r="446" spans="1:12" ht="14.25" customHeight="1" x14ac:dyDescent="0.2">
      <c r="A446" s="28">
        <v>445</v>
      </c>
      <c r="B446" s="28" t="s">
        <v>837</v>
      </c>
      <c r="C446" s="28" t="s">
        <v>820</v>
      </c>
      <c r="D446" s="28" t="s">
        <v>821</v>
      </c>
      <c r="E446" s="28" t="s">
        <v>211</v>
      </c>
      <c r="F446" s="28" t="s">
        <v>212</v>
      </c>
      <c r="G446" s="28" t="s">
        <v>832</v>
      </c>
      <c r="H446" s="28">
        <v>8229734</v>
      </c>
      <c r="I446" s="28">
        <v>248346</v>
      </c>
      <c r="J446" s="28">
        <v>0.99</v>
      </c>
      <c r="K446" s="28">
        <v>63</v>
      </c>
      <c r="L446" s="28">
        <v>1</v>
      </c>
    </row>
    <row r="447" spans="1:12" ht="14.25" customHeight="1" x14ac:dyDescent="0.2">
      <c r="A447" s="28">
        <v>446</v>
      </c>
      <c r="B447" s="28" t="s">
        <v>838</v>
      </c>
      <c r="C447" s="28" t="s">
        <v>820</v>
      </c>
      <c r="D447" s="28" t="s">
        <v>821</v>
      </c>
      <c r="E447" s="28" t="s">
        <v>211</v>
      </c>
      <c r="F447" s="28" t="s">
        <v>212</v>
      </c>
      <c r="G447" s="28" t="s">
        <v>839</v>
      </c>
      <c r="H447" s="28">
        <v>9018078</v>
      </c>
      <c r="I447" s="28">
        <v>271360</v>
      </c>
      <c r="J447" s="28">
        <v>0.99</v>
      </c>
      <c r="K447" s="28">
        <v>13</v>
      </c>
      <c r="L447" s="28">
        <v>1</v>
      </c>
    </row>
    <row r="448" spans="1:12" ht="14.25" customHeight="1" x14ac:dyDescent="0.2">
      <c r="A448" s="28">
        <v>447</v>
      </c>
      <c r="B448" s="28" t="s">
        <v>840</v>
      </c>
      <c r="C448" s="28" t="s">
        <v>820</v>
      </c>
      <c r="D448" s="28" t="s">
        <v>821</v>
      </c>
      <c r="E448" s="28" t="s">
        <v>211</v>
      </c>
      <c r="F448" s="28" t="s">
        <v>212</v>
      </c>
      <c r="G448" s="28" t="s">
        <v>841</v>
      </c>
      <c r="H448" s="28">
        <v>7194424</v>
      </c>
      <c r="I448" s="28">
        <v>219742</v>
      </c>
      <c r="J448" s="28">
        <v>0.99</v>
      </c>
      <c r="K448" s="28">
        <v>82</v>
      </c>
      <c r="L448" s="28">
        <v>1</v>
      </c>
    </row>
    <row r="449" spans="1:12" ht="14.25" customHeight="1" x14ac:dyDescent="0.2">
      <c r="A449" s="28">
        <v>448</v>
      </c>
      <c r="B449" s="28" t="s">
        <v>842</v>
      </c>
      <c r="C449" s="28" t="s">
        <v>820</v>
      </c>
      <c r="D449" s="28" t="s">
        <v>821</v>
      </c>
      <c r="E449" s="28" t="s">
        <v>211</v>
      </c>
      <c r="F449" s="28" t="s">
        <v>212</v>
      </c>
      <c r="G449" s="28" t="s">
        <v>824</v>
      </c>
      <c r="H449" s="28">
        <v>8309077</v>
      </c>
      <c r="I449" s="28">
        <v>255791</v>
      </c>
      <c r="J449" s="28">
        <v>0.99</v>
      </c>
      <c r="K449" s="28">
        <v>73</v>
      </c>
      <c r="L449" s="28">
        <v>1</v>
      </c>
    </row>
    <row r="450" spans="1:12" ht="14.25" customHeight="1" x14ac:dyDescent="0.2">
      <c r="A450" s="28">
        <v>449</v>
      </c>
      <c r="B450" s="28" t="s">
        <v>843</v>
      </c>
      <c r="C450" s="28" t="s">
        <v>820</v>
      </c>
      <c r="D450" s="28" t="s">
        <v>821</v>
      </c>
      <c r="E450" s="28" t="s">
        <v>211</v>
      </c>
      <c r="F450" s="28" t="s">
        <v>212</v>
      </c>
      <c r="G450" s="28" t="s">
        <v>830</v>
      </c>
      <c r="H450" s="28">
        <v>7395034</v>
      </c>
      <c r="I450" s="28">
        <v>225332</v>
      </c>
      <c r="J450" s="28">
        <v>0.99</v>
      </c>
      <c r="K450" s="28">
        <v>72</v>
      </c>
      <c r="L450" s="28">
        <v>2</v>
      </c>
    </row>
    <row r="451" spans="1:12" ht="14.25" customHeight="1" x14ac:dyDescent="0.2">
      <c r="A451" s="28">
        <v>450</v>
      </c>
      <c r="B451" s="28" t="s">
        <v>844</v>
      </c>
      <c r="C451" s="28" t="s">
        <v>820</v>
      </c>
      <c r="D451" s="28" t="s">
        <v>821</v>
      </c>
      <c r="E451" s="28" t="s">
        <v>211</v>
      </c>
      <c r="F451" s="28" t="s">
        <v>212</v>
      </c>
      <c r="G451" s="28" t="s">
        <v>845</v>
      </c>
      <c r="H451" s="28">
        <v>5360574</v>
      </c>
      <c r="I451" s="28">
        <v>166974</v>
      </c>
      <c r="J451" s="28">
        <v>0.99</v>
      </c>
      <c r="K451" s="28">
        <v>49</v>
      </c>
      <c r="L451" s="28">
        <v>1</v>
      </c>
    </row>
    <row r="452" spans="1:12" ht="14.25" customHeight="1" x14ac:dyDescent="0.2">
      <c r="A452" s="28">
        <v>451</v>
      </c>
      <c r="B452" s="28" t="s">
        <v>846</v>
      </c>
      <c r="C452" s="28" t="s">
        <v>820</v>
      </c>
      <c r="D452" s="28" t="s">
        <v>821</v>
      </c>
      <c r="E452" s="28" t="s">
        <v>211</v>
      </c>
      <c r="F452" s="28" t="s">
        <v>212</v>
      </c>
      <c r="G452" s="28" t="s">
        <v>847</v>
      </c>
      <c r="H452" s="28">
        <v>6317021</v>
      </c>
      <c r="I452" s="28">
        <v>192496</v>
      </c>
      <c r="J452" s="28">
        <v>0.99</v>
      </c>
      <c r="K452" s="28">
        <v>94</v>
      </c>
      <c r="L452" s="28">
        <v>1</v>
      </c>
    </row>
    <row r="453" spans="1:12" ht="14.25" customHeight="1" x14ac:dyDescent="0.2">
      <c r="A453" s="28">
        <v>452</v>
      </c>
      <c r="B453" s="28" t="s">
        <v>848</v>
      </c>
      <c r="C453" s="28" t="s">
        <v>820</v>
      </c>
      <c r="D453" s="28" t="s">
        <v>821</v>
      </c>
      <c r="E453" s="28" t="s">
        <v>211</v>
      </c>
      <c r="F453" s="28" t="s">
        <v>212</v>
      </c>
      <c r="G453" s="28" t="s">
        <v>847</v>
      </c>
      <c r="H453" s="28">
        <v>5735902</v>
      </c>
      <c r="I453" s="28">
        <v>173609</v>
      </c>
      <c r="J453" s="28">
        <v>0.99</v>
      </c>
      <c r="K453" s="28">
        <v>75</v>
      </c>
      <c r="L453" s="28">
        <v>0</v>
      </c>
    </row>
    <row r="454" spans="1:12" ht="14.25" customHeight="1" x14ac:dyDescent="0.2">
      <c r="A454" s="28">
        <v>453</v>
      </c>
      <c r="B454" s="28" t="s">
        <v>849</v>
      </c>
      <c r="C454" s="28" t="s">
        <v>820</v>
      </c>
      <c r="D454" s="28" t="s">
        <v>821</v>
      </c>
      <c r="E454" s="28" t="s">
        <v>211</v>
      </c>
      <c r="F454" s="28" t="s">
        <v>212</v>
      </c>
      <c r="G454" s="28" t="s">
        <v>834</v>
      </c>
      <c r="H454" s="28">
        <v>8609783</v>
      </c>
      <c r="I454" s="28">
        <v>262243</v>
      </c>
      <c r="J454" s="28">
        <v>0.99</v>
      </c>
      <c r="K454" s="28">
        <v>67</v>
      </c>
      <c r="L454" s="28">
        <v>1</v>
      </c>
    </row>
    <row r="455" spans="1:12" ht="14.25" customHeight="1" x14ac:dyDescent="0.2">
      <c r="A455" s="28">
        <v>454</v>
      </c>
      <c r="B455" s="28" t="s">
        <v>850</v>
      </c>
      <c r="C455" s="28" t="s">
        <v>820</v>
      </c>
      <c r="D455" s="28" t="s">
        <v>821</v>
      </c>
      <c r="E455" s="28" t="s">
        <v>211</v>
      </c>
      <c r="F455" s="28" t="s">
        <v>212</v>
      </c>
      <c r="G455" s="28" t="s">
        <v>830</v>
      </c>
      <c r="H455" s="28">
        <v>6801116</v>
      </c>
      <c r="I455" s="28">
        <v>207333</v>
      </c>
      <c r="J455" s="28">
        <v>0.99</v>
      </c>
      <c r="K455" s="28">
        <v>54</v>
      </c>
      <c r="L455" s="28">
        <v>1</v>
      </c>
    </row>
    <row r="456" spans="1:12" ht="14.25" customHeight="1" x14ac:dyDescent="0.2">
      <c r="A456" s="28">
        <v>455</v>
      </c>
      <c r="B456" s="28" t="s">
        <v>851</v>
      </c>
      <c r="C456" s="28" t="s">
        <v>820</v>
      </c>
      <c r="D456" s="28" t="s">
        <v>821</v>
      </c>
      <c r="E456" s="28" t="s">
        <v>211</v>
      </c>
      <c r="F456" s="28" t="s">
        <v>212</v>
      </c>
      <c r="G456" s="28" t="s">
        <v>852</v>
      </c>
      <c r="H456" s="28">
        <v>10441590</v>
      </c>
      <c r="I456" s="28">
        <v>320444</v>
      </c>
      <c r="J456" s="28">
        <v>0.99</v>
      </c>
      <c r="K456" s="28">
        <v>22</v>
      </c>
      <c r="L456" s="28">
        <v>1</v>
      </c>
    </row>
    <row r="457" spans="1:12" ht="14.25" customHeight="1" x14ac:dyDescent="0.2">
      <c r="A457" s="28">
        <v>456</v>
      </c>
      <c r="B457" s="28" t="s">
        <v>853</v>
      </c>
      <c r="C457" s="28" t="s">
        <v>853</v>
      </c>
      <c r="D457" s="28" t="s">
        <v>854</v>
      </c>
      <c r="E457" s="28" t="s">
        <v>211</v>
      </c>
      <c r="F457" s="28" t="s">
        <v>305</v>
      </c>
      <c r="G457" s="28"/>
      <c r="H457" s="28">
        <v>9098263</v>
      </c>
      <c r="I457" s="28">
        <v>273737</v>
      </c>
      <c r="J457" s="28">
        <v>0.99</v>
      </c>
      <c r="K457" s="28">
        <v>35</v>
      </c>
      <c r="L457" s="28">
        <v>0</v>
      </c>
    </row>
    <row r="458" spans="1:12" ht="14.25" customHeight="1" x14ac:dyDescent="0.2">
      <c r="A458" s="28">
        <v>457</v>
      </c>
      <c r="B458" s="28" t="s">
        <v>855</v>
      </c>
      <c r="C458" s="28" t="s">
        <v>853</v>
      </c>
      <c r="D458" s="28" t="s">
        <v>854</v>
      </c>
      <c r="E458" s="28" t="s">
        <v>211</v>
      </c>
      <c r="F458" s="28" t="s">
        <v>305</v>
      </c>
      <c r="G458" s="28"/>
      <c r="H458" s="28">
        <v>10518284</v>
      </c>
      <c r="I458" s="28">
        <v>315219</v>
      </c>
      <c r="J458" s="28">
        <v>0.99</v>
      </c>
      <c r="K458" s="28">
        <v>11</v>
      </c>
      <c r="L458" s="28">
        <v>1</v>
      </c>
    </row>
    <row r="459" spans="1:12" ht="14.25" customHeight="1" x14ac:dyDescent="0.2">
      <c r="A459" s="28">
        <v>458</v>
      </c>
      <c r="B459" s="28" t="s">
        <v>856</v>
      </c>
      <c r="C459" s="28" t="s">
        <v>853</v>
      </c>
      <c r="D459" s="28" t="s">
        <v>854</v>
      </c>
      <c r="E459" s="28" t="s">
        <v>211</v>
      </c>
      <c r="F459" s="28" t="s">
        <v>305</v>
      </c>
      <c r="G459" s="28"/>
      <c r="H459" s="28">
        <v>9765802</v>
      </c>
      <c r="I459" s="28">
        <v>295627</v>
      </c>
      <c r="J459" s="28">
        <v>0.99</v>
      </c>
      <c r="K459" s="28">
        <v>30</v>
      </c>
      <c r="L459" s="28">
        <v>0</v>
      </c>
    </row>
    <row r="460" spans="1:12" ht="14.25" customHeight="1" x14ac:dyDescent="0.2">
      <c r="A460" s="28">
        <v>459</v>
      </c>
      <c r="B460" s="28" t="s">
        <v>857</v>
      </c>
      <c r="C460" s="28" t="s">
        <v>853</v>
      </c>
      <c r="D460" s="28" t="s">
        <v>854</v>
      </c>
      <c r="E460" s="28" t="s">
        <v>211</v>
      </c>
      <c r="F460" s="28" t="s">
        <v>305</v>
      </c>
      <c r="G460" s="28"/>
      <c r="H460" s="28">
        <v>8851060</v>
      </c>
      <c r="I460" s="28">
        <v>266866</v>
      </c>
      <c r="J460" s="28">
        <v>0.99</v>
      </c>
      <c r="K460" s="28">
        <v>56</v>
      </c>
      <c r="L460" s="28">
        <v>0</v>
      </c>
    </row>
    <row r="461" spans="1:12" ht="14.25" customHeight="1" x14ac:dyDescent="0.2">
      <c r="A461" s="28">
        <v>460</v>
      </c>
      <c r="B461" s="28" t="s">
        <v>858</v>
      </c>
      <c r="C461" s="28" t="s">
        <v>853</v>
      </c>
      <c r="D461" s="28" t="s">
        <v>854</v>
      </c>
      <c r="E461" s="28" t="s">
        <v>211</v>
      </c>
      <c r="F461" s="28" t="s">
        <v>305</v>
      </c>
      <c r="G461" s="28"/>
      <c r="H461" s="28">
        <v>9070880</v>
      </c>
      <c r="I461" s="28">
        <v>273580</v>
      </c>
      <c r="J461" s="28">
        <v>0.99</v>
      </c>
      <c r="K461" s="28">
        <v>57</v>
      </c>
      <c r="L461" s="28">
        <v>1</v>
      </c>
    </row>
    <row r="462" spans="1:12" ht="14.25" customHeight="1" x14ac:dyDescent="0.2">
      <c r="A462" s="28">
        <v>461</v>
      </c>
      <c r="B462" s="28" t="s">
        <v>859</v>
      </c>
      <c r="C462" s="28" t="s">
        <v>853</v>
      </c>
      <c r="D462" s="28" t="s">
        <v>854</v>
      </c>
      <c r="E462" s="28" t="s">
        <v>211</v>
      </c>
      <c r="F462" s="28" t="s">
        <v>305</v>
      </c>
      <c r="G462" s="28"/>
      <c r="H462" s="28">
        <v>9422926</v>
      </c>
      <c r="I462" s="28">
        <v>287634</v>
      </c>
      <c r="J462" s="28">
        <v>0.99</v>
      </c>
      <c r="K462" s="28">
        <v>45</v>
      </c>
      <c r="L462" s="28">
        <v>2</v>
      </c>
    </row>
    <row r="463" spans="1:12" ht="14.25" customHeight="1" x14ac:dyDescent="0.2">
      <c r="A463" s="28">
        <v>462</v>
      </c>
      <c r="B463" s="28" t="s">
        <v>860</v>
      </c>
      <c r="C463" s="28" t="s">
        <v>853</v>
      </c>
      <c r="D463" s="28" t="s">
        <v>854</v>
      </c>
      <c r="E463" s="28" t="s">
        <v>211</v>
      </c>
      <c r="F463" s="28" t="s">
        <v>305</v>
      </c>
      <c r="G463" s="28"/>
      <c r="H463" s="28">
        <v>9848545</v>
      </c>
      <c r="I463" s="28">
        <v>296124</v>
      </c>
      <c r="J463" s="28">
        <v>0.99</v>
      </c>
      <c r="K463" s="28">
        <v>39</v>
      </c>
      <c r="L463" s="28">
        <v>1</v>
      </c>
    </row>
    <row r="464" spans="1:12" ht="14.25" customHeight="1" x14ac:dyDescent="0.2">
      <c r="A464" s="28">
        <v>463</v>
      </c>
      <c r="B464" s="28" t="s">
        <v>861</v>
      </c>
      <c r="C464" s="28" t="s">
        <v>853</v>
      </c>
      <c r="D464" s="28" t="s">
        <v>854</v>
      </c>
      <c r="E464" s="28" t="s">
        <v>211</v>
      </c>
      <c r="F464" s="28" t="s">
        <v>305</v>
      </c>
      <c r="G464" s="28"/>
      <c r="H464" s="28">
        <v>10317185</v>
      </c>
      <c r="I464" s="28">
        <v>310778</v>
      </c>
      <c r="J464" s="28">
        <v>0.99</v>
      </c>
      <c r="K464" s="28">
        <v>97</v>
      </c>
      <c r="L464" s="28">
        <v>1</v>
      </c>
    </row>
    <row r="465" spans="1:12" ht="14.25" customHeight="1" x14ac:dyDescent="0.2">
      <c r="A465" s="28">
        <v>464</v>
      </c>
      <c r="B465" s="28" t="s">
        <v>862</v>
      </c>
      <c r="C465" s="28" t="s">
        <v>853</v>
      </c>
      <c r="D465" s="28" t="s">
        <v>854</v>
      </c>
      <c r="E465" s="28" t="s">
        <v>211</v>
      </c>
      <c r="F465" s="28" t="s">
        <v>305</v>
      </c>
      <c r="G465" s="28"/>
      <c r="H465" s="28">
        <v>10429398</v>
      </c>
      <c r="I465" s="28">
        <v>316865</v>
      </c>
      <c r="J465" s="28">
        <v>0.99</v>
      </c>
      <c r="K465" s="28">
        <v>81</v>
      </c>
      <c r="L465" s="28">
        <v>1</v>
      </c>
    </row>
    <row r="466" spans="1:12" ht="14.25" customHeight="1" x14ac:dyDescent="0.2">
      <c r="A466" s="28">
        <v>465</v>
      </c>
      <c r="B466" s="28" t="s">
        <v>863</v>
      </c>
      <c r="C466" s="28" t="s">
        <v>853</v>
      </c>
      <c r="D466" s="28" t="s">
        <v>854</v>
      </c>
      <c r="E466" s="28" t="s">
        <v>211</v>
      </c>
      <c r="F466" s="28" t="s">
        <v>305</v>
      </c>
      <c r="G466" s="28"/>
      <c r="H466" s="28">
        <v>9863942</v>
      </c>
      <c r="I466" s="28">
        <v>298135</v>
      </c>
      <c r="J466" s="28">
        <v>0.99</v>
      </c>
      <c r="K466" s="28">
        <v>9</v>
      </c>
      <c r="L466" s="28">
        <v>1</v>
      </c>
    </row>
    <row r="467" spans="1:12" ht="14.25" customHeight="1" x14ac:dyDescent="0.2">
      <c r="A467" s="28">
        <v>466</v>
      </c>
      <c r="B467" s="28" t="s">
        <v>864</v>
      </c>
      <c r="C467" s="28" t="s">
        <v>853</v>
      </c>
      <c r="D467" s="28" t="s">
        <v>854</v>
      </c>
      <c r="E467" s="28" t="s">
        <v>211</v>
      </c>
      <c r="F467" s="28" t="s">
        <v>305</v>
      </c>
      <c r="G467" s="28"/>
      <c r="H467" s="28">
        <v>9480777</v>
      </c>
      <c r="I467" s="28">
        <v>288757</v>
      </c>
      <c r="J467" s="28">
        <v>0.99</v>
      </c>
      <c r="K467" s="28">
        <v>24</v>
      </c>
      <c r="L467" s="28">
        <v>2</v>
      </c>
    </row>
    <row r="468" spans="1:12" ht="14.25" customHeight="1" x14ac:dyDescent="0.2">
      <c r="A468" s="28">
        <v>467</v>
      </c>
      <c r="B468" s="28" t="s">
        <v>865</v>
      </c>
      <c r="C468" s="28" t="s">
        <v>853</v>
      </c>
      <c r="D468" s="28" t="s">
        <v>854</v>
      </c>
      <c r="E468" s="28" t="s">
        <v>211</v>
      </c>
      <c r="F468" s="28" t="s">
        <v>305</v>
      </c>
      <c r="G468" s="28"/>
      <c r="H468" s="28">
        <v>9069394</v>
      </c>
      <c r="I468" s="28">
        <v>274259</v>
      </c>
      <c r="J468" s="28">
        <v>0.99</v>
      </c>
      <c r="K468" s="28">
        <v>92</v>
      </c>
      <c r="L468" s="28">
        <v>1</v>
      </c>
    </row>
    <row r="469" spans="1:12" ht="14.25" customHeight="1" x14ac:dyDescent="0.2">
      <c r="A469" s="28">
        <v>468</v>
      </c>
      <c r="B469" s="28" t="s">
        <v>866</v>
      </c>
      <c r="C469" s="28" t="s">
        <v>867</v>
      </c>
      <c r="D469" s="28" t="s">
        <v>868</v>
      </c>
      <c r="E469" s="28" t="s">
        <v>211</v>
      </c>
      <c r="F469" s="28" t="s">
        <v>348</v>
      </c>
      <c r="G469" s="28" t="s">
        <v>869</v>
      </c>
      <c r="H469" s="28">
        <v>5484747</v>
      </c>
      <c r="I469" s="28">
        <v>167262</v>
      </c>
      <c r="J469" s="28">
        <v>0.99</v>
      </c>
      <c r="K469" s="28">
        <v>9</v>
      </c>
      <c r="L469" s="28">
        <v>1</v>
      </c>
    </row>
    <row r="470" spans="1:12" ht="14.25" customHeight="1" x14ac:dyDescent="0.2">
      <c r="A470" s="28">
        <v>469</v>
      </c>
      <c r="B470" s="28" t="s">
        <v>870</v>
      </c>
      <c r="C470" s="28" t="s">
        <v>867</v>
      </c>
      <c r="D470" s="28" t="s">
        <v>868</v>
      </c>
      <c r="E470" s="28" t="s">
        <v>211</v>
      </c>
      <c r="F470" s="28" t="s">
        <v>348</v>
      </c>
      <c r="G470" s="28" t="s">
        <v>869</v>
      </c>
      <c r="H470" s="28">
        <v>5243078</v>
      </c>
      <c r="I470" s="28">
        <v>158354</v>
      </c>
      <c r="J470" s="28">
        <v>0.99</v>
      </c>
      <c r="K470" s="28">
        <v>31</v>
      </c>
      <c r="L470" s="28">
        <v>1</v>
      </c>
    </row>
    <row r="471" spans="1:12" ht="14.25" customHeight="1" x14ac:dyDescent="0.2">
      <c r="A471" s="28">
        <v>470</v>
      </c>
      <c r="B471" s="28" t="s">
        <v>871</v>
      </c>
      <c r="C471" s="28" t="s">
        <v>867</v>
      </c>
      <c r="D471" s="28" t="s">
        <v>868</v>
      </c>
      <c r="E471" s="28" t="s">
        <v>211</v>
      </c>
      <c r="F471" s="28" t="s">
        <v>348</v>
      </c>
      <c r="G471" s="28" t="s">
        <v>869</v>
      </c>
      <c r="H471" s="28">
        <v>7714939</v>
      </c>
      <c r="I471" s="28">
        <v>234083</v>
      </c>
      <c r="J471" s="28">
        <v>0.99</v>
      </c>
      <c r="K471" s="28">
        <v>19</v>
      </c>
      <c r="L471" s="28">
        <v>1</v>
      </c>
    </row>
    <row r="472" spans="1:12" ht="14.25" customHeight="1" x14ac:dyDescent="0.2">
      <c r="A472" s="28">
        <v>471</v>
      </c>
      <c r="B472" s="28" t="s">
        <v>872</v>
      </c>
      <c r="C472" s="28" t="s">
        <v>867</v>
      </c>
      <c r="D472" s="28" t="s">
        <v>868</v>
      </c>
      <c r="E472" s="28" t="s">
        <v>211</v>
      </c>
      <c r="F472" s="28" t="s">
        <v>348</v>
      </c>
      <c r="G472" s="28" t="s">
        <v>869</v>
      </c>
      <c r="H472" s="28">
        <v>7406008</v>
      </c>
      <c r="I472" s="28">
        <v>224208</v>
      </c>
      <c r="J472" s="28">
        <v>0.99</v>
      </c>
      <c r="K472" s="28">
        <v>15</v>
      </c>
      <c r="L472" s="28">
        <v>0</v>
      </c>
    </row>
    <row r="473" spans="1:12" ht="14.25" customHeight="1" x14ac:dyDescent="0.2">
      <c r="A473" s="28">
        <v>472</v>
      </c>
      <c r="B473" s="28" t="s">
        <v>873</v>
      </c>
      <c r="C473" s="28" t="s">
        <v>867</v>
      </c>
      <c r="D473" s="28" t="s">
        <v>868</v>
      </c>
      <c r="E473" s="28" t="s">
        <v>211</v>
      </c>
      <c r="F473" s="28" t="s">
        <v>348</v>
      </c>
      <c r="G473" s="28" t="s">
        <v>869</v>
      </c>
      <c r="H473" s="28">
        <v>5951736</v>
      </c>
      <c r="I473" s="28">
        <v>181629</v>
      </c>
      <c r="J473" s="28">
        <v>0.99</v>
      </c>
      <c r="K473" s="28">
        <v>48</v>
      </c>
      <c r="L473" s="28">
        <v>2</v>
      </c>
    </row>
    <row r="474" spans="1:12" ht="14.25" customHeight="1" x14ac:dyDescent="0.2">
      <c r="A474" s="28">
        <v>473</v>
      </c>
      <c r="B474" s="28" t="s">
        <v>874</v>
      </c>
      <c r="C474" s="28" t="s">
        <v>867</v>
      </c>
      <c r="D474" s="28" t="s">
        <v>868</v>
      </c>
      <c r="E474" s="28" t="s">
        <v>211</v>
      </c>
      <c r="F474" s="28" t="s">
        <v>348</v>
      </c>
      <c r="G474" s="28" t="s">
        <v>869</v>
      </c>
      <c r="H474" s="28">
        <v>5839426</v>
      </c>
      <c r="I474" s="28">
        <v>178364</v>
      </c>
      <c r="J474" s="28">
        <v>0.99</v>
      </c>
      <c r="K474" s="28">
        <v>38</v>
      </c>
      <c r="L474" s="28">
        <v>2</v>
      </c>
    </row>
    <row r="475" spans="1:12" ht="14.25" customHeight="1" x14ac:dyDescent="0.2">
      <c r="A475" s="28">
        <v>474</v>
      </c>
      <c r="B475" s="28" t="s">
        <v>837</v>
      </c>
      <c r="C475" s="28" t="s">
        <v>867</v>
      </c>
      <c r="D475" s="28" t="s">
        <v>868</v>
      </c>
      <c r="E475" s="28" t="s">
        <v>211</v>
      </c>
      <c r="F475" s="28" t="s">
        <v>348</v>
      </c>
      <c r="G475" s="28" t="s">
        <v>869</v>
      </c>
      <c r="H475" s="28">
        <v>4425128</v>
      </c>
      <c r="I475" s="28">
        <v>134164</v>
      </c>
      <c r="J475" s="28">
        <v>0.99</v>
      </c>
      <c r="K475" s="28">
        <v>38</v>
      </c>
      <c r="L475" s="28">
        <v>1</v>
      </c>
    </row>
    <row r="476" spans="1:12" ht="14.25" customHeight="1" x14ac:dyDescent="0.2">
      <c r="A476" s="28">
        <v>475</v>
      </c>
      <c r="B476" s="28" t="s">
        <v>875</v>
      </c>
      <c r="C476" s="28" t="s">
        <v>867</v>
      </c>
      <c r="D476" s="28" t="s">
        <v>868</v>
      </c>
      <c r="E476" s="28" t="s">
        <v>211</v>
      </c>
      <c r="F476" s="28" t="s">
        <v>348</v>
      </c>
      <c r="G476" s="28" t="s">
        <v>876</v>
      </c>
      <c r="H476" s="28">
        <v>5645755</v>
      </c>
      <c r="I476" s="28">
        <v>170997</v>
      </c>
      <c r="J476" s="28">
        <v>0.99</v>
      </c>
      <c r="K476" s="28">
        <v>18</v>
      </c>
      <c r="L476" s="28">
        <v>0</v>
      </c>
    </row>
    <row r="477" spans="1:12" ht="14.25" customHeight="1" x14ac:dyDescent="0.2">
      <c r="A477" s="28">
        <v>476</v>
      </c>
      <c r="B477" s="28" t="s">
        <v>877</v>
      </c>
      <c r="C477" s="28" t="s">
        <v>867</v>
      </c>
      <c r="D477" s="28" t="s">
        <v>868</v>
      </c>
      <c r="E477" s="28" t="s">
        <v>211</v>
      </c>
      <c r="F477" s="28" t="s">
        <v>348</v>
      </c>
      <c r="G477" s="28" t="s">
        <v>869</v>
      </c>
      <c r="H477" s="28">
        <v>4408983</v>
      </c>
      <c r="I477" s="28">
        <v>135888</v>
      </c>
      <c r="J477" s="28">
        <v>0.99</v>
      </c>
      <c r="K477" s="28">
        <v>82</v>
      </c>
      <c r="L477" s="28">
        <v>1</v>
      </c>
    </row>
    <row r="478" spans="1:12" ht="14.25" customHeight="1" x14ac:dyDescent="0.2">
      <c r="A478" s="28">
        <v>477</v>
      </c>
      <c r="B478" s="28" t="s">
        <v>878</v>
      </c>
      <c r="C478" s="28" t="s">
        <v>867</v>
      </c>
      <c r="D478" s="28" t="s">
        <v>868</v>
      </c>
      <c r="E478" s="28" t="s">
        <v>211</v>
      </c>
      <c r="F478" s="28" t="s">
        <v>348</v>
      </c>
      <c r="G478" s="28" t="s">
        <v>869</v>
      </c>
      <c r="H478" s="28">
        <v>6305550</v>
      </c>
      <c r="I478" s="28">
        <v>193149</v>
      </c>
      <c r="J478" s="28">
        <v>0.99</v>
      </c>
      <c r="K478" s="28">
        <v>63</v>
      </c>
      <c r="L478" s="28">
        <v>1</v>
      </c>
    </row>
    <row r="479" spans="1:12" ht="14.25" customHeight="1" x14ac:dyDescent="0.2">
      <c r="A479" s="28">
        <v>478</v>
      </c>
      <c r="B479" s="28" t="s">
        <v>879</v>
      </c>
      <c r="C479" s="28" t="s">
        <v>867</v>
      </c>
      <c r="D479" s="28" t="s">
        <v>868</v>
      </c>
      <c r="E479" s="28" t="s">
        <v>211</v>
      </c>
      <c r="F479" s="28" t="s">
        <v>348</v>
      </c>
      <c r="G479" s="28" t="s">
        <v>869</v>
      </c>
      <c r="H479" s="28">
        <v>2950224</v>
      </c>
      <c r="I479" s="28">
        <v>90331</v>
      </c>
      <c r="J479" s="28">
        <v>0.99</v>
      </c>
      <c r="K479" s="28">
        <v>25</v>
      </c>
      <c r="L479" s="28">
        <v>1</v>
      </c>
    </row>
    <row r="480" spans="1:12" ht="14.25" customHeight="1" x14ac:dyDescent="0.2">
      <c r="A480" s="28">
        <v>479</v>
      </c>
      <c r="B480" s="28" t="s">
        <v>880</v>
      </c>
      <c r="C480" s="28" t="s">
        <v>867</v>
      </c>
      <c r="D480" s="28" t="s">
        <v>868</v>
      </c>
      <c r="E480" s="28" t="s">
        <v>211</v>
      </c>
      <c r="F480" s="28" t="s">
        <v>348</v>
      </c>
      <c r="G480" s="28" t="s">
        <v>869</v>
      </c>
      <c r="H480" s="28">
        <v>4932366</v>
      </c>
      <c r="I480" s="28">
        <v>151170</v>
      </c>
      <c r="J480" s="28">
        <v>0.99</v>
      </c>
      <c r="K480" s="28">
        <v>0</v>
      </c>
      <c r="L480" s="28">
        <v>1</v>
      </c>
    </row>
    <row r="481" spans="1:12" ht="14.25" customHeight="1" x14ac:dyDescent="0.2">
      <c r="A481" s="28">
        <v>480</v>
      </c>
      <c r="B481" s="28" t="s">
        <v>881</v>
      </c>
      <c r="C481" s="28" t="s">
        <v>867</v>
      </c>
      <c r="D481" s="28" t="s">
        <v>868</v>
      </c>
      <c r="E481" s="28" t="s">
        <v>211</v>
      </c>
      <c r="F481" s="28" t="s">
        <v>348</v>
      </c>
      <c r="G481" s="28" t="s">
        <v>869</v>
      </c>
      <c r="H481" s="28">
        <v>4431357</v>
      </c>
      <c r="I481" s="28">
        <v>135523</v>
      </c>
      <c r="J481" s="28">
        <v>0.99</v>
      </c>
      <c r="K481" s="28">
        <v>46</v>
      </c>
      <c r="L481" s="28">
        <v>1</v>
      </c>
    </row>
    <row r="482" spans="1:12" ht="14.25" customHeight="1" x14ac:dyDescent="0.2">
      <c r="A482" s="28">
        <v>481</v>
      </c>
      <c r="B482" s="28" t="s">
        <v>882</v>
      </c>
      <c r="C482" s="28" t="s">
        <v>867</v>
      </c>
      <c r="D482" s="28" t="s">
        <v>868</v>
      </c>
      <c r="E482" s="28" t="s">
        <v>211</v>
      </c>
      <c r="F482" s="28" t="s">
        <v>348</v>
      </c>
      <c r="G482" s="28" t="s">
        <v>869</v>
      </c>
      <c r="H482" s="28">
        <v>5616891</v>
      </c>
      <c r="I482" s="28">
        <v>171546</v>
      </c>
      <c r="J482" s="28">
        <v>0.99</v>
      </c>
      <c r="K482" s="28">
        <v>55</v>
      </c>
      <c r="L482" s="28">
        <v>0</v>
      </c>
    </row>
    <row r="483" spans="1:12" ht="14.25" customHeight="1" x14ac:dyDescent="0.2">
      <c r="A483" s="28">
        <v>482</v>
      </c>
      <c r="B483" s="28" t="s">
        <v>883</v>
      </c>
      <c r="C483" s="28" t="s">
        <v>867</v>
      </c>
      <c r="D483" s="28" t="s">
        <v>868</v>
      </c>
      <c r="E483" s="28" t="s">
        <v>211</v>
      </c>
      <c r="F483" s="28" t="s">
        <v>348</v>
      </c>
      <c r="G483" s="28" t="s">
        <v>869</v>
      </c>
      <c r="H483" s="28">
        <v>5075241</v>
      </c>
      <c r="I483" s="28">
        <v>153600</v>
      </c>
      <c r="J483" s="28">
        <v>0.99</v>
      </c>
      <c r="K483" s="28">
        <v>66</v>
      </c>
      <c r="L483" s="28">
        <v>0</v>
      </c>
    </row>
    <row r="484" spans="1:12" ht="14.25" customHeight="1" x14ac:dyDescent="0.2">
      <c r="A484" s="28">
        <v>483</v>
      </c>
      <c r="B484" s="28" t="s">
        <v>884</v>
      </c>
      <c r="C484" s="28" t="s">
        <v>867</v>
      </c>
      <c r="D484" s="28" t="s">
        <v>868</v>
      </c>
      <c r="E484" s="28" t="s">
        <v>211</v>
      </c>
      <c r="F484" s="28" t="s">
        <v>348</v>
      </c>
      <c r="G484" s="28" t="s">
        <v>869</v>
      </c>
      <c r="H484" s="28">
        <v>6481753</v>
      </c>
      <c r="I484" s="28">
        <v>198164</v>
      </c>
      <c r="J484" s="28">
        <v>0.99</v>
      </c>
      <c r="K484" s="28">
        <v>64</v>
      </c>
      <c r="L484" s="28">
        <v>1</v>
      </c>
    </row>
    <row r="485" spans="1:12" ht="14.25" customHeight="1" x14ac:dyDescent="0.2">
      <c r="A485" s="28">
        <v>484</v>
      </c>
      <c r="B485" s="28" t="s">
        <v>885</v>
      </c>
      <c r="C485" s="28" t="s">
        <v>867</v>
      </c>
      <c r="D485" s="28" t="s">
        <v>868</v>
      </c>
      <c r="E485" s="28" t="s">
        <v>211</v>
      </c>
      <c r="F485" s="28" t="s">
        <v>348</v>
      </c>
      <c r="G485" s="28" t="s">
        <v>869</v>
      </c>
      <c r="H485" s="28">
        <v>5604618</v>
      </c>
      <c r="I485" s="28">
        <v>170187</v>
      </c>
      <c r="J485" s="28">
        <v>0.99</v>
      </c>
      <c r="K485" s="28">
        <v>85</v>
      </c>
      <c r="L485" s="28">
        <v>2</v>
      </c>
    </row>
    <row r="486" spans="1:12" ht="14.25" customHeight="1" x14ac:dyDescent="0.2">
      <c r="A486" s="28">
        <v>485</v>
      </c>
      <c r="B486" s="28" t="s">
        <v>886</v>
      </c>
      <c r="C486" s="28" t="s">
        <v>867</v>
      </c>
      <c r="D486" s="28" t="s">
        <v>868</v>
      </c>
      <c r="E486" s="28" t="s">
        <v>211</v>
      </c>
      <c r="F486" s="28" t="s">
        <v>348</v>
      </c>
      <c r="G486" s="28" t="s">
        <v>869</v>
      </c>
      <c r="H486" s="28">
        <v>5535061</v>
      </c>
      <c r="I486" s="28">
        <v>168803</v>
      </c>
      <c r="J486" s="28">
        <v>0.99</v>
      </c>
      <c r="K486" s="28">
        <v>10</v>
      </c>
      <c r="L486" s="28">
        <v>1</v>
      </c>
    </row>
    <row r="487" spans="1:12" ht="14.25" customHeight="1" x14ac:dyDescent="0.2">
      <c r="A487" s="28">
        <v>486</v>
      </c>
      <c r="B487" s="28" t="s">
        <v>423</v>
      </c>
      <c r="C487" s="28" t="s">
        <v>867</v>
      </c>
      <c r="D487" s="28" t="s">
        <v>868</v>
      </c>
      <c r="E487" s="28" t="s">
        <v>211</v>
      </c>
      <c r="F487" s="28" t="s">
        <v>348</v>
      </c>
      <c r="G487" s="28" t="s">
        <v>869</v>
      </c>
      <c r="H487" s="28">
        <v>7343176</v>
      </c>
      <c r="I487" s="28">
        <v>221910</v>
      </c>
      <c r="J487" s="28">
        <v>0.99</v>
      </c>
      <c r="K487" s="28">
        <v>50</v>
      </c>
      <c r="L487" s="28">
        <v>0</v>
      </c>
    </row>
    <row r="488" spans="1:12" ht="14.25" customHeight="1" x14ac:dyDescent="0.2">
      <c r="A488" s="28">
        <v>487</v>
      </c>
      <c r="B488" s="28" t="s">
        <v>887</v>
      </c>
      <c r="C488" s="28" t="s">
        <v>867</v>
      </c>
      <c r="D488" s="28" t="s">
        <v>868</v>
      </c>
      <c r="E488" s="28" t="s">
        <v>211</v>
      </c>
      <c r="F488" s="28" t="s">
        <v>348</v>
      </c>
      <c r="G488" s="28" t="s">
        <v>869</v>
      </c>
      <c r="H488" s="28">
        <v>6316430</v>
      </c>
      <c r="I488" s="28">
        <v>192757</v>
      </c>
      <c r="J488" s="28">
        <v>0.99</v>
      </c>
      <c r="K488" s="28">
        <v>26</v>
      </c>
      <c r="L488" s="28">
        <v>0</v>
      </c>
    </row>
    <row r="489" spans="1:12" ht="14.25" customHeight="1" x14ac:dyDescent="0.2">
      <c r="A489" s="28">
        <v>488</v>
      </c>
      <c r="B489" s="28" t="s">
        <v>888</v>
      </c>
      <c r="C489" s="28" t="s">
        <v>867</v>
      </c>
      <c r="D489" s="28" t="s">
        <v>868</v>
      </c>
      <c r="E489" s="28" t="s">
        <v>211</v>
      </c>
      <c r="F489" s="28" t="s">
        <v>348</v>
      </c>
      <c r="G489" s="28" t="s">
        <v>869</v>
      </c>
      <c r="H489" s="28">
        <v>7075573</v>
      </c>
      <c r="I489" s="28">
        <v>213420</v>
      </c>
      <c r="J489" s="28">
        <v>0.99</v>
      </c>
      <c r="K489" s="28">
        <v>42</v>
      </c>
      <c r="L489" s="28">
        <v>1</v>
      </c>
    </row>
    <row r="490" spans="1:12" ht="14.25" customHeight="1" x14ac:dyDescent="0.2">
      <c r="A490" s="28">
        <v>489</v>
      </c>
      <c r="B490" s="28" t="s">
        <v>889</v>
      </c>
      <c r="C490" s="28" t="s">
        <v>889</v>
      </c>
      <c r="D490" s="28" t="s">
        <v>890</v>
      </c>
      <c r="E490" s="28" t="s">
        <v>211</v>
      </c>
      <c r="F490" s="28" t="s">
        <v>212</v>
      </c>
      <c r="G490" s="28" t="s">
        <v>890</v>
      </c>
      <c r="H490" s="28">
        <v>2452653</v>
      </c>
      <c r="I490" s="28">
        <v>76303</v>
      </c>
      <c r="J490" s="28">
        <v>0.99</v>
      </c>
      <c r="K490" s="28">
        <v>32</v>
      </c>
      <c r="L490" s="28">
        <v>1</v>
      </c>
    </row>
    <row r="491" spans="1:12" ht="14.25" customHeight="1" x14ac:dyDescent="0.2">
      <c r="A491" s="28">
        <v>490</v>
      </c>
      <c r="B491" s="28" t="s">
        <v>891</v>
      </c>
      <c r="C491" s="28" t="s">
        <v>889</v>
      </c>
      <c r="D491" s="28" t="s">
        <v>890</v>
      </c>
      <c r="E491" s="28" t="s">
        <v>211</v>
      </c>
      <c r="F491" s="28" t="s">
        <v>212</v>
      </c>
      <c r="G491" s="28" t="s">
        <v>890</v>
      </c>
      <c r="H491" s="28">
        <v>14359478</v>
      </c>
      <c r="I491" s="28">
        <v>439510</v>
      </c>
      <c r="J491" s="28">
        <v>0.99</v>
      </c>
      <c r="K491" s="28">
        <v>7</v>
      </c>
      <c r="L491" s="28">
        <v>1</v>
      </c>
    </row>
    <row r="492" spans="1:12" ht="14.25" customHeight="1" x14ac:dyDescent="0.2">
      <c r="A492" s="28">
        <v>491</v>
      </c>
      <c r="B492" s="28" t="s">
        <v>892</v>
      </c>
      <c r="C492" s="28" t="s">
        <v>889</v>
      </c>
      <c r="D492" s="28" t="s">
        <v>890</v>
      </c>
      <c r="E492" s="28" t="s">
        <v>211</v>
      </c>
      <c r="F492" s="28" t="s">
        <v>212</v>
      </c>
      <c r="G492" s="28" t="s">
        <v>890</v>
      </c>
      <c r="H492" s="28">
        <v>8385478</v>
      </c>
      <c r="I492" s="28">
        <v>252551</v>
      </c>
      <c r="J492" s="28">
        <v>0.99</v>
      </c>
      <c r="K492" s="28">
        <v>25</v>
      </c>
      <c r="L492" s="28">
        <v>0</v>
      </c>
    </row>
    <row r="493" spans="1:12" ht="14.25" customHeight="1" x14ac:dyDescent="0.2">
      <c r="A493" s="28">
        <v>492</v>
      </c>
      <c r="B493" s="28" t="s">
        <v>893</v>
      </c>
      <c r="C493" s="28" t="s">
        <v>889</v>
      </c>
      <c r="D493" s="28" t="s">
        <v>890</v>
      </c>
      <c r="E493" s="28" t="s">
        <v>211</v>
      </c>
      <c r="F493" s="28" t="s">
        <v>212</v>
      </c>
      <c r="G493" s="28" t="s">
        <v>890</v>
      </c>
      <c r="H493" s="28">
        <v>11269612</v>
      </c>
      <c r="I493" s="28">
        <v>347036</v>
      </c>
      <c r="J493" s="28">
        <v>0.99</v>
      </c>
      <c r="K493" s="28">
        <v>73</v>
      </c>
      <c r="L493" s="28">
        <v>1</v>
      </c>
    </row>
    <row r="494" spans="1:12" ht="14.25" customHeight="1" x14ac:dyDescent="0.2">
      <c r="A494" s="28">
        <v>493</v>
      </c>
      <c r="B494" s="28" t="s">
        <v>894</v>
      </c>
      <c r="C494" s="28" t="s">
        <v>889</v>
      </c>
      <c r="D494" s="28" t="s">
        <v>890</v>
      </c>
      <c r="E494" s="28" t="s">
        <v>211</v>
      </c>
      <c r="F494" s="28" t="s">
        <v>212</v>
      </c>
      <c r="G494" s="28" t="s">
        <v>895</v>
      </c>
      <c r="H494" s="28">
        <v>11409720</v>
      </c>
      <c r="I494" s="28">
        <v>344999</v>
      </c>
      <c r="J494" s="28">
        <v>0.99</v>
      </c>
      <c r="K494" s="28">
        <v>57</v>
      </c>
      <c r="L494" s="28">
        <v>0</v>
      </c>
    </row>
    <row r="495" spans="1:12" ht="14.25" customHeight="1" x14ac:dyDescent="0.2">
      <c r="A495" s="28">
        <v>494</v>
      </c>
      <c r="B495" s="28" t="s">
        <v>896</v>
      </c>
      <c r="C495" s="28" t="s">
        <v>889</v>
      </c>
      <c r="D495" s="28" t="s">
        <v>890</v>
      </c>
      <c r="E495" s="28" t="s">
        <v>211</v>
      </c>
      <c r="F495" s="28" t="s">
        <v>212</v>
      </c>
      <c r="G495" s="28" t="s">
        <v>895</v>
      </c>
      <c r="H495" s="28">
        <v>9425200</v>
      </c>
      <c r="I495" s="28">
        <v>291892</v>
      </c>
      <c r="J495" s="28">
        <v>0.99</v>
      </c>
      <c r="K495" s="28">
        <v>45</v>
      </c>
      <c r="L495" s="28">
        <v>1</v>
      </c>
    </row>
    <row r="496" spans="1:12" ht="14.25" customHeight="1" x14ac:dyDescent="0.2">
      <c r="A496" s="28">
        <v>495</v>
      </c>
      <c r="B496" s="28" t="s">
        <v>897</v>
      </c>
      <c r="C496" s="28" t="s">
        <v>889</v>
      </c>
      <c r="D496" s="28" t="s">
        <v>890</v>
      </c>
      <c r="E496" s="28" t="s">
        <v>211</v>
      </c>
      <c r="F496" s="28" t="s">
        <v>212</v>
      </c>
      <c r="G496" s="28" t="s">
        <v>898</v>
      </c>
      <c r="H496" s="28">
        <v>9567075</v>
      </c>
      <c r="I496" s="28">
        <v>293015</v>
      </c>
      <c r="J496" s="28">
        <v>0.99</v>
      </c>
      <c r="K496" s="28">
        <v>67</v>
      </c>
      <c r="L496" s="28">
        <v>1</v>
      </c>
    </row>
    <row r="497" spans="1:12" ht="14.25" customHeight="1" x14ac:dyDescent="0.2">
      <c r="A497" s="28">
        <v>496</v>
      </c>
      <c r="B497" s="28" t="s">
        <v>899</v>
      </c>
      <c r="C497" s="28" t="s">
        <v>889</v>
      </c>
      <c r="D497" s="28" t="s">
        <v>890</v>
      </c>
      <c r="E497" s="28" t="s">
        <v>211</v>
      </c>
      <c r="F497" s="28" t="s">
        <v>212</v>
      </c>
      <c r="G497" s="28" t="s">
        <v>898</v>
      </c>
      <c r="H497" s="28">
        <v>12785876</v>
      </c>
      <c r="I497" s="28">
        <v>391549</v>
      </c>
      <c r="J497" s="28">
        <v>0.99</v>
      </c>
      <c r="K497" s="28">
        <v>27</v>
      </c>
      <c r="L497" s="28">
        <v>2</v>
      </c>
    </row>
    <row r="498" spans="1:12" ht="14.25" customHeight="1" x14ac:dyDescent="0.2">
      <c r="A498" s="28">
        <v>497</v>
      </c>
      <c r="B498" s="28" t="s">
        <v>900</v>
      </c>
      <c r="C498" s="28" t="s">
        <v>889</v>
      </c>
      <c r="D498" s="28" t="s">
        <v>890</v>
      </c>
      <c r="E498" s="28" t="s">
        <v>211</v>
      </c>
      <c r="F498" s="28" t="s">
        <v>212</v>
      </c>
      <c r="G498" s="28" t="s">
        <v>895</v>
      </c>
      <c r="H498" s="28">
        <v>9750990</v>
      </c>
      <c r="I498" s="28">
        <v>298631</v>
      </c>
      <c r="J498" s="28">
        <v>0.99</v>
      </c>
      <c r="K498" s="28">
        <v>15</v>
      </c>
      <c r="L498" s="28">
        <v>0</v>
      </c>
    </row>
    <row r="499" spans="1:12" ht="14.25" customHeight="1" x14ac:dyDescent="0.2">
      <c r="A499" s="28">
        <v>498</v>
      </c>
      <c r="B499" s="28" t="s">
        <v>901</v>
      </c>
      <c r="C499" s="28" t="s">
        <v>889</v>
      </c>
      <c r="D499" s="28" t="s">
        <v>890</v>
      </c>
      <c r="E499" s="28" t="s">
        <v>211</v>
      </c>
      <c r="F499" s="28" t="s">
        <v>212</v>
      </c>
      <c r="G499" s="28" t="s">
        <v>902</v>
      </c>
      <c r="H499" s="28">
        <v>11810238</v>
      </c>
      <c r="I499" s="28">
        <v>359497</v>
      </c>
      <c r="J499" s="28">
        <v>0.99</v>
      </c>
      <c r="K499" s="28">
        <v>26</v>
      </c>
      <c r="L499" s="28">
        <v>0</v>
      </c>
    </row>
    <row r="500" spans="1:12" ht="14.25" customHeight="1" x14ac:dyDescent="0.2">
      <c r="A500" s="28">
        <v>499</v>
      </c>
      <c r="B500" s="28" t="s">
        <v>903</v>
      </c>
      <c r="C500" s="28" t="s">
        <v>889</v>
      </c>
      <c r="D500" s="28" t="s">
        <v>890</v>
      </c>
      <c r="E500" s="28" t="s">
        <v>211</v>
      </c>
      <c r="F500" s="28" t="s">
        <v>212</v>
      </c>
      <c r="G500" s="28" t="s">
        <v>895</v>
      </c>
      <c r="H500" s="28">
        <v>9288007</v>
      </c>
      <c r="I500" s="28">
        <v>283585</v>
      </c>
      <c r="J500" s="28">
        <v>0.99</v>
      </c>
      <c r="K500" s="28">
        <v>9</v>
      </c>
      <c r="L500" s="28">
        <v>0</v>
      </c>
    </row>
    <row r="501" spans="1:12" ht="14.25" customHeight="1" x14ac:dyDescent="0.2">
      <c r="A501" s="28">
        <v>500</v>
      </c>
      <c r="B501" s="28" t="s">
        <v>904</v>
      </c>
      <c r="C501" s="28" t="s">
        <v>889</v>
      </c>
      <c r="D501" s="28" t="s">
        <v>890</v>
      </c>
      <c r="E501" s="28" t="s">
        <v>211</v>
      </c>
      <c r="F501" s="28" t="s">
        <v>212</v>
      </c>
      <c r="G501" s="28" t="s">
        <v>890</v>
      </c>
      <c r="H501" s="28">
        <v>7803074</v>
      </c>
      <c r="I501" s="28">
        <v>239699</v>
      </c>
      <c r="J501" s="28">
        <v>0.99</v>
      </c>
      <c r="K501" s="28">
        <v>12</v>
      </c>
      <c r="L501" s="28">
        <v>1</v>
      </c>
    </row>
    <row r="502" spans="1:12" ht="14.25" customHeight="1" x14ac:dyDescent="0.2">
      <c r="A502" s="28">
        <v>501</v>
      </c>
      <c r="B502" s="28" t="s">
        <v>905</v>
      </c>
      <c r="C502" s="28" t="s">
        <v>906</v>
      </c>
      <c r="D502" s="28" t="s">
        <v>907</v>
      </c>
      <c r="E502" s="28" t="s">
        <v>211</v>
      </c>
      <c r="F502" s="28" t="s">
        <v>490</v>
      </c>
      <c r="G502" s="28" t="s">
        <v>908</v>
      </c>
      <c r="H502" s="28">
        <v>6539422</v>
      </c>
      <c r="I502" s="28">
        <v>202213</v>
      </c>
      <c r="J502" s="28">
        <v>0.99</v>
      </c>
      <c r="K502" s="28">
        <v>18</v>
      </c>
      <c r="L502" s="28">
        <v>1</v>
      </c>
    </row>
    <row r="503" spans="1:12" ht="14.25" customHeight="1" x14ac:dyDescent="0.2">
      <c r="A503" s="28">
        <v>502</v>
      </c>
      <c r="B503" s="28" t="s">
        <v>909</v>
      </c>
      <c r="C503" s="28" t="s">
        <v>906</v>
      </c>
      <c r="D503" s="28" t="s">
        <v>907</v>
      </c>
      <c r="E503" s="28" t="s">
        <v>211</v>
      </c>
      <c r="F503" s="28" t="s">
        <v>490</v>
      </c>
      <c r="G503" s="28"/>
      <c r="H503" s="28">
        <v>7083012</v>
      </c>
      <c r="I503" s="28">
        <v>219768</v>
      </c>
      <c r="J503" s="28">
        <v>0.99</v>
      </c>
      <c r="K503" s="28">
        <v>26</v>
      </c>
      <c r="L503" s="28">
        <v>1</v>
      </c>
    </row>
    <row r="504" spans="1:12" ht="14.25" customHeight="1" x14ac:dyDescent="0.2">
      <c r="A504" s="28">
        <v>503</v>
      </c>
      <c r="B504" s="28" t="s">
        <v>910</v>
      </c>
      <c r="C504" s="28" t="s">
        <v>906</v>
      </c>
      <c r="D504" s="28" t="s">
        <v>907</v>
      </c>
      <c r="E504" s="28" t="s">
        <v>211</v>
      </c>
      <c r="F504" s="28" t="s">
        <v>490</v>
      </c>
      <c r="G504" s="28"/>
      <c r="H504" s="28">
        <v>6473395</v>
      </c>
      <c r="I504" s="28">
        <v>196545</v>
      </c>
      <c r="J504" s="28">
        <v>0.99</v>
      </c>
      <c r="K504" s="28">
        <v>32</v>
      </c>
      <c r="L504" s="28">
        <v>1</v>
      </c>
    </row>
    <row r="505" spans="1:12" ht="14.25" customHeight="1" x14ac:dyDescent="0.2">
      <c r="A505" s="28">
        <v>504</v>
      </c>
      <c r="B505" s="28" t="s">
        <v>911</v>
      </c>
      <c r="C505" s="28" t="s">
        <v>906</v>
      </c>
      <c r="D505" s="28" t="s">
        <v>907</v>
      </c>
      <c r="E505" s="28" t="s">
        <v>211</v>
      </c>
      <c r="F505" s="28" t="s">
        <v>490</v>
      </c>
      <c r="G505" s="28"/>
      <c r="H505" s="28">
        <v>8650647</v>
      </c>
      <c r="I505" s="28">
        <v>259291</v>
      </c>
      <c r="J505" s="28">
        <v>0.99</v>
      </c>
      <c r="K505" s="28">
        <v>97</v>
      </c>
      <c r="L505" s="28">
        <v>0</v>
      </c>
    </row>
    <row r="506" spans="1:12" ht="14.25" customHeight="1" x14ac:dyDescent="0.2">
      <c r="A506" s="28">
        <v>505</v>
      </c>
      <c r="B506" s="28" t="s">
        <v>912</v>
      </c>
      <c r="C506" s="28" t="s">
        <v>906</v>
      </c>
      <c r="D506" s="28" t="s">
        <v>907</v>
      </c>
      <c r="E506" s="28" t="s">
        <v>211</v>
      </c>
      <c r="F506" s="28" t="s">
        <v>490</v>
      </c>
      <c r="G506" s="28" t="s">
        <v>913</v>
      </c>
      <c r="H506" s="28">
        <v>5494406</v>
      </c>
      <c r="I506" s="28">
        <v>169717</v>
      </c>
      <c r="J506" s="28">
        <v>0.99</v>
      </c>
      <c r="K506" s="28">
        <v>57</v>
      </c>
      <c r="L506" s="28">
        <v>0</v>
      </c>
    </row>
    <row r="507" spans="1:12" ht="14.25" customHeight="1" x14ac:dyDescent="0.2">
      <c r="A507" s="28">
        <v>506</v>
      </c>
      <c r="B507" s="28" t="s">
        <v>914</v>
      </c>
      <c r="C507" s="28" t="s">
        <v>906</v>
      </c>
      <c r="D507" s="28" t="s">
        <v>907</v>
      </c>
      <c r="E507" s="28" t="s">
        <v>211</v>
      </c>
      <c r="F507" s="28" t="s">
        <v>490</v>
      </c>
      <c r="G507" s="28"/>
      <c r="H507" s="28">
        <v>8280636</v>
      </c>
      <c r="I507" s="28">
        <v>255921</v>
      </c>
      <c r="J507" s="28">
        <v>0.99</v>
      </c>
      <c r="K507" s="28">
        <v>19</v>
      </c>
      <c r="L507" s="28">
        <v>1</v>
      </c>
    </row>
    <row r="508" spans="1:12" ht="14.25" customHeight="1" x14ac:dyDescent="0.2">
      <c r="A508" s="28">
        <v>507</v>
      </c>
      <c r="B508" s="28" t="s">
        <v>915</v>
      </c>
      <c r="C508" s="28" t="s">
        <v>906</v>
      </c>
      <c r="D508" s="28" t="s">
        <v>907</v>
      </c>
      <c r="E508" s="28" t="s">
        <v>211</v>
      </c>
      <c r="F508" s="28" t="s">
        <v>490</v>
      </c>
      <c r="G508" s="28" t="s">
        <v>908</v>
      </c>
      <c r="H508" s="28">
        <v>8353191</v>
      </c>
      <c r="I508" s="28">
        <v>249678</v>
      </c>
      <c r="J508" s="28">
        <v>0.99</v>
      </c>
      <c r="K508" s="28">
        <v>26</v>
      </c>
      <c r="L508" s="28">
        <v>1</v>
      </c>
    </row>
    <row r="509" spans="1:12" ht="14.25" customHeight="1" x14ac:dyDescent="0.2">
      <c r="A509" s="28">
        <v>508</v>
      </c>
      <c r="B509" s="28" t="s">
        <v>916</v>
      </c>
      <c r="C509" s="28" t="s">
        <v>906</v>
      </c>
      <c r="D509" s="28" t="s">
        <v>907</v>
      </c>
      <c r="E509" s="28" t="s">
        <v>211</v>
      </c>
      <c r="F509" s="28" t="s">
        <v>490</v>
      </c>
      <c r="G509" s="28"/>
      <c r="H509" s="28">
        <v>5130056</v>
      </c>
      <c r="I509" s="28">
        <v>155637</v>
      </c>
      <c r="J509" s="28">
        <v>0.99</v>
      </c>
      <c r="K509" s="28">
        <v>43</v>
      </c>
      <c r="L509" s="28">
        <v>1</v>
      </c>
    </row>
    <row r="510" spans="1:12" ht="14.25" customHeight="1" x14ac:dyDescent="0.2">
      <c r="A510" s="28">
        <v>509</v>
      </c>
      <c r="B510" s="28" t="s">
        <v>917</v>
      </c>
      <c r="C510" s="28" t="s">
        <v>906</v>
      </c>
      <c r="D510" s="28" t="s">
        <v>907</v>
      </c>
      <c r="E510" s="28" t="s">
        <v>211</v>
      </c>
      <c r="F510" s="28" t="s">
        <v>490</v>
      </c>
      <c r="G510" s="28" t="s">
        <v>908</v>
      </c>
      <c r="H510" s="28">
        <v>7747108</v>
      </c>
      <c r="I510" s="28">
        <v>227448</v>
      </c>
      <c r="J510" s="28">
        <v>0.99</v>
      </c>
      <c r="K510" s="28">
        <v>21</v>
      </c>
      <c r="L510" s="28">
        <v>0</v>
      </c>
    </row>
    <row r="511" spans="1:12" ht="14.25" customHeight="1" x14ac:dyDescent="0.2">
      <c r="A511" s="28">
        <v>510</v>
      </c>
      <c r="B511" s="28" t="s">
        <v>918</v>
      </c>
      <c r="C511" s="28" t="s">
        <v>906</v>
      </c>
      <c r="D511" s="28" t="s">
        <v>907</v>
      </c>
      <c r="E511" s="28" t="s">
        <v>211</v>
      </c>
      <c r="F511" s="28" t="s">
        <v>490</v>
      </c>
      <c r="G511" s="28"/>
      <c r="H511" s="28">
        <v>7585112</v>
      </c>
      <c r="I511" s="28">
        <v>222406</v>
      </c>
      <c r="J511" s="28">
        <v>0.99</v>
      </c>
      <c r="K511" s="28">
        <v>74</v>
      </c>
      <c r="L511" s="28">
        <v>0</v>
      </c>
    </row>
    <row r="512" spans="1:12" ht="14.25" customHeight="1" x14ac:dyDescent="0.2">
      <c r="A512" s="28">
        <v>511</v>
      </c>
      <c r="B512" s="28" t="s">
        <v>919</v>
      </c>
      <c r="C512" s="28" t="s">
        <v>906</v>
      </c>
      <c r="D512" s="28" t="s">
        <v>907</v>
      </c>
      <c r="E512" s="28" t="s">
        <v>211</v>
      </c>
      <c r="F512" s="28" t="s">
        <v>490</v>
      </c>
      <c r="G512" s="28"/>
      <c r="H512" s="28">
        <v>6854219</v>
      </c>
      <c r="I512" s="28">
        <v>207229</v>
      </c>
      <c r="J512" s="28">
        <v>0.99</v>
      </c>
      <c r="K512" s="28">
        <v>46</v>
      </c>
      <c r="L512" s="28">
        <v>0</v>
      </c>
    </row>
    <row r="513" spans="1:12" ht="14.25" customHeight="1" x14ac:dyDescent="0.2">
      <c r="A513" s="28">
        <v>512</v>
      </c>
      <c r="B513" s="28" t="s">
        <v>920</v>
      </c>
      <c r="C513" s="28" t="s">
        <v>906</v>
      </c>
      <c r="D513" s="28" t="s">
        <v>907</v>
      </c>
      <c r="E513" s="28" t="s">
        <v>211</v>
      </c>
      <c r="F513" s="28" t="s">
        <v>490</v>
      </c>
      <c r="G513" s="28" t="s">
        <v>921</v>
      </c>
      <c r="H513" s="28">
        <v>5997444</v>
      </c>
      <c r="I513" s="28">
        <v>181577</v>
      </c>
      <c r="J513" s="28">
        <v>0.99</v>
      </c>
      <c r="K513" s="28">
        <v>90</v>
      </c>
      <c r="L513" s="28">
        <v>2</v>
      </c>
    </row>
    <row r="514" spans="1:12" ht="14.25" customHeight="1" x14ac:dyDescent="0.2">
      <c r="A514" s="28">
        <v>513</v>
      </c>
      <c r="B514" s="28" t="s">
        <v>922</v>
      </c>
      <c r="C514" s="28" t="s">
        <v>906</v>
      </c>
      <c r="D514" s="28" t="s">
        <v>907</v>
      </c>
      <c r="E514" s="28" t="s">
        <v>211</v>
      </c>
      <c r="F514" s="28" t="s">
        <v>490</v>
      </c>
      <c r="G514" s="28"/>
      <c r="H514" s="28">
        <v>5946265</v>
      </c>
      <c r="I514" s="28">
        <v>180950</v>
      </c>
      <c r="J514" s="28">
        <v>0.99</v>
      </c>
      <c r="K514" s="28">
        <v>85</v>
      </c>
      <c r="L514" s="28">
        <v>1</v>
      </c>
    </row>
    <row r="515" spans="1:12" ht="14.25" customHeight="1" x14ac:dyDescent="0.2">
      <c r="A515" s="28">
        <v>514</v>
      </c>
      <c r="B515" s="28" t="s">
        <v>923</v>
      </c>
      <c r="C515" s="28" t="s">
        <v>906</v>
      </c>
      <c r="D515" s="28" t="s">
        <v>907</v>
      </c>
      <c r="E515" s="28" t="s">
        <v>211</v>
      </c>
      <c r="F515" s="28" t="s">
        <v>490</v>
      </c>
      <c r="G515" s="28" t="s">
        <v>907</v>
      </c>
      <c r="H515" s="28">
        <v>6796523</v>
      </c>
      <c r="I515" s="28">
        <v>207072</v>
      </c>
      <c r="J515" s="28">
        <v>0.99</v>
      </c>
      <c r="K515" s="28">
        <v>72</v>
      </c>
      <c r="L515" s="28">
        <v>0</v>
      </c>
    </row>
    <row r="516" spans="1:12" ht="14.25" customHeight="1" x14ac:dyDescent="0.2">
      <c r="A516" s="28">
        <v>515</v>
      </c>
      <c r="B516" s="28" t="s">
        <v>924</v>
      </c>
      <c r="C516" s="28" t="s">
        <v>521</v>
      </c>
      <c r="D516" s="28" t="s">
        <v>503</v>
      </c>
      <c r="E516" s="28" t="s">
        <v>211</v>
      </c>
      <c r="F516" s="28" t="s">
        <v>490</v>
      </c>
      <c r="G516" s="28"/>
      <c r="H516" s="28">
        <v>7466288</v>
      </c>
      <c r="I516" s="28">
        <v>222093</v>
      </c>
      <c r="J516" s="28">
        <v>0.99</v>
      </c>
      <c r="K516" s="28">
        <v>68</v>
      </c>
      <c r="L516" s="28">
        <v>0</v>
      </c>
    </row>
    <row r="517" spans="1:12" ht="14.25" customHeight="1" x14ac:dyDescent="0.2">
      <c r="A517" s="28">
        <v>516</v>
      </c>
      <c r="B517" s="28" t="s">
        <v>925</v>
      </c>
      <c r="C517" s="28" t="s">
        <v>521</v>
      </c>
      <c r="D517" s="28" t="s">
        <v>503</v>
      </c>
      <c r="E517" s="28" t="s">
        <v>211</v>
      </c>
      <c r="F517" s="28" t="s">
        <v>490</v>
      </c>
      <c r="G517" s="28"/>
      <c r="H517" s="28">
        <v>8050268</v>
      </c>
      <c r="I517" s="28">
        <v>242938</v>
      </c>
      <c r="J517" s="28">
        <v>0.99</v>
      </c>
      <c r="K517" s="28">
        <v>54</v>
      </c>
      <c r="L517" s="28">
        <v>0</v>
      </c>
    </row>
    <row r="518" spans="1:12" ht="14.25" customHeight="1" x14ac:dyDescent="0.2">
      <c r="A518" s="28">
        <v>517</v>
      </c>
      <c r="B518" s="28" t="s">
        <v>926</v>
      </c>
      <c r="C518" s="28" t="s">
        <v>521</v>
      </c>
      <c r="D518" s="28" t="s">
        <v>503</v>
      </c>
      <c r="E518" s="28" t="s">
        <v>211</v>
      </c>
      <c r="F518" s="28" t="s">
        <v>490</v>
      </c>
      <c r="G518" s="28"/>
      <c r="H518" s="28">
        <v>6453213</v>
      </c>
      <c r="I518" s="28">
        <v>195944</v>
      </c>
      <c r="J518" s="28">
        <v>0.99</v>
      </c>
      <c r="K518" s="28">
        <v>66</v>
      </c>
      <c r="L518" s="28">
        <v>1</v>
      </c>
    </row>
    <row r="519" spans="1:12" ht="14.25" customHeight="1" x14ac:dyDescent="0.2">
      <c r="A519" s="28">
        <v>518</v>
      </c>
      <c r="B519" s="28" t="s">
        <v>927</v>
      </c>
      <c r="C519" s="28" t="s">
        <v>521</v>
      </c>
      <c r="D519" s="28" t="s">
        <v>503</v>
      </c>
      <c r="E519" s="28" t="s">
        <v>211</v>
      </c>
      <c r="F519" s="28" t="s">
        <v>490</v>
      </c>
      <c r="G519" s="28"/>
      <c r="H519" s="28">
        <v>8622495</v>
      </c>
      <c r="I519" s="28">
        <v>259761</v>
      </c>
      <c r="J519" s="28">
        <v>0.99</v>
      </c>
      <c r="K519" s="28">
        <v>15</v>
      </c>
      <c r="L519" s="28">
        <v>1</v>
      </c>
    </row>
    <row r="520" spans="1:12" ht="14.25" customHeight="1" x14ac:dyDescent="0.2">
      <c r="A520" s="28">
        <v>519</v>
      </c>
      <c r="B520" s="28" t="s">
        <v>928</v>
      </c>
      <c r="C520" s="28" t="s">
        <v>521</v>
      </c>
      <c r="D520" s="28" t="s">
        <v>503</v>
      </c>
      <c r="E520" s="28" t="s">
        <v>211</v>
      </c>
      <c r="F520" s="28" t="s">
        <v>490</v>
      </c>
      <c r="G520" s="28"/>
      <c r="H520" s="28">
        <v>13885612</v>
      </c>
      <c r="I520" s="28">
        <v>421982</v>
      </c>
      <c r="J520" s="28">
        <v>0.99</v>
      </c>
      <c r="K520" s="28">
        <v>87</v>
      </c>
      <c r="L520" s="28">
        <v>1</v>
      </c>
    </row>
    <row r="521" spans="1:12" ht="14.25" customHeight="1" x14ac:dyDescent="0.2">
      <c r="A521" s="28">
        <v>520</v>
      </c>
      <c r="B521" s="28" t="s">
        <v>929</v>
      </c>
      <c r="C521" s="28" t="s">
        <v>521</v>
      </c>
      <c r="D521" s="28" t="s">
        <v>503</v>
      </c>
      <c r="E521" s="28" t="s">
        <v>211</v>
      </c>
      <c r="F521" s="28" t="s">
        <v>490</v>
      </c>
      <c r="G521" s="28"/>
      <c r="H521" s="28">
        <v>12472890</v>
      </c>
      <c r="I521" s="28">
        <v>374700</v>
      </c>
      <c r="J521" s="28">
        <v>0.99</v>
      </c>
      <c r="K521" s="28">
        <v>56</v>
      </c>
      <c r="L521" s="28">
        <v>0</v>
      </c>
    </row>
    <row r="522" spans="1:12" ht="14.25" customHeight="1" x14ac:dyDescent="0.2">
      <c r="A522" s="28">
        <v>521</v>
      </c>
      <c r="B522" s="28" t="s">
        <v>930</v>
      </c>
      <c r="C522" s="28" t="s">
        <v>521</v>
      </c>
      <c r="D522" s="28" t="s">
        <v>503</v>
      </c>
      <c r="E522" s="28" t="s">
        <v>211</v>
      </c>
      <c r="F522" s="28" t="s">
        <v>490</v>
      </c>
      <c r="G522" s="28"/>
      <c r="H522" s="28">
        <v>4862277</v>
      </c>
      <c r="I522" s="28">
        <v>147670</v>
      </c>
      <c r="J522" s="28">
        <v>0.99</v>
      </c>
      <c r="K522" s="28">
        <v>20</v>
      </c>
      <c r="L522" s="28">
        <v>1</v>
      </c>
    </row>
    <row r="523" spans="1:12" ht="14.25" customHeight="1" x14ac:dyDescent="0.2">
      <c r="A523" s="28">
        <v>522</v>
      </c>
      <c r="B523" s="28" t="s">
        <v>931</v>
      </c>
      <c r="C523" s="28" t="s">
        <v>521</v>
      </c>
      <c r="D523" s="28" t="s">
        <v>503</v>
      </c>
      <c r="E523" s="28" t="s">
        <v>211</v>
      </c>
      <c r="F523" s="28" t="s">
        <v>490</v>
      </c>
      <c r="G523" s="28"/>
      <c r="H523" s="28">
        <v>6372433</v>
      </c>
      <c r="I523" s="28">
        <v>193410</v>
      </c>
      <c r="J523" s="28">
        <v>0.99</v>
      </c>
      <c r="K523" s="28">
        <v>61</v>
      </c>
      <c r="L523" s="28">
        <v>0</v>
      </c>
    </row>
    <row r="524" spans="1:12" ht="14.25" customHeight="1" x14ac:dyDescent="0.2">
      <c r="A524" s="28">
        <v>523</v>
      </c>
      <c r="B524" s="28" t="s">
        <v>932</v>
      </c>
      <c r="C524" s="28" t="s">
        <v>521</v>
      </c>
      <c r="D524" s="28" t="s">
        <v>503</v>
      </c>
      <c r="E524" s="28" t="s">
        <v>211</v>
      </c>
      <c r="F524" s="28" t="s">
        <v>490</v>
      </c>
      <c r="G524" s="28"/>
      <c r="H524" s="28">
        <v>6151831</v>
      </c>
      <c r="I524" s="28">
        <v>185051</v>
      </c>
      <c r="J524" s="28">
        <v>0.99</v>
      </c>
      <c r="K524" s="28">
        <v>32</v>
      </c>
      <c r="L524" s="28">
        <v>0</v>
      </c>
    </row>
    <row r="525" spans="1:12" ht="14.25" customHeight="1" x14ac:dyDescent="0.2">
      <c r="A525" s="28">
        <v>524</v>
      </c>
      <c r="B525" s="28" t="s">
        <v>933</v>
      </c>
      <c r="C525" s="28" t="s">
        <v>521</v>
      </c>
      <c r="D525" s="28" t="s">
        <v>503</v>
      </c>
      <c r="E525" s="28" t="s">
        <v>211</v>
      </c>
      <c r="F525" s="28" t="s">
        <v>490</v>
      </c>
      <c r="G525" s="28"/>
      <c r="H525" s="28">
        <v>9953962</v>
      </c>
      <c r="I525" s="28">
        <v>299676</v>
      </c>
      <c r="J525" s="28">
        <v>0.99</v>
      </c>
      <c r="K525" s="28">
        <v>13</v>
      </c>
      <c r="L525" s="28">
        <v>1</v>
      </c>
    </row>
    <row r="526" spans="1:12" ht="14.25" customHeight="1" x14ac:dyDescent="0.2">
      <c r="A526" s="28">
        <v>525</v>
      </c>
      <c r="B526" s="28" t="s">
        <v>934</v>
      </c>
      <c r="C526" s="28" t="s">
        <v>521</v>
      </c>
      <c r="D526" s="28" t="s">
        <v>503</v>
      </c>
      <c r="E526" s="28" t="s">
        <v>211</v>
      </c>
      <c r="F526" s="28" t="s">
        <v>490</v>
      </c>
      <c r="G526" s="28"/>
      <c r="H526" s="28">
        <v>6098150</v>
      </c>
      <c r="I526" s="28">
        <v>184398</v>
      </c>
      <c r="J526" s="28">
        <v>0.99</v>
      </c>
      <c r="K526" s="28">
        <v>33</v>
      </c>
      <c r="L526" s="28">
        <v>1</v>
      </c>
    </row>
    <row r="527" spans="1:12" ht="14.25" customHeight="1" x14ac:dyDescent="0.2">
      <c r="A527" s="28">
        <v>526</v>
      </c>
      <c r="B527" s="28" t="s">
        <v>935</v>
      </c>
      <c r="C527" s="28" t="s">
        <v>521</v>
      </c>
      <c r="D527" s="28" t="s">
        <v>503</v>
      </c>
      <c r="E527" s="28" t="s">
        <v>211</v>
      </c>
      <c r="F527" s="28" t="s">
        <v>490</v>
      </c>
      <c r="G527" s="28"/>
      <c r="H527" s="28">
        <v>11746781</v>
      </c>
      <c r="I527" s="28">
        <v>354011</v>
      </c>
      <c r="J527" s="28">
        <v>0.99</v>
      </c>
      <c r="K527" s="28">
        <v>1</v>
      </c>
      <c r="L527" s="28">
        <v>1</v>
      </c>
    </row>
    <row r="528" spans="1:12" ht="14.25" customHeight="1" x14ac:dyDescent="0.2">
      <c r="A528" s="28">
        <v>527</v>
      </c>
      <c r="B528" s="28" t="s">
        <v>495</v>
      </c>
      <c r="C528" s="28" t="s">
        <v>521</v>
      </c>
      <c r="D528" s="28" t="s">
        <v>503</v>
      </c>
      <c r="E528" s="28" t="s">
        <v>211</v>
      </c>
      <c r="F528" s="28" t="s">
        <v>490</v>
      </c>
      <c r="G528" s="28"/>
      <c r="H528" s="28">
        <v>13224055</v>
      </c>
      <c r="I528" s="28">
        <v>401319</v>
      </c>
      <c r="J528" s="28">
        <v>0.99</v>
      </c>
      <c r="K528" s="28">
        <v>98</v>
      </c>
      <c r="L528" s="28">
        <v>0</v>
      </c>
    </row>
    <row r="529" spans="1:12" ht="14.25" customHeight="1" x14ac:dyDescent="0.2">
      <c r="A529" s="28">
        <v>528</v>
      </c>
      <c r="B529" s="28" t="s">
        <v>936</v>
      </c>
      <c r="C529" s="28" t="s">
        <v>521</v>
      </c>
      <c r="D529" s="28" t="s">
        <v>503</v>
      </c>
      <c r="E529" s="28" t="s">
        <v>211</v>
      </c>
      <c r="F529" s="28" t="s">
        <v>490</v>
      </c>
      <c r="G529" s="28"/>
      <c r="H529" s="28">
        <v>5497025</v>
      </c>
      <c r="I529" s="28">
        <v>169221</v>
      </c>
      <c r="J529" s="28">
        <v>0.99</v>
      </c>
      <c r="K529" s="28">
        <v>65</v>
      </c>
      <c r="L529" s="28">
        <v>0</v>
      </c>
    </row>
    <row r="530" spans="1:12" ht="14.25" customHeight="1" x14ac:dyDescent="0.2">
      <c r="A530" s="28">
        <v>529</v>
      </c>
      <c r="B530" s="28" t="s">
        <v>937</v>
      </c>
      <c r="C530" s="28" t="s">
        <v>938</v>
      </c>
      <c r="D530" s="28" t="s">
        <v>939</v>
      </c>
      <c r="E530" s="28" t="s">
        <v>211</v>
      </c>
      <c r="F530" s="28" t="s">
        <v>348</v>
      </c>
      <c r="G530" s="28" t="s">
        <v>940</v>
      </c>
      <c r="H530" s="28">
        <v>7852328</v>
      </c>
      <c r="I530" s="28">
        <v>241057</v>
      </c>
      <c r="J530" s="28">
        <v>0.99</v>
      </c>
      <c r="K530" s="28">
        <v>86</v>
      </c>
      <c r="L530" s="28">
        <v>0</v>
      </c>
    </row>
    <row r="531" spans="1:12" ht="14.25" customHeight="1" x14ac:dyDescent="0.2">
      <c r="A531" s="28">
        <v>530</v>
      </c>
      <c r="B531" s="28" t="s">
        <v>739</v>
      </c>
      <c r="C531" s="28" t="s">
        <v>938</v>
      </c>
      <c r="D531" s="28" t="s">
        <v>939</v>
      </c>
      <c r="E531" s="28" t="s">
        <v>211</v>
      </c>
      <c r="F531" s="28" t="s">
        <v>348</v>
      </c>
      <c r="G531" s="28" t="s">
        <v>941</v>
      </c>
      <c r="H531" s="28">
        <v>9484504</v>
      </c>
      <c r="I531" s="28">
        <v>287817</v>
      </c>
      <c r="J531" s="28">
        <v>0.99</v>
      </c>
      <c r="K531" s="28">
        <v>95</v>
      </c>
      <c r="L531" s="28">
        <v>2</v>
      </c>
    </row>
    <row r="532" spans="1:12" ht="14.25" customHeight="1" x14ac:dyDescent="0.2">
      <c r="A532" s="28">
        <v>531</v>
      </c>
      <c r="B532" s="28" t="s">
        <v>942</v>
      </c>
      <c r="C532" s="28" t="s">
        <v>938</v>
      </c>
      <c r="D532" s="28" t="s">
        <v>939</v>
      </c>
      <c r="E532" s="28" t="s">
        <v>211</v>
      </c>
      <c r="F532" s="28" t="s">
        <v>348</v>
      </c>
      <c r="G532" s="28" t="s">
        <v>943</v>
      </c>
      <c r="H532" s="28">
        <v>4875374</v>
      </c>
      <c r="I532" s="28">
        <v>146938</v>
      </c>
      <c r="J532" s="28">
        <v>0.99</v>
      </c>
      <c r="K532" s="28">
        <v>97</v>
      </c>
      <c r="L532" s="28">
        <v>1</v>
      </c>
    </row>
    <row r="533" spans="1:12" ht="14.25" customHeight="1" x14ac:dyDescent="0.2">
      <c r="A533" s="28">
        <v>532</v>
      </c>
      <c r="B533" s="28" t="s">
        <v>944</v>
      </c>
      <c r="C533" s="28" t="s">
        <v>938</v>
      </c>
      <c r="D533" s="28" t="s">
        <v>939</v>
      </c>
      <c r="E533" s="28" t="s">
        <v>211</v>
      </c>
      <c r="F533" s="28" t="s">
        <v>348</v>
      </c>
      <c r="G533" s="28" t="s">
        <v>489</v>
      </c>
      <c r="H533" s="28">
        <v>5798202</v>
      </c>
      <c r="I533" s="28">
        <v>177188</v>
      </c>
      <c r="J533" s="28">
        <v>0.99</v>
      </c>
      <c r="K533" s="28">
        <v>11</v>
      </c>
      <c r="L533" s="28">
        <v>0</v>
      </c>
    </row>
    <row r="534" spans="1:12" ht="14.25" customHeight="1" x14ac:dyDescent="0.2">
      <c r="A534" s="28">
        <v>533</v>
      </c>
      <c r="B534" s="28" t="s">
        <v>945</v>
      </c>
      <c r="C534" s="28" t="s">
        <v>938</v>
      </c>
      <c r="D534" s="28" t="s">
        <v>939</v>
      </c>
      <c r="E534" s="28" t="s">
        <v>211</v>
      </c>
      <c r="F534" s="28" t="s">
        <v>348</v>
      </c>
      <c r="G534" s="28" t="s">
        <v>946</v>
      </c>
      <c r="H534" s="28">
        <v>16873005</v>
      </c>
      <c r="I534" s="28">
        <v>518556</v>
      </c>
      <c r="J534" s="28">
        <v>0.99</v>
      </c>
      <c r="K534" s="28">
        <v>16</v>
      </c>
      <c r="L534" s="28">
        <v>0</v>
      </c>
    </row>
    <row r="535" spans="1:12" ht="14.25" customHeight="1" x14ac:dyDescent="0.2">
      <c r="A535" s="28">
        <v>534</v>
      </c>
      <c r="B535" s="28" t="s">
        <v>947</v>
      </c>
      <c r="C535" s="28" t="s">
        <v>938</v>
      </c>
      <c r="D535" s="28" t="s">
        <v>939</v>
      </c>
      <c r="E535" s="28" t="s">
        <v>211</v>
      </c>
      <c r="F535" s="28" t="s">
        <v>348</v>
      </c>
      <c r="G535" s="28" t="s">
        <v>948</v>
      </c>
      <c r="H535" s="28">
        <v>4069688</v>
      </c>
      <c r="I535" s="28">
        <v>125152</v>
      </c>
      <c r="J535" s="28">
        <v>0.99</v>
      </c>
      <c r="K535" s="28">
        <v>14</v>
      </c>
      <c r="L535" s="28">
        <v>0</v>
      </c>
    </row>
    <row r="536" spans="1:12" ht="14.25" customHeight="1" x14ac:dyDescent="0.2">
      <c r="A536" s="28">
        <v>535</v>
      </c>
      <c r="B536" s="28" t="s">
        <v>949</v>
      </c>
      <c r="C536" s="28" t="s">
        <v>938</v>
      </c>
      <c r="D536" s="28" t="s">
        <v>939</v>
      </c>
      <c r="E536" s="28" t="s">
        <v>211</v>
      </c>
      <c r="F536" s="28" t="s">
        <v>348</v>
      </c>
      <c r="G536" s="28" t="s">
        <v>950</v>
      </c>
      <c r="H536" s="28">
        <v>9433620</v>
      </c>
      <c r="I536" s="28">
        <v>284813</v>
      </c>
      <c r="J536" s="28">
        <v>0.99</v>
      </c>
      <c r="K536" s="28">
        <v>96</v>
      </c>
      <c r="L536" s="28">
        <v>1</v>
      </c>
    </row>
    <row r="537" spans="1:12" ht="14.25" customHeight="1" x14ac:dyDescent="0.2">
      <c r="A537" s="28">
        <v>536</v>
      </c>
      <c r="B537" s="28" t="s">
        <v>951</v>
      </c>
      <c r="C537" s="28" t="s">
        <v>938</v>
      </c>
      <c r="D537" s="28" t="s">
        <v>939</v>
      </c>
      <c r="E537" s="28" t="s">
        <v>211</v>
      </c>
      <c r="F537" s="28" t="s">
        <v>348</v>
      </c>
      <c r="G537" s="28" t="s">
        <v>952</v>
      </c>
      <c r="H537" s="28">
        <v>6411149</v>
      </c>
      <c r="I537" s="28">
        <v>195186</v>
      </c>
      <c r="J537" s="28">
        <v>0.99</v>
      </c>
      <c r="K537" s="28">
        <v>71</v>
      </c>
      <c r="L537" s="28">
        <v>1</v>
      </c>
    </row>
    <row r="538" spans="1:12" ht="14.25" customHeight="1" x14ac:dyDescent="0.2">
      <c r="A538" s="28">
        <v>537</v>
      </c>
      <c r="B538" s="28" t="s">
        <v>953</v>
      </c>
      <c r="C538" s="28" t="s">
        <v>938</v>
      </c>
      <c r="D538" s="28" t="s">
        <v>939</v>
      </c>
      <c r="E538" s="28" t="s">
        <v>211</v>
      </c>
      <c r="F538" s="28" t="s">
        <v>348</v>
      </c>
      <c r="G538" s="28" t="s">
        <v>954</v>
      </c>
      <c r="H538" s="28">
        <v>6295223</v>
      </c>
      <c r="I538" s="28">
        <v>187794</v>
      </c>
      <c r="J538" s="28">
        <v>0.99</v>
      </c>
      <c r="K538" s="28">
        <v>46</v>
      </c>
      <c r="L538" s="28">
        <v>0</v>
      </c>
    </row>
    <row r="539" spans="1:12" ht="14.25" customHeight="1" x14ac:dyDescent="0.2">
      <c r="A539" s="28">
        <v>538</v>
      </c>
      <c r="B539" s="28" t="s">
        <v>955</v>
      </c>
      <c r="C539" s="28" t="s">
        <v>938</v>
      </c>
      <c r="D539" s="28" t="s">
        <v>939</v>
      </c>
      <c r="E539" s="28" t="s">
        <v>211</v>
      </c>
      <c r="F539" s="28" t="s">
        <v>348</v>
      </c>
      <c r="G539" s="28" t="s">
        <v>940</v>
      </c>
      <c r="H539" s="28">
        <v>5637959</v>
      </c>
      <c r="I539" s="28">
        <v>170422</v>
      </c>
      <c r="J539" s="28">
        <v>0.99</v>
      </c>
      <c r="K539" s="28">
        <v>45</v>
      </c>
      <c r="L539" s="28">
        <v>0</v>
      </c>
    </row>
    <row r="540" spans="1:12" ht="14.25" customHeight="1" x14ac:dyDescent="0.2">
      <c r="A540" s="28">
        <v>539</v>
      </c>
      <c r="B540" s="28" t="s">
        <v>956</v>
      </c>
      <c r="C540" s="28" t="s">
        <v>938</v>
      </c>
      <c r="D540" s="28" t="s">
        <v>939</v>
      </c>
      <c r="E540" s="28" t="s">
        <v>211</v>
      </c>
      <c r="F540" s="28" t="s">
        <v>348</v>
      </c>
      <c r="G540" s="28" t="s">
        <v>957</v>
      </c>
      <c r="H540" s="28">
        <v>6270503</v>
      </c>
      <c r="I540" s="28">
        <v>189257</v>
      </c>
      <c r="J540" s="28">
        <v>0.99</v>
      </c>
      <c r="K540" s="28">
        <v>84</v>
      </c>
      <c r="L540" s="28">
        <v>1</v>
      </c>
    </row>
    <row r="541" spans="1:12" ht="14.25" customHeight="1" x14ac:dyDescent="0.2">
      <c r="A541" s="28">
        <v>540</v>
      </c>
      <c r="B541" s="28" t="s">
        <v>958</v>
      </c>
      <c r="C541" s="28" t="s">
        <v>938</v>
      </c>
      <c r="D541" s="28" t="s">
        <v>939</v>
      </c>
      <c r="E541" s="28" t="s">
        <v>211</v>
      </c>
      <c r="F541" s="28" t="s">
        <v>348</v>
      </c>
      <c r="G541" s="28" t="s">
        <v>959</v>
      </c>
      <c r="H541" s="28">
        <v>7346254</v>
      </c>
      <c r="I541" s="28">
        <v>222955</v>
      </c>
      <c r="J541" s="28">
        <v>0.99</v>
      </c>
      <c r="K541" s="28">
        <v>35</v>
      </c>
      <c r="L541" s="28">
        <v>1</v>
      </c>
    </row>
    <row r="542" spans="1:12" ht="14.25" customHeight="1" x14ac:dyDescent="0.2">
      <c r="A542" s="28">
        <v>541</v>
      </c>
      <c r="B542" s="28" t="s">
        <v>960</v>
      </c>
      <c r="C542" s="28" t="s">
        <v>938</v>
      </c>
      <c r="D542" s="28" t="s">
        <v>939</v>
      </c>
      <c r="E542" s="28" t="s">
        <v>211</v>
      </c>
      <c r="F542" s="28" t="s">
        <v>348</v>
      </c>
      <c r="G542" s="28" t="s">
        <v>961</v>
      </c>
      <c r="H542" s="28">
        <v>7232123</v>
      </c>
      <c r="I542" s="28">
        <v>221831</v>
      </c>
      <c r="J542" s="28">
        <v>0.99</v>
      </c>
      <c r="K542" s="28">
        <v>43</v>
      </c>
      <c r="L542" s="28">
        <v>0</v>
      </c>
    </row>
    <row r="543" spans="1:12" ht="14.25" customHeight="1" x14ac:dyDescent="0.2">
      <c r="A543" s="28">
        <v>542</v>
      </c>
      <c r="B543" s="28" t="s">
        <v>962</v>
      </c>
      <c r="C543" s="28" t="s">
        <v>938</v>
      </c>
      <c r="D543" s="28" t="s">
        <v>939</v>
      </c>
      <c r="E543" s="28" t="s">
        <v>211</v>
      </c>
      <c r="F543" s="28" t="s">
        <v>348</v>
      </c>
      <c r="G543" s="28" t="s">
        <v>963</v>
      </c>
      <c r="H543" s="28">
        <v>12495906</v>
      </c>
      <c r="I543" s="28">
        <v>382981</v>
      </c>
      <c r="J543" s="28">
        <v>0.99</v>
      </c>
      <c r="K543" s="28">
        <v>57</v>
      </c>
      <c r="L543" s="28">
        <v>1</v>
      </c>
    </row>
    <row r="544" spans="1:12" ht="14.25" customHeight="1" x14ac:dyDescent="0.2">
      <c r="A544" s="28">
        <v>543</v>
      </c>
      <c r="B544" s="28" t="s">
        <v>964</v>
      </c>
      <c r="C544" s="28" t="s">
        <v>965</v>
      </c>
      <c r="D544" s="28" t="s">
        <v>966</v>
      </c>
      <c r="E544" s="28" t="s">
        <v>211</v>
      </c>
      <c r="F544" s="28" t="s">
        <v>212</v>
      </c>
      <c r="G544" s="28" t="s">
        <v>967</v>
      </c>
      <c r="H544" s="28">
        <v>14775708</v>
      </c>
      <c r="I544" s="28">
        <v>453955</v>
      </c>
      <c r="J544" s="28">
        <v>0.99</v>
      </c>
      <c r="K544" s="28">
        <v>78</v>
      </c>
      <c r="L544" s="28">
        <v>0</v>
      </c>
    </row>
    <row r="545" spans="1:12" ht="14.25" customHeight="1" x14ac:dyDescent="0.2">
      <c r="A545" s="28">
        <v>544</v>
      </c>
      <c r="B545" s="28" t="s">
        <v>968</v>
      </c>
      <c r="C545" s="28" t="s">
        <v>965</v>
      </c>
      <c r="D545" s="28" t="s">
        <v>966</v>
      </c>
      <c r="E545" s="28" t="s">
        <v>211</v>
      </c>
      <c r="F545" s="28" t="s">
        <v>212</v>
      </c>
      <c r="G545" s="28" t="s">
        <v>969</v>
      </c>
      <c r="H545" s="28">
        <v>9050022</v>
      </c>
      <c r="I545" s="28">
        <v>277133</v>
      </c>
      <c r="J545" s="28">
        <v>0.99</v>
      </c>
      <c r="K545" s="28">
        <v>37</v>
      </c>
      <c r="L545" s="28">
        <v>1</v>
      </c>
    </row>
    <row r="546" spans="1:12" ht="14.25" customHeight="1" x14ac:dyDescent="0.2">
      <c r="A546" s="28">
        <v>545</v>
      </c>
      <c r="B546" s="28" t="s">
        <v>970</v>
      </c>
      <c r="C546" s="28" t="s">
        <v>965</v>
      </c>
      <c r="D546" s="28" t="s">
        <v>966</v>
      </c>
      <c r="E546" s="28" t="s">
        <v>211</v>
      </c>
      <c r="F546" s="28" t="s">
        <v>212</v>
      </c>
      <c r="G546" s="28" t="s">
        <v>971</v>
      </c>
      <c r="H546" s="28">
        <v>11046952</v>
      </c>
      <c r="I546" s="28">
        <v>339173</v>
      </c>
      <c r="J546" s="28">
        <v>0.99</v>
      </c>
      <c r="K546" s="28">
        <v>67</v>
      </c>
      <c r="L546" s="28">
        <v>0</v>
      </c>
    </row>
    <row r="547" spans="1:12" ht="14.25" customHeight="1" x14ac:dyDescent="0.2">
      <c r="A547" s="28">
        <v>546</v>
      </c>
      <c r="B547" s="28" t="s">
        <v>972</v>
      </c>
      <c r="C547" s="28" t="s">
        <v>965</v>
      </c>
      <c r="D547" s="28" t="s">
        <v>966</v>
      </c>
      <c r="E547" s="28" t="s">
        <v>211</v>
      </c>
      <c r="F547" s="28" t="s">
        <v>212</v>
      </c>
      <c r="G547" s="28" t="s">
        <v>969</v>
      </c>
      <c r="H547" s="28">
        <v>7608759</v>
      </c>
      <c r="I547" s="28">
        <v>233586</v>
      </c>
      <c r="J547" s="28">
        <v>0.99</v>
      </c>
      <c r="K547" s="28">
        <v>50</v>
      </c>
      <c r="L547" s="28">
        <v>0</v>
      </c>
    </row>
    <row r="548" spans="1:12" ht="14.25" customHeight="1" x14ac:dyDescent="0.2">
      <c r="A548" s="28">
        <v>547</v>
      </c>
      <c r="B548" s="28" t="s">
        <v>973</v>
      </c>
      <c r="C548" s="28" t="s">
        <v>965</v>
      </c>
      <c r="D548" s="28" t="s">
        <v>966</v>
      </c>
      <c r="E548" s="28" t="s">
        <v>211</v>
      </c>
      <c r="F548" s="28" t="s">
        <v>212</v>
      </c>
      <c r="G548" s="28" t="s">
        <v>969</v>
      </c>
      <c r="H548" s="28">
        <v>24596235</v>
      </c>
      <c r="I548" s="28">
        <v>758648</v>
      </c>
      <c r="J548" s="28">
        <v>0.99</v>
      </c>
      <c r="K548" s="28">
        <v>8</v>
      </c>
      <c r="L548" s="28">
        <v>0</v>
      </c>
    </row>
    <row r="549" spans="1:12" ht="14.25" customHeight="1" x14ac:dyDescent="0.2">
      <c r="A549" s="28">
        <v>548</v>
      </c>
      <c r="B549" s="28" t="s">
        <v>974</v>
      </c>
      <c r="C549" s="28" t="s">
        <v>965</v>
      </c>
      <c r="D549" s="28" t="s">
        <v>966</v>
      </c>
      <c r="E549" s="28" t="s">
        <v>211</v>
      </c>
      <c r="F549" s="28" t="s">
        <v>212</v>
      </c>
      <c r="G549" s="28" t="s">
        <v>975</v>
      </c>
      <c r="H549" s="28">
        <v>20103125</v>
      </c>
      <c r="I549" s="28">
        <v>618031</v>
      </c>
      <c r="J549" s="28">
        <v>0.99</v>
      </c>
      <c r="K549" s="28">
        <v>17</v>
      </c>
      <c r="L549" s="28">
        <v>2</v>
      </c>
    </row>
    <row r="550" spans="1:12" ht="14.25" customHeight="1" x14ac:dyDescent="0.2">
      <c r="A550" s="28">
        <v>549</v>
      </c>
      <c r="B550" s="28" t="s">
        <v>976</v>
      </c>
      <c r="C550" s="28" t="s">
        <v>965</v>
      </c>
      <c r="D550" s="28" t="s">
        <v>966</v>
      </c>
      <c r="E550" s="28" t="s">
        <v>211</v>
      </c>
      <c r="F550" s="28" t="s">
        <v>212</v>
      </c>
      <c r="G550" s="28" t="s">
        <v>967</v>
      </c>
      <c r="H550" s="28">
        <v>26369966</v>
      </c>
      <c r="I550" s="28">
        <v>804101</v>
      </c>
      <c r="J550" s="28">
        <v>0.99</v>
      </c>
      <c r="K550" s="28">
        <v>48</v>
      </c>
      <c r="L550" s="28">
        <v>1</v>
      </c>
    </row>
    <row r="551" spans="1:12" ht="14.25" customHeight="1" x14ac:dyDescent="0.2">
      <c r="A551" s="28">
        <v>550</v>
      </c>
      <c r="B551" s="28" t="s">
        <v>977</v>
      </c>
      <c r="C551" s="28" t="s">
        <v>978</v>
      </c>
      <c r="D551" s="28" t="s">
        <v>670</v>
      </c>
      <c r="E551" s="28" t="s">
        <v>211</v>
      </c>
      <c r="F551" s="28" t="s">
        <v>212</v>
      </c>
      <c r="G551" s="28" t="s">
        <v>680</v>
      </c>
      <c r="H551" s="28">
        <v>8348257</v>
      </c>
      <c r="I551" s="28">
        <v>253962</v>
      </c>
      <c r="J551" s="28">
        <v>0.99</v>
      </c>
      <c r="K551" s="28">
        <v>84</v>
      </c>
      <c r="L551" s="28">
        <v>0</v>
      </c>
    </row>
    <row r="552" spans="1:12" ht="14.25" customHeight="1" x14ac:dyDescent="0.2">
      <c r="A552" s="28">
        <v>551</v>
      </c>
      <c r="B552" s="28" t="s">
        <v>979</v>
      </c>
      <c r="C552" s="28" t="s">
        <v>978</v>
      </c>
      <c r="D552" s="28" t="s">
        <v>670</v>
      </c>
      <c r="E552" s="28" t="s">
        <v>211</v>
      </c>
      <c r="F552" s="28" t="s">
        <v>212</v>
      </c>
      <c r="G552" s="28" t="s">
        <v>680</v>
      </c>
      <c r="H552" s="28">
        <v>11011286</v>
      </c>
      <c r="I552" s="28">
        <v>337084</v>
      </c>
      <c r="J552" s="28">
        <v>0.99</v>
      </c>
      <c r="K552" s="28">
        <v>42</v>
      </c>
      <c r="L552" s="28">
        <v>0</v>
      </c>
    </row>
    <row r="553" spans="1:12" ht="14.25" customHeight="1" x14ac:dyDescent="0.2">
      <c r="A553" s="28">
        <v>552</v>
      </c>
      <c r="B553" s="28" t="s">
        <v>980</v>
      </c>
      <c r="C553" s="28" t="s">
        <v>978</v>
      </c>
      <c r="D553" s="28" t="s">
        <v>670</v>
      </c>
      <c r="E553" s="28" t="s">
        <v>211</v>
      </c>
      <c r="F553" s="28" t="s">
        <v>212</v>
      </c>
      <c r="G553" s="28" t="s">
        <v>981</v>
      </c>
      <c r="H553" s="28">
        <v>21676727</v>
      </c>
      <c r="I553" s="28">
        <v>666017</v>
      </c>
      <c r="J553" s="28">
        <v>0.99</v>
      </c>
      <c r="K553" s="28">
        <v>67</v>
      </c>
      <c r="L553" s="28">
        <v>0</v>
      </c>
    </row>
    <row r="554" spans="1:12" ht="14.25" customHeight="1" x14ac:dyDescent="0.2">
      <c r="A554" s="28">
        <v>553</v>
      </c>
      <c r="B554" s="28" t="s">
        <v>982</v>
      </c>
      <c r="C554" s="28" t="s">
        <v>978</v>
      </c>
      <c r="D554" s="28" t="s">
        <v>670</v>
      </c>
      <c r="E554" s="28" t="s">
        <v>211</v>
      </c>
      <c r="F554" s="28" t="s">
        <v>212</v>
      </c>
      <c r="G554" s="28" t="s">
        <v>680</v>
      </c>
      <c r="H554" s="28">
        <v>7972503</v>
      </c>
      <c r="I554" s="28">
        <v>242494</v>
      </c>
      <c r="J554" s="28">
        <v>0.99</v>
      </c>
      <c r="K554" s="28">
        <v>0</v>
      </c>
      <c r="L554" s="28">
        <v>1</v>
      </c>
    </row>
    <row r="555" spans="1:12" ht="14.25" customHeight="1" x14ac:dyDescent="0.2">
      <c r="A555" s="28">
        <v>554</v>
      </c>
      <c r="B555" s="28" t="s">
        <v>983</v>
      </c>
      <c r="C555" s="28" t="s">
        <v>978</v>
      </c>
      <c r="D555" s="28" t="s">
        <v>670</v>
      </c>
      <c r="E555" s="28" t="s">
        <v>211</v>
      </c>
      <c r="F555" s="28" t="s">
        <v>212</v>
      </c>
      <c r="G555" s="28" t="s">
        <v>984</v>
      </c>
      <c r="H555" s="28">
        <v>11154468</v>
      </c>
      <c r="I555" s="28">
        <v>336692</v>
      </c>
      <c r="J555" s="28">
        <v>0.99</v>
      </c>
      <c r="K555" s="28">
        <v>65</v>
      </c>
      <c r="L555" s="28">
        <v>1</v>
      </c>
    </row>
    <row r="556" spans="1:12" ht="14.25" customHeight="1" x14ac:dyDescent="0.2">
      <c r="A556" s="28">
        <v>555</v>
      </c>
      <c r="B556" s="28" t="s">
        <v>985</v>
      </c>
      <c r="C556" s="28" t="s">
        <v>978</v>
      </c>
      <c r="D556" s="28" t="s">
        <v>670</v>
      </c>
      <c r="E556" s="28" t="s">
        <v>211</v>
      </c>
      <c r="F556" s="28" t="s">
        <v>212</v>
      </c>
      <c r="G556" s="28" t="s">
        <v>986</v>
      </c>
      <c r="H556" s="28">
        <v>16686580</v>
      </c>
      <c r="I556" s="28">
        <v>508604</v>
      </c>
      <c r="J556" s="28">
        <v>0.99</v>
      </c>
      <c r="K556" s="28">
        <v>22</v>
      </c>
      <c r="L556" s="28">
        <v>0</v>
      </c>
    </row>
    <row r="557" spans="1:12" ht="14.25" customHeight="1" x14ac:dyDescent="0.2">
      <c r="A557" s="28">
        <v>556</v>
      </c>
      <c r="B557" s="28" t="s">
        <v>987</v>
      </c>
      <c r="C557" s="28" t="s">
        <v>988</v>
      </c>
      <c r="D557" s="28" t="s">
        <v>639</v>
      </c>
      <c r="E557" s="28" t="s">
        <v>211</v>
      </c>
      <c r="F557" s="28" t="s">
        <v>490</v>
      </c>
      <c r="G557" s="28" t="s">
        <v>989</v>
      </c>
      <c r="H557" s="28">
        <v>11348710</v>
      </c>
      <c r="I557" s="28">
        <v>339173</v>
      </c>
      <c r="J557" s="28">
        <v>0.99</v>
      </c>
      <c r="K557" s="28">
        <v>38</v>
      </c>
      <c r="L557" s="28">
        <v>0</v>
      </c>
    </row>
    <row r="558" spans="1:12" ht="14.25" customHeight="1" x14ac:dyDescent="0.2">
      <c r="A558" s="28">
        <v>557</v>
      </c>
      <c r="B558" s="28" t="s">
        <v>990</v>
      </c>
      <c r="C558" s="28" t="s">
        <v>988</v>
      </c>
      <c r="D558" s="28" t="s">
        <v>639</v>
      </c>
      <c r="E558" s="28" t="s">
        <v>211</v>
      </c>
      <c r="F558" s="28" t="s">
        <v>490</v>
      </c>
      <c r="G558" s="28" t="s">
        <v>991</v>
      </c>
      <c r="H558" s="28">
        <v>10991159</v>
      </c>
      <c r="I558" s="28">
        <v>327000</v>
      </c>
      <c r="J558" s="28">
        <v>0.99</v>
      </c>
      <c r="K558" s="28">
        <v>11</v>
      </c>
      <c r="L558" s="28">
        <v>1</v>
      </c>
    </row>
    <row r="559" spans="1:12" ht="14.25" customHeight="1" x14ac:dyDescent="0.2">
      <c r="A559" s="28">
        <v>558</v>
      </c>
      <c r="B559" s="28" t="s">
        <v>992</v>
      </c>
      <c r="C559" s="28" t="s">
        <v>988</v>
      </c>
      <c r="D559" s="28" t="s">
        <v>639</v>
      </c>
      <c r="E559" s="28" t="s">
        <v>211</v>
      </c>
      <c r="F559" s="28" t="s">
        <v>490</v>
      </c>
      <c r="G559" s="28" t="s">
        <v>993</v>
      </c>
      <c r="H559" s="28">
        <v>11484362</v>
      </c>
      <c r="I559" s="28">
        <v>344320</v>
      </c>
      <c r="J559" s="28">
        <v>0.99</v>
      </c>
      <c r="K559" s="28">
        <v>50</v>
      </c>
      <c r="L559" s="28">
        <v>1</v>
      </c>
    </row>
    <row r="560" spans="1:12" ht="14.25" customHeight="1" x14ac:dyDescent="0.2">
      <c r="A560" s="28">
        <v>559</v>
      </c>
      <c r="B560" s="28" t="s">
        <v>994</v>
      </c>
      <c r="C560" s="28" t="s">
        <v>988</v>
      </c>
      <c r="D560" s="28" t="s">
        <v>639</v>
      </c>
      <c r="E560" s="28" t="s">
        <v>211</v>
      </c>
      <c r="F560" s="28" t="s">
        <v>490</v>
      </c>
      <c r="G560" s="28" t="s">
        <v>995</v>
      </c>
      <c r="H560" s="28">
        <v>8817757</v>
      </c>
      <c r="I560" s="28">
        <v>261720</v>
      </c>
      <c r="J560" s="28">
        <v>0.99</v>
      </c>
      <c r="K560" s="28">
        <v>48</v>
      </c>
      <c r="L560" s="28">
        <v>0</v>
      </c>
    </row>
    <row r="561" spans="1:12" ht="14.25" customHeight="1" x14ac:dyDescent="0.2">
      <c r="A561" s="28">
        <v>560</v>
      </c>
      <c r="B561" s="28" t="s">
        <v>996</v>
      </c>
      <c r="C561" s="28" t="s">
        <v>988</v>
      </c>
      <c r="D561" s="28" t="s">
        <v>639</v>
      </c>
      <c r="E561" s="28" t="s">
        <v>211</v>
      </c>
      <c r="F561" s="28" t="s">
        <v>490</v>
      </c>
      <c r="G561" s="28" t="s">
        <v>997</v>
      </c>
      <c r="H561" s="28">
        <v>11440689</v>
      </c>
      <c r="I561" s="28">
        <v>338834</v>
      </c>
      <c r="J561" s="28">
        <v>0.99</v>
      </c>
      <c r="K561" s="28">
        <v>6</v>
      </c>
      <c r="L561" s="28">
        <v>0</v>
      </c>
    </row>
    <row r="562" spans="1:12" ht="14.25" customHeight="1" x14ac:dyDescent="0.2">
      <c r="A562" s="28">
        <v>561</v>
      </c>
      <c r="B562" s="28" t="s">
        <v>998</v>
      </c>
      <c r="C562" s="28" t="s">
        <v>988</v>
      </c>
      <c r="D562" s="28" t="s">
        <v>639</v>
      </c>
      <c r="E562" s="28" t="s">
        <v>211</v>
      </c>
      <c r="F562" s="28" t="s">
        <v>490</v>
      </c>
      <c r="G562" s="28" t="s">
        <v>999</v>
      </c>
      <c r="H562" s="28">
        <v>10294741</v>
      </c>
      <c r="I562" s="28">
        <v>305920</v>
      </c>
      <c r="J562" s="28">
        <v>0.99</v>
      </c>
      <c r="K562" s="28">
        <v>57</v>
      </c>
      <c r="L562" s="28">
        <v>0</v>
      </c>
    </row>
    <row r="563" spans="1:12" ht="14.25" customHeight="1" x14ac:dyDescent="0.2">
      <c r="A563" s="28">
        <v>562</v>
      </c>
      <c r="B563" s="28" t="s">
        <v>1000</v>
      </c>
      <c r="C563" s="28" t="s">
        <v>988</v>
      </c>
      <c r="D563" s="28" t="s">
        <v>639</v>
      </c>
      <c r="E563" s="28" t="s">
        <v>211</v>
      </c>
      <c r="F563" s="28" t="s">
        <v>490</v>
      </c>
      <c r="G563" s="28" t="s">
        <v>1001</v>
      </c>
      <c r="H563" s="28">
        <v>9999506</v>
      </c>
      <c r="I563" s="28">
        <v>298318</v>
      </c>
      <c r="J563" s="28">
        <v>0.99</v>
      </c>
      <c r="K563" s="28">
        <v>71</v>
      </c>
      <c r="L563" s="28">
        <v>1</v>
      </c>
    </row>
    <row r="564" spans="1:12" ht="14.25" customHeight="1" x14ac:dyDescent="0.2">
      <c r="A564" s="28">
        <v>563</v>
      </c>
      <c r="B564" s="28" t="s">
        <v>1002</v>
      </c>
      <c r="C564" s="28" t="s">
        <v>988</v>
      </c>
      <c r="D564" s="28" t="s">
        <v>639</v>
      </c>
      <c r="E564" s="28" t="s">
        <v>211</v>
      </c>
      <c r="F564" s="28" t="s">
        <v>490</v>
      </c>
      <c r="G564" s="28" t="s">
        <v>1003</v>
      </c>
      <c r="H564" s="28">
        <v>11100945</v>
      </c>
      <c r="I564" s="28">
        <v>330945</v>
      </c>
      <c r="J564" s="28">
        <v>0.99</v>
      </c>
      <c r="K564" s="28">
        <v>80</v>
      </c>
      <c r="L564" s="28">
        <v>1</v>
      </c>
    </row>
    <row r="565" spans="1:12" ht="14.25" customHeight="1" x14ac:dyDescent="0.2">
      <c r="A565" s="28">
        <v>564</v>
      </c>
      <c r="B565" s="28" t="s">
        <v>1004</v>
      </c>
      <c r="C565" s="28" t="s">
        <v>988</v>
      </c>
      <c r="D565" s="28" t="s">
        <v>639</v>
      </c>
      <c r="E565" s="28" t="s">
        <v>211</v>
      </c>
      <c r="F565" s="28" t="s">
        <v>490</v>
      </c>
      <c r="G565" s="28" t="s">
        <v>1005</v>
      </c>
      <c r="H565" s="28">
        <v>10251428</v>
      </c>
      <c r="I565" s="28">
        <v>307252</v>
      </c>
      <c r="J565" s="28">
        <v>0.99</v>
      </c>
      <c r="K565" s="28">
        <v>7</v>
      </c>
      <c r="L565" s="28">
        <v>0</v>
      </c>
    </row>
    <row r="566" spans="1:12" ht="14.25" customHeight="1" x14ac:dyDescent="0.2">
      <c r="A566" s="28">
        <v>565</v>
      </c>
      <c r="B566" s="28" t="s">
        <v>1006</v>
      </c>
      <c r="C566" s="28" t="s">
        <v>988</v>
      </c>
      <c r="D566" s="28" t="s">
        <v>639</v>
      </c>
      <c r="E566" s="28" t="s">
        <v>211</v>
      </c>
      <c r="F566" s="28" t="s">
        <v>490</v>
      </c>
      <c r="G566" s="28" t="s">
        <v>1007</v>
      </c>
      <c r="H566" s="28">
        <v>10712216</v>
      </c>
      <c r="I566" s="28">
        <v>319608</v>
      </c>
      <c r="J566" s="28">
        <v>0.99</v>
      </c>
      <c r="K566" s="28">
        <v>43</v>
      </c>
      <c r="L566" s="28">
        <v>0</v>
      </c>
    </row>
    <row r="567" spans="1:12" ht="14.25" customHeight="1" x14ac:dyDescent="0.2">
      <c r="A567" s="28">
        <v>566</v>
      </c>
      <c r="B567" s="28" t="s">
        <v>1008</v>
      </c>
      <c r="C567" s="28" t="s">
        <v>988</v>
      </c>
      <c r="D567" s="28" t="s">
        <v>639</v>
      </c>
      <c r="E567" s="28" t="s">
        <v>211</v>
      </c>
      <c r="F567" s="28" t="s">
        <v>490</v>
      </c>
      <c r="G567" s="28" t="s">
        <v>1009</v>
      </c>
      <c r="H567" s="28">
        <v>11870956</v>
      </c>
      <c r="I567" s="28">
        <v>351320</v>
      </c>
      <c r="J567" s="28">
        <v>0.99</v>
      </c>
      <c r="K567" s="28">
        <v>85</v>
      </c>
      <c r="L567" s="28">
        <v>1</v>
      </c>
    </row>
    <row r="568" spans="1:12" ht="14.25" customHeight="1" x14ac:dyDescent="0.2">
      <c r="A568" s="28">
        <v>567</v>
      </c>
      <c r="B568" s="28" t="s">
        <v>1010</v>
      </c>
      <c r="C568" s="28" t="s">
        <v>988</v>
      </c>
      <c r="D568" s="28" t="s">
        <v>639</v>
      </c>
      <c r="E568" s="28" t="s">
        <v>211</v>
      </c>
      <c r="F568" s="28" t="s">
        <v>490</v>
      </c>
      <c r="G568" s="28" t="s">
        <v>1011</v>
      </c>
      <c r="H568" s="28">
        <v>9114880</v>
      </c>
      <c r="I568" s="28">
        <v>269165</v>
      </c>
      <c r="J568" s="28">
        <v>0.99</v>
      </c>
      <c r="K568" s="28">
        <v>85</v>
      </c>
      <c r="L568" s="28">
        <v>1</v>
      </c>
    </row>
    <row r="569" spans="1:12" ht="14.25" customHeight="1" x14ac:dyDescent="0.2">
      <c r="A569" s="28">
        <v>568</v>
      </c>
      <c r="B569" s="28" t="s">
        <v>1012</v>
      </c>
      <c r="C569" s="28" t="s">
        <v>988</v>
      </c>
      <c r="D569" s="28" t="s">
        <v>639</v>
      </c>
      <c r="E569" s="28" t="s">
        <v>211</v>
      </c>
      <c r="F569" s="28" t="s">
        <v>490</v>
      </c>
      <c r="G569" s="28" t="s">
        <v>1013</v>
      </c>
      <c r="H569" s="28">
        <v>11161196</v>
      </c>
      <c r="I569" s="28">
        <v>334942</v>
      </c>
      <c r="J569" s="28">
        <v>0.99</v>
      </c>
      <c r="K569" s="28">
        <v>38</v>
      </c>
      <c r="L569" s="28">
        <v>0</v>
      </c>
    </row>
    <row r="570" spans="1:12" ht="14.25" customHeight="1" x14ac:dyDescent="0.2">
      <c r="A570" s="28">
        <v>569</v>
      </c>
      <c r="B570" s="28" t="s">
        <v>1014</v>
      </c>
      <c r="C570" s="28" t="s">
        <v>988</v>
      </c>
      <c r="D570" s="28" t="s">
        <v>639</v>
      </c>
      <c r="E570" s="28" t="s">
        <v>211</v>
      </c>
      <c r="F570" s="28" t="s">
        <v>490</v>
      </c>
      <c r="G570" s="28" t="s">
        <v>1015</v>
      </c>
      <c r="H570" s="28">
        <v>8749492</v>
      </c>
      <c r="I570" s="28">
        <v>259657</v>
      </c>
      <c r="J570" s="28">
        <v>0.99</v>
      </c>
      <c r="K570" s="28">
        <v>32</v>
      </c>
      <c r="L570" s="28">
        <v>0</v>
      </c>
    </row>
    <row r="571" spans="1:12" ht="14.25" customHeight="1" x14ac:dyDescent="0.2">
      <c r="A571" s="28">
        <v>570</v>
      </c>
      <c r="B571" s="28" t="s">
        <v>1016</v>
      </c>
      <c r="C571" s="28" t="s">
        <v>1017</v>
      </c>
      <c r="D571" s="28" t="s">
        <v>1018</v>
      </c>
      <c r="E571" s="28" t="s">
        <v>211</v>
      </c>
      <c r="F571" s="28" t="s">
        <v>212</v>
      </c>
      <c r="G571" s="28" t="s">
        <v>1018</v>
      </c>
      <c r="H571" s="28">
        <v>11769507</v>
      </c>
      <c r="I571" s="28">
        <v>353488</v>
      </c>
      <c r="J571" s="28">
        <v>0.99</v>
      </c>
      <c r="K571" s="28">
        <v>34</v>
      </c>
      <c r="L571" s="28">
        <v>0</v>
      </c>
    </row>
    <row r="572" spans="1:12" ht="14.25" customHeight="1" x14ac:dyDescent="0.2">
      <c r="A572" s="28">
        <v>571</v>
      </c>
      <c r="B572" s="28" t="s">
        <v>1019</v>
      </c>
      <c r="C572" s="28" t="s">
        <v>1017</v>
      </c>
      <c r="D572" s="28" t="s">
        <v>1018</v>
      </c>
      <c r="E572" s="28" t="s">
        <v>211</v>
      </c>
      <c r="F572" s="28" t="s">
        <v>212</v>
      </c>
      <c r="G572" s="28" t="s">
        <v>1020</v>
      </c>
      <c r="H572" s="28">
        <v>11634337</v>
      </c>
      <c r="I572" s="28">
        <v>347820</v>
      </c>
      <c r="J572" s="28">
        <v>0.99</v>
      </c>
      <c r="K572" s="28">
        <v>96</v>
      </c>
      <c r="L572" s="28">
        <v>1</v>
      </c>
    </row>
    <row r="573" spans="1:12" ht="14.25" customHeight="1" x14ac:dyDescent="0.2">
      <c r="A573" s="28">
        <v>572</v>
      </c>
      <c r="B573" s="28" t="s">
        <v>1021</v>
      </c>
      <c r="C573" s="28" t="s">
        <v>1017</v>
      </c>
      <c r="D573" s="28" t="s">
        <v>1018</v>
      </c>
      <c r="E573" s="28" t="s">
        <v>211</v>
      </c>
      <c r="F573" s="28" t="s">
        <v>212</v>
      </c>
      <c r="G573" s="28" t="s">
        <v>1022</v>
      </c>
      <c r="H573" s="28">
        <v>9394769</v>
      </c>
      <c r="I573" s="28">
        <v>285178</v>
      </c>
      <c r="J573" s="28">
        <v>0.99</v>
      </c>
      <c r="K573" s="28">
        <v>83</v>
      </c>
      <c r="L573" s="28">
        <v>1</v>
      </c>
    </row>
    <row r="574" spans="1:12" ht="14.25" customHeight="1" x14ac:dyDescent="0.2">
      <c r="A574" s="28">
        <v>573</v>
      </c>
      <c r="B574" s="28" t="s">
        <v>1023</v>
      </c>
      <c r="C574" s="28" t="s">
        <v>1017</v>
      </c>
      <c r="D574" s="28" t="s">
        <v>1018</v>
      </c>
      <c r="E574" s="28" t="s">
        <v>211</v>
      </c>
      <c r="F574" s="28" t="s">
        <v>212</v>
      </c>
      <c r="G574" s="28" t="s">
        <v>1024</v>
      </c>
      <c r="H574" s="28">
        <v>9492487</v>
      </c>
      <c r="I574" s="28">
        <v>282827</v>
      </c>
      <c r="J574" s="28">
        <v>0.99</v>
      </c>
      <c r="K574" s="28">
        <v>23</v>
      </c>
      <c r="L574" s="28">
        <v>0</v>
      </c>
    </row>
    <row r="575" spans="1:12" ht="14.25" customHeight="1" x14ac:dyDescent="0.2">
      <c r="A575" s="28">
        <v>574</v>
      </c>
      <c r="B575" s="28" t="s">
        <v>1025</v>
      </c>
      <c r="C575" s="28" t="s">
        <v>1017</v>
      </c>
      <c r="D575" s="28" t="s">
        <v>1018</v>
      </c>
      <c r="E575" s="28" t="s">
        <v>211</v>
      </c>
      <c r="F575" s="28" t="s">
        <v>212</v>
      </c>
      <c r="G575" s="28" t="s">
        <v>1026</v>
      </c>
      <c r="H575" s="28">
        <v>9867455</v>
      </c>
      <c r="I575" s="28">
        <v>298161</v>
      </c>
      <c r="J575" s="28">
        <v>0.99</v>
      </c>
      <c r="K575" s="28">
        <v>22</v>
      </c>
      <c r="L575" s="28">
        <v>0</v>
      </c>
    </row>
    <row r="576" spans="1:12" ht="14.25" customHeight="1" x14ac:dyDescent="0.2">
      <c r="A576" s="28">
        <v>575</v>
      </c>
      <c r="B576" s="28" t="s">
        <v>1027</v>
      </c>
      <c r="C576" s="28" t="s">
        <v>1017</v>
      </c>
      <c r="D576" s="28" t="s">
        <v>1018</v>
      </c>
      <c r="E576" s="28" t="s">
        <v>211</v>
      </c>
      <c r="F576" s="28" t="s">
        <v>212</v>
      </c>
      <c r="G576" s="28" t="s">
        <v>1028</v>
      </c>
      <c r="H576" s="28">
        <v>11741062</v>
      </c>
      <c r="I576" s="28">
        <v>354899</v>
      </c>
      <c r="J576" s="28">
        <v>0.99</v>
      </c>
      <c r="K576" s="28">
        <v>90</v>
      </c>
      <c r="L576" s="28">
        <v>1</v>
      </c>
    </row>
    <row r="577" spans="1:12" ht="14.25" customHeight="1" x14ac:dyDescent="0.2">
      <c r="A577" s="28">
        <v>576</v>
      </c>
      <c r="B577" s="28" t="s">
        <v>1029</v>
      </c>
      <c r="C577" s="28" t="s">
        <v>1017</v>
      </c>
      <c r="D577" s="28" t="s">
        <v>1018</v>
      </c>
      <c r="E577" s="28" t="s">
        <v>211</v>
      </c>
      <c r="F577" s="28" t="s">
        <v>212</v>
      </c>
      <c r="G577" s="28" t="s">
        <v>1030</v>
      </c>
      <c r="H577" s="28">
        <v>8664601</v>
      </c>
      <c r="I577" s="28">
        <v>262635</v>
      </c>
      <c r="J577" s="28">
        <v>0.99</v>
      </c>
      <c r="K577" s="28">
        <v>26</v>
      </c>
      <c r="L577" s="28">
        <v>1</v>
      </c>
    </row>
    <row r="578" spans="1:12" ht="14.25" customHeight="1" x14ac:dyDescent="0.2">
      <c r="A578" s="28">
        <v>577</v>
      </c>
      <c r="B578" s="28" t="s">
        <v>1031</v>
      </c>
      <c r="C578" s="28" t="s">
        <v>1017</v>
      </c>
      <c r="D578" s="28" t="s">
        <v>1018</v>
      </c>
      <c r="E578" s="28" t="s">
        <v>211</v>
      </c>
      <c r="F578" s="28" t="s">
        <v>212</v>
      </c>
      <c r="G578" s="28" t="s">
        <v>1032</v>
      </c>
      <c r="H578" s="28">
        <v>10963305</v>
      </c>
      <c r="I578" s="28">
        <v>329064</v>
      </c>
      <c r="J578" s="28">
        <v>0.99</v>
      </c>
      <c r="K578" s="28">
        <v>69</v>
      </c>
      <c r="L578" s="28">
        <v>0</v>
      </c>
    </row>
    <row r="579" spans="1:12" ht="14.25" customHeight="1" x14ac:dyDescent="0.2">
      <c r="A579" s="28">
        <v>578</v>
      </c>
      <c r="B579" s="28" t="s">
        <v>1033</v>
      </c>
      <c r="C579" s="28" t="s">
        <v>1017</v>
      </c>
      <c r="D579" s="28" t="s">
        <v>1018</v>
      </c>
      <c r="E579" s="28" t="s">
        <v>211</v>
      </c>
      <c r="F579" s="28" t="s">
        <v>212</v>
      </c>
      <c r="G579" s="28" t="s">
        <v>1034</v>
      </c>
      <c r="H579" s="28">
        <v>9206802</v>
      </c>
      <c r="I579" s="28">
        <v>276114</v>
      </c>
      <c r="J579" s="28">
        <v>0.99</v>
      </c>
      <c r="K579" s="28">
        <v>81</v>
      </c>
      <c r="L579" s="28">
        <v>0</v>
      </c>
    </row>
    <row r="580" spans="1:12" ht="14.25" customHeight="1" x14ac:dyDescent="0.2">
      <c r="A580" s="28">
        <v>579</v>
      </c>
      <c r="B580" s="28" t="s">
        <v>1035</v>
      </c>
      <c r="C580" s="28" t="s">
        <v>1017</v>
      </c>
      <c r="D580" s="28" t="s">
        <v>1018</v>
      </c>
      <c r="E580" s="28" t="s">
        <v>211</v>
      </c>
      <c r="F580" s="28" t="s">
        <v>212</v>
      </c>
      <c r="G580" s="28" t="s">
        <v>1036</v>
      </c>
      <c r="H580" s="28">
        <v>9771348</v>
      </c>
      <c r="I580" s="28">
        <v>292832</v>
      </c>
      <c r="J580" s="28">
        <v>0.99</v>
      </c>
      <c r="K580" s="28">
        <v>6</v>
      </c>
      <c r="L580" s="28">
        <v>0</v>
      </c>
    </row>
    <row r="581" spans="1:12" ht="14.25" customHeight="1" x14ac:dyDescent="0.2">
      <c r="A581" s="28">
        <v>580</v>
      </c>
      <c r="B581" s="28" t="s">
        <v>1037</v>
      </c>
      <c r="C581" s="28" t="s">
        <v>1017</v>
      </c>
      <c r="D581" s="28" t="s">
        <v>1018</v>
      </c>
      <c r="E581" s="28" t="s">
        <v>211</v>
      </c>
      <c r="F581" s="28" t="s">
        <v>212</v>
      </c>
      <c r="G581" s="28" t="s">
        <v>1038</v>
      </c>
      <c r="H581" s="28">
        <v>9599353</v>
      </c>
      <c r="I581" s="28">
        <v>291160</v>
      </c>
      <c r="J581" s="28">
        <v>0.99</v>
      </c>
      <c r="K581" s="28">
        <v>74</v>
      </c>
      <c r="L581" s="28">
        <v>1</v>
      </c>
    </row>
    <row r="582" spans="1:12" ht="14.25" customHeight="1" x14ac:dyDescent="0.2">
      <c r="A582" s="28">
        <v>581</v>
      </c>
      <c r="B582" s="28" t="s">
        <v>1039</v>
      </c>
      <c r="C582" s="28" t="s">
        <v>1017</v>
      </c>
      <c r="D582" s="28" t="s">
        <v>1018</v>
      </c>
      <c r="E582" s="28" t="s">
        <v>211</v>
      </c>
      <c r="F582" s="28" t="s">
        <v>212</v>
      </c>
      <c r="G582" s="28" t="s">
        <v>1040</v>
      </c>
      <c r="H582" s="28">
        <v>12504234</v>
      </c>
      <c r="I582" s="28">
        <v>378618</v>
      </c>
      <c r="J582" s="28">
        <v>0.99</v>
      </c>
      <c r="K582" s="28">
        <v>1</v>
      </c>
      <c r="L582" s="28">
        <v>1</v>
      </c>
    </row>
    <row r="583" spans="1:12" ht="14.25" customHeight="1" x14ac:dyDescent="0.2">
      <c r="A583" s="28">
        <v>582</v>
      </c>
      <c r="B583" s="28" t="s">
        <v>1041</v>
      </c>
      <c r="C583" s="28" t="s">
        <v>1017</v>
      </c>
      <c r="D583" s="28" t="s">
        <v>1018</v>
      </c>
      <c r="E583" s="28" t="s">
        <v>211</v>
      </c>
      <c r="F583" s="28" t="s">
        <v>212</v>
      </c>
      <c r="G583" s="28" t="s">
        <v>1042</v>
      </c>
      <c r="H583" s="28">
        <v>24703884</v>
      </c>
      <c r="I583" s="28">
        <v>747755</v>
      </c>
      <c r="J583" s="28">
        <v>0.99</v>
      </c>
      <c r="K583" s="28">
        <v>24</v>
      </c>
      <c r="L583" s="28">
        <v>0</v>
      </c>
    </row>
    <row r="584" spans="1:12" ht="14.25" customHeight="1" x14ac:dyDescent="0.2">
      <c r="A584" s="28">
        <v>583</v>
      </c>
      <c r="B584" s="28" t="s">
        <v>1043</v>
      </c>
      <c r="C584" s="28" t="s">
        <v>1044</v>
      </c>
      <c r="D584" s="28" t="s">
        <v>1045</v>
      </c>
      <c r="E584" s="28" t="s">
        <v>211</v>
      </c>
      <c r="F584" s="28" t="s">
        <v>490</v>
      </c>
      <c r="G584" s="28"/>
      <c r="H584" s="28">
        <v>8100449</v>
      </c>
      <c r="I584" s="28">
        <v>247431</v>
      </c>
      <c r="J584" s="28">
        <v>0.99</v>
      </c>
      <c r="K584" s="28">
        <v>0</v>
      </c>
      <c r="L584" s="28">
        <v>0</v>
      </c>
    </row>
    <row r="585" spans="1:12" ht="14.25" customHeight="1" x14ac:dyDescent="0.2">
      <c r="A585" s="28">
        <v>584</v>
      </c>
      <c r="B585" s="28" t="s">
        <v>1046</v>
      </c>
      <c r="C585" s="28" t="s">
        <v>1044</v>
      </c>
      <c r="D585" s="28" t="s">
        <v>1045</v>
      </c>
      <c r="E585" s="28" t="s">
        <v>211</v>
      </c>
      <c r="F585" s="28" t="s">
        <v>490</v>
      </c>
      <c r="G585" s="28"/>
      <c r="H585" s="28">
        <v>7677671</v>
      </c>
      <c r="I585" s="28">
        <v>230269</v>
      </c>
      <c r="J585" s="28">
        <v>0.99</v>
      </c>
      <c r="K585" s="28">
        <v>90</v>
      </c>
      <c r="L585" s="28">
        <v>1</v>
      </c>
    </row>
    <row r="586" spans="1:12" ht="14.25" customHeight="1" x14ac:dyDescent="0.2">
      <c r="A586" s="28">
        <v>585</v>
      </c>
      <c r="B586" s="28" t="s">
        <v>1047</v>
      </c>
      <c r="C586" s="28" t="s">
        <v>1044</v>
      </c>
      <c r="D586" s="28" t="s">
        <v>1045</v>
      </c>
      <c r="E586" s="28" t="s">
        <v>211</v>
      </c>
      <c r="F586" s="28" t="s">
        <v>490</v>
      </c>
      <c r="G586" s="28"/>
      <c r="H586" s="28">
        <v>9391004</v>
      </c>
      <c r="I586" s="28">
        <v>286302</v>
      </c>
      <c r="J586" s="28">
        <v>0.99</v>
      </c>
      <c r="K586" s="28">
        <v>49</v>
      </c>
      <c r="L586" s="28">
        <v>1</v>
      </c>
    </row>
    <row r="587" spans="1:12" ht="14.25" customHeight="1" x14ac:dyDescent="0.2">
      <c r="A587" s="28">
        <v>586</v>
      </c>
      <c r="B587" s="28" t="s">
        <v>1048</v>
      </c>
      <c r="C587" s="28" t="s">
        <v>1044</v>
      </c>
      <c r="D587" s="28" t="s">
        <v>1045</v>
      </c>
      <c r="E587" s="28" t="s">
        <v>211</v>
      </c>
      <c r="F587" s="28" t="s">
        <v>490</v>
      </c>
      <c r="G587" s="28"/>
      <c r="H587" s="28">
        <v>6636465</v>
      </c>
      <c r="I587" s="28">
        <v>202501</v>
      </c>
      <c r="J587" s="28">
        <v>0.99</v>
      </c>
      <c r="K587" s="28">
        <v>75</v>
      </c>
      <c r="L587" s="28">
        <v>0</v>
      </c>
    </row>
    <row r="588" spans="1:12" ht="14.25" customHeight="1" x14ac:dyDescent="0.2">
      <c r="A588" s="28">
        <v>587</v>
      </c>
      <c r="B588" s="28" t="s">
        <v>766</v>
      </c>
      <c r="C588" s="28" t="s">
        <v>1044</v>
      </c>
      <c r="D588" s="28" t="s">
        <v>1045</v>
      </c>
      <c r="E588" s="28" t="s">
        <v>211</v>
      </c>
      <c r="F588" s="28" t="s">
        <v>490</v>
      </c>
      <c r="G588" s="28"/>
      <c r="H588" s="28">
        <v>8021589</v>
      </c>
      <c r="I588" s="28">
        <v>244009</v>
      </c>
      <c r="J588" s="28">
        <v>0.99</v>
      </c>
      <c r="K588" s="28">
        <v>82</v>
      </c>
      <c r="L588" s="28">
        <v>0</v>
      </c>
    </row>
    <row r="589" spans="1:12" ht="14.25" customHeight="1" x14ac:dyDescent="0.2">
      <c r="A589" s="28">
        <v>588</v>
      </c>
      <c r="B589" s="28" t="s">
        <v>1049</v>
      </c>
      <c r="C589" s="28" t="s">
        <v>1044</v>
      </c>
      <c r="D589" s="28" t="s">
        <v>1045</v>
      </c>
      <c r="E589" s="28" t="s">
        <v>211</v>
      </c>
      <c r="F589" s="28" t="s">
        <v>490</v>
      </c>
      <c r="G589" s="28"/>
      <c r="H589" s="28">
        <v>7617432</v>
      </c>
      <c r="I589" s="28">
        <v>226194</v>
      </c>
      <c r="J589" s="28">
        <v>0.99</v>
      </c>
      <c r="K589" s="28">
        <v>98</v>
      </c>
      <c r="L589" s="28">
        <v>0</v>
      </c>
    </row>
    <row r="590" spans="1:12" ht="14.25" customHeight="1" x14ac:dyDescent="0.2">
      <c r="A590" s="28">
        <v>589</v>
      </c>
      <c r="B590" s="28" t="s">
        <v>1050</v>
      </c>
      <c r="C590" s="28" t="s">
        <v>1044</v>
      </c>
      <c r="D590" s="28" t="s">
        <v>1045</v>
      </c>
      <c r="E590" s="28" t="s">
        <v>211</v>
      </c>
      <c r="F590" s="28" t="s">
        <v>490</v>
      </c>
      <c r="G590" s="28"/>
      <c r="H590" s="28">
        <v>6095524</v>
      </c>
      <c r="I590" s="28">
        <v>181603</v>
      </c>
      <c r="J590" s="28">
        <v>0.99</v>
      </c>
      <c r="K590" s="28">
        <v>44</v>
      </c>
      <c r="L590" s="28">
        <v>1</v>
      </c>
    </row>
    <row r="591" spans="1:12" ht="14.25" customHeight="1" x14ac:dyDescent="0.2">
      <c r="A591" s="28">
        <v>590</v>
      </c>
      <c r="B591" s="28" t="s">
        <v>1051</v>
      </c>
      <c r="C591" s="28" t="s">
        <v>1044</v>
      </c>
      <c r="D591" s="28" t="s">
        <v>1045</v>
      </c>
      <c r="E591" s="28" t="s">
        <v>211</v>
      </c>
      <c r="F591" s="28" t="s">
        <v>490</v>
      </c>
      <c r="G591" s="28"/>
      <c r="H591" s="28">
        <v>7935898</v>
      </c>
      <c r="I591" s="28">
        <v>238445</v>
      </c>
      <c r="J591" s="28">
        <v>0.99</v>
      </c>
      <c r="K591" s="28">
        <v>65</v>
      </c>
      <c r="L591" s="28">
        <v>1</v>
      </c>
    </row>
    <row r="592" spans="1:12" ht="14.25" customHeight="1" x14ac:dyDescent="0.2">
      <c r="A592" s="28">
        <v>591</v>
      </c>
      <c r="B592" s="28" t="s">
        <v>1052</v>
      </c>
      <c r="C592" s="28" t="s">
        <v>1044</v>
      </c>
      <c r="D592" s="28" t="s">
        <v>1045</v>
      </c>
      <c r="E592" s="28" t="s">
        <v>211</v>
      </c>
      <c r="F592" s="28" t="s">
        <v>490</v>
      </c>
      <c r="G592" s="28"/>
      <c r="H592" s="28">
        <v>6521676</v>
      </c>
      <c r="I592" s="28">
        <v>198008</v>
      </c>
      <c r="J592" s="28">
        <v>0.99</v>
      </c>
      <c r="K592" s="28">
        <v>3</v>
      </c>
      <c r="L592" s="28">
        <v>0</v>
      </c>
    </row>
    <row r="593" spans="1:12" ht="14.25" customHeight="1" x14ac:dyDescent="0.2">
      <c r="A593" s="28">
        <v>592</v>
      </c>
      <c r="B593" s="28" t="s">
        <v>1053</v>
      </c>
      <c r="C593" s="28" t="s">
        <v>1044</v>
      </c>
      <c r="D593" s="28" t="s">
        <v>1045</v>
      </c>
      <c r="E593" s="28" t="s">
        <v>211</v>
      </c>
      <c r="F593" s="28" t="s">
        <v>490</v>
      </c>
      <c r="G593" s="28"/>
      <c r="H593" s="28">
        <v>9161539</v>
      </c>
      <c r="I593" s="28">
        <v>280685</v>
      </c>
      <c r="J593" s="28">
        <v>0.99</v>
      </c>
      <c r="K593" s="28">
        <v>61</v>
      </c>
      <c r="L593" s="28">
        <v>0</v>
      </c>
    </row>
    <row r="594" spans="1:12" ht="14.25" customHeight="1" x14ac:dyDescent="0.2">
      <c r="A594" s="28">
        <v>593</v>
      </c>
      <c r="B594" s="28" t="s">
        <v>1054</v>
      </c>
      <c r="C594" s="28" t="s">
        <v>1044</v>
      </c>
      <c r="D594" s="28" t="s">
        <v>1045</v>
      </c>
      <c r="E594" s="28" t="s">
        <v>211</v>
      </c>
      <c r="F594" s="28" t="s">
        <v>490</v>
      </c>
      <c r="G594" s="28"/>
      <c r="H594" s="28">
        <v>9604273</v>
      </c>
      <c r="I594" s="28">
        <v>295235</v>
      </c>
      <c r="J594" s="28">
        <v>0.99</v>
      </c>
      <c r="K594" s="28">
        <v>51</v>
      </c>
      <c r="L594" s="28">
        <v>1</v>
      </c>
    </row>
    <row r="595" spans="1:12" ht="14.25" customHeight="1" x14ac:dyDescent="0.2">
      <c r="A595" s="28">
        <v>594</v>
      </c>
      <c r="B595" s="28" t="s">
        <v>1055</v>
      </c>
      <c r="C595" s="28" t="s">
        <v>1044</v>
      </c>
      <c r="D595" s="28" t="s">
        <v>1045</v>
      </c>
      <c r="E595" s="28" t="s">
        <v>211</v>
      </c>
      <c r="F595" s="28" t="s">
        <v>490</v>
      </c>
      <c r="G595" s="28"/>
      <c r="H595" s="28">
        <v>10572752</v>
      </c>
      <c r="I595" s="28">
        <v>323213</v>
      </c>
      <c r="J595" s="28">
        <v>0.99</v>
      </c>
      <c r="K595" s="28">
        <v>71</v>
      </c>
      <c r="L595" s="28">
        <v>1</v>
      </c>
    </row>
    <row r="596" spans="1:12" ht="14.25" customHeight="1" x14ac:dyDescent="0.2">
      <c r="A596" s="28">
        <v>595</v>
      </c>
      <c r="B596" s="28" t="s">
        <v>1056</v>
      </c>
      <c r="C596" s="28" t="s">
        <v>1044</v>
      </c>
      <c r="D596" s="28" t="s">
        <v>1045</v>
      </c>
      <c r="E596" s="28" t="s">
        <v>211</v>
      </c>
      <c r="F596" s="28" t="s">
        <v>490</v>
      </c>
      <c r="G596" s="28"/>
      <c r="H596" s="28">
        <v>7103608</v>
      </c>
      <c r="I596" s="28">
        <v>217782</v>
      </c>
      <c r="J596" s="28">
        <v>0.99</v>
      </c>
      <c r="K596" s="28">
        <v>86</v>
      </c>
      <c r="L596" s="28">
        <v>0</v>
      </c>
    </row>
    <row r="597" spans="1:12" ht="14.25" customHeight="1" x14ac:dyDescent="0.2">
      <c r="A597" s="28">
        <v>596</v>
      </c>
      <c r="B597" s="28" t="s">
        <v>1057</v>
      </c>
      <c r="C597" s="28" t="s">
        <v>1044</v>
      </c>
      <c r="D597" s="28" t="s">
        <v>1045</v>
      </c>
      <c r="E597" s="28" t="s">
        <v>211</v>
      </c>
      <c r="F597" s="28" t="s">
        <v>490</v>
      </c>
      <c r="G597" s="28"/>
      <c r="H597" s="28">
        <v>7930264</v>
      </c>
      <c r="I597" s="28">
        <v>238027</v>
      </c>
      <c r="J597" s="28">
        <v>0.99</v>
      </c>
      <c r="K597" s="28">
        <v>17</v>
      </c>
      <c r="L597" s="28">
        <v>0</v>
      </c>
    </row>
    <row r="598" spans="1:12" ht="14.25" customHeight="1" x14ac:dyDescent="0.2">
      <c r="A598" s="28">
        <v>597</v>
      </c>
      <c r="B598" s="28" t="s">
        <v>1058</v>
      </c>
      <c r="C598" s="28" t="s">
        <v>1059</v>
      </c>
      <c r="D598" s="28" t="s">
        <v>1060</v>
      </c>
      <c r="E598" s="28" t="s">
        <v>211</v>
      </c>
      <c r="F598" s="28" t="s">
        <v>305</v>
      </c>
      <c r="G598" s="28" t="s">
        <v>1060</v>
      </c>
      <c r="H598" s="28">
        <v>6358868</v>
      </c>
      <c r="I598" s="28">
        <v>197459</v>
      </c>
      <c r="J598" s="28">
        <v>0.99</v>
      </c>
      <c r="K598" s="28">
        <v>79</v>
      </c>
      <c r="L598" s="28">
        <v>0</v>
      </c>
    </row>
    <row r="599" spans="1:12" ht="14.25" customHeight="1" x14ac:dyDescent="0.2">
      <c r="A599" s="28">
        <v>598</v>
      </c>
      <c r="B599" s="28" t="s">
        <v>1061</v>
      </c>
      <c r="C599" s="28" t="s">
        <v>1059</v>
      </c>
      <c r="D599" s="28" t="s">
        <v>1060</v>
      </c>
      <c r="E599" s="28" t="s">
        <v>211</v>
      </c>
      <c r="F599" s="28" t="s">
        <v>305</v>
      </c>
      <c r="G599" s="28" t="s">
        <v>1060</v>
      </c>
      <c r="H599" s="28">
        <v>6222536</v>
      </c>
      <c r="I599" s="28">
        <v>193410</v>
      </c>
      <c r="J599" s="28">
        <v>0.99</v>
      </c>
      <c r="K599" s="28">
        <v>65</v>
      </c>
      <c r="L599" s="28">
        <v>1</v>
      </c>
    </row>
    <row r="600" spans="1:12" ht="14.25" customHeight="1" x14ac:dyDescent="0.2">
      <c r="A600" s="28">
        <v>599</v>
      </c>
      <c r="B600" s="28" t="s">
        <v>1062</v>
      </c>
      <c r="C600" s="28" t="s">
        <v>1059</v>
      </c>
      <c r="D600" s="28" t="s">
        <v>1060</v>
      </c>
      <c r="E600" s="28" t="s">
        <v>211</v>
      </c>
      <c r="F600" s="28" t="s">
        <v>305</v>
      </c>
      <c r="G600" s="28" t="s">
        <v>1060</v>
      </c>
      <c r="H600" s="28">
        <v>11254474</v>
      </c>
      <c r="I600" s="28">
        <v>345025</v>
      </c>
      <c r="J600" s="28">
        <v>0.99</v>
      </c>
      <c r="K600" s="28">
        <v>30</v>
      </c>
      <c r="L600" s="28">
        <v>1</v>
      </c>
    </row>
    <row r="601" spans="1:12" ht="14.25" customHeight="1" x14ac:dyDescent="0.2">
      <c r="A601" s="28">
        <v>600</v>
      </c>
      <c r="B601" s="28" t="s">
        <v>1063</v>
      </c>
      <c r="C601" s="28" t="s">
        <v>1059</v>
      </c>
      <c r="D601" s="28" t="s">
        <v>1060</v>
      </c>
      <c r="E601" s="28" t="s">
        <v>211</v>
      </c>
      <c r="F601" s="28" t="s">
        <v>305</v>
      </c>
      <c r="G601" s="28" t="s">
        <v>1060</v>
      </c>
      <c r="H601" s="28">
        <v>7548434</v>
      </c>
      <c r="I601" s="28">
        <v>231784</v>
      </c>
      <c r="J601" s="28">
        <v>0.99</v>
      </c>
      <c r="K601" s="28">
        <v>12</v>
      </c>
      <c r="L601" s="28">
        <v>0</v>
      </c>
    </row>
    <row r="602" spans="1:12" ht="14.25" customHeight="1" x14ac:dyDescent="0.2">
      <c r="A602" s="28">
        <v>601</v>
      </c>
      <c r="B602" s="28" t="s">
        <v>1064</v>
      </c>
      <c r="C602" s="28" t="s">
        <v>1059</v>
      </c>
      <c r="D602" s="28" t="s">
        <v>1060</v>
      </c>
      <c r="E602" s="28" t="s">
        <v>211</v>
      </c>
      <c r="F602" s="28" t="s">
        <v>305</v>
      </c>
      <c r="G602" s="28" t="s">
        <v>1060</v>
      </c>
      <c r="H602" s="28">
        <v>26411634</v>
      </c>
      <c r="I602" s="28">
        <v>807392</v>
      </c>
      <c r="J602" s="28">
        <v>0.99</v>
      </c>
      <c r="K602" s="28">
        <v>66</v>
      </c>
      <c r="L602" s="28">
        <v>0</v>
      </c>
    </row>
    <row r="603" spans="1:12" ht="14.25" customHeight="1" x14ac:dyDescent="0.2">
      <c r="A603" s="28">
        <v>602</v>
      </c>
      <c r="B603" s="28" t="s">
        <v>1065</v>
      </c>
      <c r="C603" s="28" t="s">
        <v>1059</v>
      </c>
      <c r="D603" s="28" t="s">
        <v>1060</v>
      </c>
      <c r="E603" s="28" t="s">
        <v>211</v>
      </c>
      <c r="F603" s="28" t="s">
        <v>305</v>
      </c>
      <c r="G603" s="28" t="s">
        <v>1060</v>
      </c>
      <c r="H603" s="28">
        <v>11590284</v>
      </c>
      <c r="I603" s="28">
        <v>357459</v>
      </c>
      <c r="J603" s="28">
        <v>0.99</v>
      </c>
      <c r="K603" s="28">
        <v>51</v>
      </c>
      <c r="L603" s="28">
        <v>1</v>
      </c>
    </row>
    <row r="604" spans="1:12" ht="14.25" customHeight="1" x14ac:dyDescent="0.2">
      <c r="A604" s="28">
        <v>603</v>
      </c>
      <c r="B604" s="28" t="s">
        <v>1066</v>
      </c>
      <c r="C604" s="28" t="s">
        <v>1059</v>
      </c>
      <c r="D604" s="28" t="s">
        <v>1060</v>
      </c>
      <c r="E604" s="28" t="s">
        <v>211</v>
      </c>
      <c r="F604" s="28" t="s">
        <v>305</v>
      </c>
      <c r="G604" s="28" t="s">
        <v>1060</v>
      </c>
      <c r="H604" s="28">
        <v>15549224</v>
      </c>
      <c r="I604" s="28">
        <v>476003</v>
      </c>
      <c r="J604" s="28">
        <v>0.99</v>
      </c>
      <c r="K604" s="28">
        <v>0</v>
      </c>
      <c r="L604" s="28">
        <v>1</v>
      </c>
    </row>
    <row r="605" spans="1:12" ht="14.25" customHeight="1" x14ac:dyDescent="0.2">
      <c r="A605" s="28">
        <v>604</v>
      </c>
      <c r="B605" s="28" t="s">
        <v>1067</v>
      </c>
      <c r="C605" s="28" t="s">
        <v>1059</v>
      </c>
      <c r="D605" s="28" t="s">
        <v>1060</v>
      </c>
      <c r="E605" s="28" t="s">
        <v>211</v>
      </c>
      <c r="F605" s="28" t="s">
        <v>305</v>
      </c>
      <c r="G605" s="28" t="s">
        <v>1060</v>
      </c>
      <c r="H605" s="28">
        <v>9018024</v>
      </c>
      <c r="I605" s="28">
        <v>277968</v>
      </c>
      <c r="J605" s="28">
        <v>0.99</v>
      </c>
      <c r="K605" s="28">
        <v>89</v>
      </c>
      <c r="L605" s="28">
        <v>0</v>
      </c>
    </row>
    <row r="606" spans="1:12" ht="14.25" customHeight="1" x14ac:dyDescent="0.2">
      <c r="A606" s="28">
        <v>605</v>
      </c>
      <c r="B606" s="28" t="s">
        <v>1068</v>
      </c>
      <c r="C606" s="28" t="s">
        <v>1059</v>
      </c>
      <c r="D606" s="28" t="s">
        <v>1060</v>
      </c>
      <c r="E606" s="28" t="s">
        <v>211</v>
      </c>
      <c r="F606" s="28" t="s">
        <v>305</v>
      </c>
      <c r="G606" s="28" t="s">
        <v>1060</v>
      </c>
      <c r="H606" s="28">
        <v>5437017</v>
      </c>
      <c r="I606" s="28">
        <v>168777</v>
      </c>
      <c r="J606" s="28">
        <v>0.99</v>
      </c>
      <c r="K606" s="28">
        <v>30</v>
      </c>
      <c r="L606" s="28">
        <v>0</v>
      </c>
    </row>
    <row r="607" spans="1:12" ht="14.25" customHeight="1" x14ac:dyDescent="0.2">
      <c r="A607" s="28">
        <v>606</v>
      </c>
      <c r="B607" s="28" t="s">
        <v>1069</v>
      </c>
      <c r="C607" s="28" t="s">
        <v>1059</v>
      </c>
      <c r="D607" s="28" t="s">
        <v>1060</v>
      </c>
      <c r="E607" s="28" t="s">
        <v>211</v>
      </c>
      <c r="F607" s="28" t="s">
        <v>305</v>
      </c>
      <c r="G607" s="28" t="s">
        <v>1060</v>
      </c>
      <c r="H607" s="28">
        <v>6461370</v>
      </c>
      <c r="I607" s="28">
        <v>200437</v>
      </c>
      <c r="J607" s="28">
        <v>0.99</v>
      </c>
      <c r="K607" s="28">
        <v>25</v>
      </c>
      <c r="L607" s="28">
        <v>0</v>
      </c>
    </row>
    <row r="608" spans="1:12" ht="14.25" customHeight="1" x14ac:dyDescent="0.2">
      <c r="A608" s="28">
        <v>607</v>
      </c>
      <c r="B608" s="28" t="s">
        <v>1070</v>
      </c>
      <c r="C608" s="28" t="s">
        <v>1059</v>
      </c>
      <c r="D608" s="28" t="s">
        <v>1060</v>
      </c>
      <c r="E608" s="28" t="s">
        <v>211</v>
      </c>
      <c r="F608" s="28" t="s">
        <v>305</v>
      </c>
      <c r="G608" s="28" t="s">
        <v>1060</v>
      </c>
      <c r="H608" s="28">
        <v>18360449</v>
      </c>
      <c r="I608" s="28">
        <v>564009</v>
      </c>
      <c r="J608" s="28">
        <v>0.99</v>
      </c>
      <c r="K608" s="28">
        <v>15</v>
      </c>
      <c r="L608" s="28">
        <v>1</v>
      </c>
    </row>
    <row r="609" spans="1:12" ht="14.25" customHeight="1" x14ac:dyDescent="0.2">
      <c r="A609" s="28">
        <v>608</v>
      </c>
      <c r="B609" s="28" t="s">
        <v>1071</v>
      </c>
      <c r="C609" s="28" t="s">
        <v>1059</v>
      </c>
      <c r="D609" s="28" t="s">
        <v>1060</v>
      </c>
      <c r="E609" s="28" t="s">
        <v>211</v>
      </c>
      <c r="F609" s="28" t="s">
        <v>305</v>
      </c>
      <c r="G609" s="28" t="s">
        <v>1060</v>
      </c>
      <c r="H609" s="28">
        <v>7593713</v>
      </c>
      <c r="I609" s="28">
        <v>233769</v>
      </c>
      <c r="J609" s="28">
        <v>0.99</v>
      </c>
      <c r="K609" s="28">
        <v>73</v>
      </c>
      <c r="L609" s="28">
        <v>1</v>
      </c>
    </row>
    <row r="610" spans="1:12" ht="14.25" customHeight="1" x14ac:dyDescent="0.2">
      <c r="A610" s="28">
        <v>609</v>
      </c>
      <c r="B610" s="28" t="s">
        <v>1072</v>
      </c>
      <c r="C610" s="28" t="s">
        <v>1059</v>
      </c>
      <c r="D610" s="28" t="s">
        <v>1060</v>
      </c>
      <c r="E610" s="28" t="s">
        <v>211</v>
      </c>
      <c r="F610" s="28" t="s">
        <v>305</v>
      </c>
      <c r="G610" s="28" t="s">
        <v>1060</v>
      </c>
      <c r="H610" s="28">
        <v>17890773</v>
      </c>
      <c r="I610" s="28">
        <v>544078</v>
      </c>
      <c r="J610" s="28">
        <v>0.99</v>
      </c>
      <c r="K610" s="28">
        <v>44</v>
      </c>
      <c r="L610" s="28">
        <v>0</v>
      </c>
    </row>
    <row r="611" spans="1:12" ht="14.25" customHeight="1" x14ac:dyDescent="0.2">
      <c r="A611" s="28">
        <v>610</v>
      </c>
      <c r="B611" s="28" t="s">
        <v>1073</v>
      </c>
      <c r="C611" s="28" t="s">
        <v>1074</v>
      </c>
      <c r="D611" s="28" t="s">
        <v>1060</v>
      </c>
      <c r="E611" s="28" t="s">
        <v>211</v>
      </c>
      <c r="F611" s="28" t="s">
        <v>305</v>
      </c>
      <c r="G611" s="28" t="s">
        <v>1060</v>
      </c>
      <c r="H611" s="28">
        <v>29416781</v>
      </c>
      <c r="I611" s="28">
        <v>907520</v>
      </c>
      <c r="J611" s="28">
        <v>0.99</v>
      </c>
      <c r="K611" s="28">
        <v>87</v>
      </c>
      <c r="L611" s="28">
        <v>0</v>
      </c>
    </row>
    <row r="612" spans="1:12" ht="14.25" customHeight="1" x14ac:dyDescent="0.2">
      <c r="A612" s="28">
        <v>611</v>
      </c>
      <c r="B612" s="28" t="s">
        <v>1075</v>
      </c>
      <c r="C612" s="28" t="s">
        <v>1074</v>
      </c>
      <c r="D612" s="28" t="s">
        <v>1060</v>
      </c>
      <c r="E612" s="28" t="s">
        <v>211</v>
      </c>
      <c r="F612" s="28" t="s">
        <v>305</v>
      </c>
      <c r="G612" s="28" t="s">
        <v>1060</v>
      </c>
      <c r="H612" s="28">
        <v>11079866</v>
      </c>
      <c r="I612" s="28">
        <v>330684</v>
      </c>
      <c r="J612" s="28">
        <v>0.99</v>
      </c>
      <c r="K612" s="28">
        <v>39</v>
      </c>
      <c r="L612" s="28">
        <v>1</v>
      </c>
    </row>
    <row r="613" spans="1:12" ht="14.25" customHeight="1" x14ac:dyDescent="0.2">
      <c r="A613" s="28">
        <v>612</v>
      </c>
      <c r="B613" s="28" t="s">
        <v>1076</v>
      </c>
      <c r="C613" s="28" t="s">
        <v>1074</v>
      </c>
      <c r="D613" s="28" t="s">
        <v>1060</v>
      </c>
      <c r="E613" s="28" t="s">
        <v>211</v>
      </c>
      <c r="F613" s="28" t="s">
        <v>305</v>
      </c>
      <c r="G613" s="28" t="s">
        <v>1060</v>
      </c>
      <c r="H613" s="28">
        <v>15478450</v>
      </c>
      <c r="I613" s="28">
        <v>473495</v>
      </c>
      <c r="J613" s="28">
        <v>0.99</v>
      </c>
      <c r="K613" s="28">
        <v>39</v>
      </c>
      <c r="L613" s="28">
        <v>1</v>
      </c>
    </row>
    <row r="614" spans="1:12" ht="14.25" customHeight="1" x14ac:dyDescent="0.2">
      <c r="A614" s="28">
        <v>613</v>
      </c>
      <c r="B614" s="28" t="s">
        <v>1077</v>
      </c>
      <c r="C614" s="28" t="s">
        <v>1074</v>
      </c>
      <c r="D614" s="28" t="s">
        <v>1060</v>
      </c>
      <c r="E614" s="28" t="s">
        <v>211</v>
      </c>
      <c r="F614" s="28" t="s">
        <v>305</v>
      </c>
      <c r="G614" s="28" t="s">
        <v>1060</v>
      </c>
      <c r="H614" s="28">
        <v>16131272</v>
      </c>
      <c r="I614" s="28">
        <v>487392</v>
      </c>
      <c r="J614" s="28">
        <v>0.99</v>
      </c>
      <c r="K614" s="28">
        <v>94</v>
      </c>
      <c r="L614" s="28">
        <v>0</v>
      </c>
    </row>
    <row r="615" spans="1:12" ht="14.25" customHeight="1" x14ac:dyDescent="0.2">
      <c r="A615" s="28">
        <v>614</v>
      </c>
      <c r="B615" s="28" t="s">
        <v>1078</v>
      </c>
      <c r="C615" s="28" t="s">
        <v>1074</v>
      </c>
      <c r="D615" s="28" t="s">
        <v>1060</v>
      </c>
      <c r="E615" s="28" t="s">
        <v>211</v>
      </c>
      <c r="F615" s="28" t="s">
        <v>305</v>
      </c>
      <c r="G615" s="28" t="s">
        <v>1060</v>
      </c>
      <c r="H615" s="28">
        <v>27967919</v>
      </c>
      <c r="I615" s="28">
        <v>843964</v>
      </c>
      <c r="J615" s="28">
        <v>0.99</v>
      </c>
      <c r="K615" s="28">
        <v>72</v>
      </c>
      <c r="L615" s="28">
        <v>0</v>
      </c>
    </row>
    <row r="616" spans="1:12" ht="14.25" customHeight="1" x14ac:dyDescent="0.2">
      <c r="A616" s="28">
        <v>615</v>
      </c>
      <c r="B616" s="28" t="s">
        <v>1079</v>
      </c>
      <c r="C616" s="28" t="s">
        <v>1074</v>
      </c>
      <c r="D616" s="28" t="s">
        <v>1060</v>
      </c>
      <c r="E616" s="28" t="s">
        <v>211</v>
      </c>
      <c r="F616" s="28" t="s">
        <v>305</v>
      </c>
      <c r="G616" s="28" t="s">
        <v>1060</v>
      </c>
      <c r="H616" s="28">
        <v>6273225</v>
      </c>
      <c r="I616" s="28">
        <v>196101</v>
      </c>
      <c r="J616" s="28">
        <v>0.99</v>
      </c>
      <c r="K616" s="28">
        <v>62</v>
      </c>
      <c r="L616" s="28">
        <v>0</v>
      </c>
    </row>
    <row r="617" spans="1:12" ht="14.25" customHeight="1" x14ac:dyDescent="0.2">
      <c r="A617" s="28">
        <v>616</v>
      </c>
      <c r="B617" s="28" t="s">
        <v>1080</v>
      </c>
      <c r="C617" s="28" t="s">
        <v>1074</v>
      </c>
      <c r="D617" s="28" t="s">
        <v>1060</v>
      </c>
      <c r="E617" s="28" t="s">
        <v>211</v>
      </c>
      <c r="F617" s="28" t="s">
        <v>305</v>
      </c>
      <c r="G617" s="28" t="s">
        <v>1060</v>
      </c>
      <c r="H617" s="28">
        <v>10529483</v>
      </c>
      <c r="I617" s="28">
        <v>316682</v>
      </c>
      <c r="J617" s="28">
        <v>0.99</v>
      </c>
      <c r="K617" s="28">
        <v>52</v>
      </c>
      <c r="L617" s="28">
        <v>1</v>
      </c>
    </row>
    <row r="618" spans="1:12" ht="14.25" customHeight="1" x14ac:dyDescent="0.2">
      <c r="A618" s="28">
        <v>617</v>
      </c>
      <c r="B618" s="28" t="s">
        <v>1081</v>
      </c>
      <c r="C618" s="28" t="s">
        <v>1074</v>
      </c>
      <c r="D618" s="28" t="s">
        <v>1060</v>
      </c>
      <c r="E618" s="28" t="s">
        <v>211</v>
      </c>
      <c r="F618" s="28" t="s">
        <v>305</v>
      </c>
      <c r="G618" s="28" t="s">
        <v>1060</v>
      </c>
      <c r="H618" s="28">
        <v>7955114</v>
      </c>
      <c r="I618" s="28">
        <v>243461</v>
      </c>
      <c r="J618" s="28">
        <v>0.99</v>
      </c>
      <c r="K618" s="28">
        <v>58</v>
      </c>
      <c r="L618" s="28">
        <v>1</v>
      </c>
    </row>
    <row r="619" spans="1:12" ht="14.25" customHeight="1" x14ac:dyDescent="0.2">
      <c r="A619" s="28">
        <v>618</v>
      </c>
      <c r="B619" s="28" t="s">
        <v>1082</v>
      </c>
      <c r="C619" s="28" t="s">
        <v>1074</v>
      </c>
      <c r="D619" s="28" t="s">
        <v>1060</v>
      </c>
      <c r="E619" s="28" t="s">
        <v>211</v>
      </c>
      <c r="F619" s="28" t="s">
        <v>305</v>
      </c>
      <c r="G619" s="28" t="s">
        <v>1060</v>
      </c>
      <c r="H619" s="28">
        <v>7292197</v>
      </c>
      <c r="I619" s="28">
        <v>220734</v>
      </c>
      <c r="J619" s="28">
        <v>0.99</v>
      </c>
      <c r="K619" s="28">
        <v>57</v>
      </c>
      <c r="L619" s="28">
        <v>0</v>
      </c>
    </row>
    <row r="620" spans="1:12" ht="14.25" customHeight="1" x14ac:dyDescent="0.2">
      <c r="A620" s="28">
        <v>619</v>
      </c>
      <c r="B620" s="28" t="s">
        <v>1083</v>
      </c>
      <c r="C620" s="28" t="s">
        <v>1074</v>
      </c>
      <c r="D620" s="28" t="s">
        <v>1060</v>
      </c>
      <c r="E620" s="28" t="s">
        <v>211</v>
      </c>
      <c r="F620" s="28" t="s">
        <v>305</v>
      </c>
      <c r="G620" s="28" t="s">
        <v>1060</v>
      </c>
      <c r="H620" s="28">
        <v>12520126</v>
      </c>
      <c r="I620" s="28">
        <v>378775</v>
      </c>
      <c r="J620" s="28">
        <v>0.99</v>
      </c>
      <c r="K620" s="28">
        <v>97</v>
      </c>
      <c r="L620" s="28">
        <v>0</v>
      </c>
    </row>
    <row r="621" spans="1:12" ht="14.25" customHeight="1" x14ac:dyDescent="0.2">
      <c r="A621" s="28">
        <v>620</v>
      </c>
      <c r="B621" s="28" t="s">
        <v>1084</v>
      </c>
      <c r="C621" s="28" t="s">
        <v>1085</v>
      </c>
      <c r="D621" s="28" t="s">
        <v>966</v>
      </c>
      <c r="E621" s="28" t="s">
        <v>211</v>
      </c>
      <c r="F621" s="28" t="s">
        <v>212</v>
      </c>
      <c r="G621" s="28" t="s">
        <v>1086</v>
      </c>
      <c r="H621" s="28">
        <v>39267613</v>
      </c>
      <c r="I621" s="28">
        <v>1196094</v>
      </c>
      <c r="J621" s="28">
        <v>0.99</v>
      </c>
      <c r="K621" s="28">
        <v>97</v>
      </c>
      <c r="L621" s="28">
        <v>0</v>
      </c>
    </row>
    <row r="622" spans="1:12" ht="14.25" customHeight="1" x14ac:dyDescent="0.2">
      <c r="A622" s="28">
        <v>621</v>
      </c>
      <c r="B622" s="28" t="s">
        <v>1087</v>
      </c>
      <c r="C622" s="28" t="s">
        <v>1085</v>
      </c>
      <c r="D622" s="28" t="s">
        <v>966</v>
      </c>
      <c r="E622" s="28" t="s">
        <v>211</v>
      </c>
      <c r="F622" s="28" t="s">
        <v>212</v>
      </c>
      <c r="G622" s="28" t="s">
        <v>1088</v>
      </c>
      <c r="H622" s="28">
        <v>29846063</v>
      </c>
      <c r="I622" s="28">
        <v>913658</v>
      </c>
      <c r="J622" s="28">
        <v>0.99</v>
      </c>
      <c r="K622" s="28">
        <v>82</v>
      </c>
      <c r="L622" s="28">
        <v>1</v>
      </c>
    </row>
    <row r="623" spans="1:12" ht="14.25" customHeight="1" x14ac:dyDescent="0.2">
      <c r="A623" s="28">
        <v>622</v>
      </c>
      <c r="B623" s="28" t="s">
        <v>1089</v>
      </c>
      <c r="C623" s="28" t="s">
        <v>1085</v>
      </c>
      <c r="D623" s="28" t="s">
        <v>966</v>
      </c>
      <c r="E623" s="28" t="s">
        <v>211</v>
      </c>
      <c r="F623" s="28" t="s">
        <v>212</v>
      </c>
      <c r="G623" s="28" t="s">
        <v>1090</v>
      </c>
      <c r="H623" s="28">
        <v>27775442</v>
      </c>
      <c r="I623" s="28">
        <v>854700</v>
      </c>
      <c r="J623" s="28">
        <v>0.99</v>
      </c>
      <c r="K623" s="28">
        <v>92</v>
      </c>
      <c r="L623" s="28">
        <v>0</v>
      </c>
    </row>
    <row r="624" spans="1:12" ht="14.25" customHeight="1" x14ac:dyDescent="0.2">
      <c r="A624" s="28">
        <v>623</v>
      </c>
      <c r="B624" s="28" t="s">
        <v>1091</v>
      </c>
      <c r="C624" s="28" t="s">
        <v>1085</v>
      </c>
      <c r="D624" s="28" t="s">
        <v>966</v>
      </c>
      <c r="E624" s="28" t="s">
        <v>211</v>
      </c>
      <c r="F624" s="28" t="s">
        <v>212</v>
      </c>
      <c r="G624" s="28" t="s">
        <v>1092</v>
      </c>
      <c r="H624" s="28">
        <v>24887209</v>
      </c>
      <c r="I624" s="28">
        <v>763924</v>
      </c>
      <c r="J624" s="28">
        <v>0.99</v>
      </c>
      <c r="K624" s="28">
        <v>7</v>
      </c>
      <c r="L624" s="28">
        <v>0</v>
      </c>
    </row>
    <row r="625" spans="1:12" ht="14.25" customHeight="1" x14ac:dyDescent="0.2">
      <c r="A625" s="28">
        <v>624</v>
      </c>
      <c r="B625" s="28" t="s">
        <v>1093</v>
      </c>
      <c r="C625" s="28" t="s">
        <v>1094</v>
      </c>
      <c r="D625" s="28" t="s">
        <v>1095</v>
      </c>
      <c r="E625" s="28" t="s">
        <v>211</v>
      </c>
      <c r="F625" s="28" t="s">
        <v>305</v>
      </c>
      <c r="G625" s="28"/>
      <c r="H625" s="28">
        <v>5991903</v>
      </c>
      <c r="I625" s="28">
        <v>185965</v>
      </c>
      <c r="J625" s="28">
        <v>0.99</v>
      </c>
      <c r="K625" s="28">
        <v>64</v>
      </c>
      <c r="L625" s="28">
        <v>0</v>
      </c>
    </row>
    <row r="626" spans="1:12" ht="14.25" customHeight="1" x14ac:dyDescent="0.2">
      <c r="A626" s="28">
        <v>625</v>
      </c>
      <c r="B626" s="28" t="s">
        <v>1096</v>
      </c>
      <c r="C626" s="28" t="s">
        <v>1094</v>
      </c>
      <c r="D626" s="28" t="s">
        <v>1095</v>
      </c>
      <c r="E626" s="28" t="s">
        <v>211</v>
      </c>
      <c r="F626" s="28" t="s">
        <v>305</v>
      </c>
      <c r="G626" s="28"/>
      <c r="H626" s="28">
        <v>11204006</v>
      </c>
      <c r="I626" s="28">
        <v>348212</v>
      </c>
      <c r="J626" s="28">
        <v>0.99</v>
      </c>
      <c r="K626" s="28">
        <v>24</v>
      </c>
      <c r="L626" s="28">
        <v>2</v>
      </c>
    </row>
    <row r="627" spans="1:12" ht="14.25" customHeight="1" x14ac:dyDescent="0.2">
      <c r="A627" s="28">
        <v>626</v>
      </c>
      <c r="B627" s="28" t="s">
        <v>1097</v>
      </c>
      <c r="C627" s="28" t="s">
        <v>1094</v>
      </c>
      <c r="D627" s="28" t="s">
        <v>1095</v>
      </c>
      <c r="E627" s="28" t="s">
        <v>211</v>
      </c>
      <c r="F627" s="28" t="s">
        <v>305</v>
      </c>
      <c r="G627" s="28"/>
      <c r="H627" s="28">
        <v>6185636</v>
      </c>
      <c r="I627" s="28">
        <v>191555</v>
      </c>
      <c r="J627" s="28">
        <v>0.99</v>
      </c>
      <c r="K627" s="28">
        <v>90</v>
      </c>
      <c r="L627" s="28">
        <v>2</v>
      </c>
    </row>
    <row r="628" spans="1:12" ht="14.25" customHeight="1" x14ac:dyDescent="0.2">
      <c r="A628" s="28">
        <v>627</v>
      </c>
      <c r="B628" s="28" t="s">
        <v>1098</v>
      </c>
      <c r="C628" s="28" t="s">
        <v>1094</v>
      </c>
      <c r="D628" s="28" t="s">
        <v>1095</v>
      </c>
      <c r="E628" s="28" t="s">
        <v>211</v>
      </c>
      <c r="F628" s="28" t="s">
        <v>305</v>
      </c>
      <c r="G628" s="28"/>
      <c r="H628" s="28">
        <v>6034685</v>
      </c>
      <c r="I628" s="28">
        <v>187637</v>
      </c>
      <c r="J628" s="28">
        <v>0.99</v>
      </c>
      <c r="K628" s="28">
        <v>55</v>
      </c>
      <c r="L628" s="28">
        <v>1</v>
      </c>
    </row>
    <row r="629" spans="1:12" ht="14.25" customHeight="1" x14ac:dyDescent="0.2">
      <c r="A629" s="28">
        <v>628</v>
      </c>
      <c r="B629" s="28" t="s">
        <v>1099</v>
      </c>
      <c r="C629" s="28" t="s">
        <v>1094</v>
      </c>
      <c r="D629" s="28" t="s">
        <v>1095</v>
      </c>
      <c r="E629" s="28" t="s">
        <v>211</v>
      </c>
      <c r="F629" s="28" t="s">
        <v>305</v>
      </c>
      <c r="G629" s="28"/>
      <c r="H629" s="28">
        <v>5898810</v>
      </c>
      <c r="I629" s="28">
        <v>182726</v>
      </c>
      <c r="J629" s="28">
        <v>0.99</v>
      </c>
      <c r="K629" s="28">
        <v>76</v>
      </c>
      <c r="L629" s="28">
        <v>0</v>
      </c>
    </row>
    <row r="630" spans="1:12" ht="14.25" customHeight="1" x14ac:dyDescent="0.2">
      <c r="A630" s="28">
        <v>629</v>
      </c>
      <c r="B630" s="28" t="s">
        <v>1100</v>
      </c>
      <c r="C630" s="28" t="s">
        <v>1094</v>
      </c>
      <c r="D630" s="28" t="s">
        <v>1095</v>
      </c>
      <c r="E630" s="28" t="s">
        <v>211</v>
      </c>
      <c r="F630" s="28" t="s">
        <v>305</v>
      </c>
      <c r="G630" s="28"/>
      <c r="H630" s="28">
        <v>5846041</v>
      </c>
      <c r="I630" s="28">
        <v>179800</v>
      </c>
      <c r="J630" s="28">
        <v>0.99</v>
      </c>
      <c r="K630" s="28">
        <v>54</v>
      </c>
      <c r="L630" s="28">
        <v>1</v>
      </c>
    </row>
    <row r="631" spans="1:12" ht="14.25" customHeight="1" x14ac:dyDescent="0.2">
      <c r="A631" s="28">
        <v>630</v>
      </c>
      <c r="B631" s="28" t="s">
        <v>1101</v>
      </c>
      <c r="C631" s="28" t="s">
        <v>1094</v>
      </c>
      <c r="D631" s="28" t="s">
        <v>1095</v>
      </c>
      <c r="E631" s="28" t="s">
        <v>211</v>
      </c>
      <c r="F631" s="28" t="s">
        <v>305</v>
      </c>
      <c r="G631" s="28"/>
      <c r="H631" s="28">
        <v>6603153</v>
      </c>
      <c r="I631" s="28">
        <v>204199</v>
      </c>
      <c r="J631" s="28">
        <v>0.99</v>
      </c>
      <c r="K631" s="28">
        <v>23</v>
      </c>
      <c r="L631" s="28">
        <v>1</v>
      </c>
    </row>
    <row r="632" spans="1:12" ht="14.25" customHeight="1" x14ac:dyDescent="0.2">
      <c r="A632" s="28">
        <v>631</v>
      </c>
      <c r="B632" s="28" t="s">
        <v>1102</v>
      </c>
      <c r="C632" s="28" t="s">
        <v>1094</v>
      </c>
      <c r="D632" s="28" t="s">
        <v>1095</v>
      </c>
      <c r="E632" s="28" t="s">
        <v>211</v>
      </c>
      <c r="F632" s="28" t="s">
        <v>305</v>
      </c>
      <c r="G632" s="28"/>
      <c r="H632" s="28">
        <v>6529487</v>
      </c>
      <c r="I632" s="28">
        <v>201430</v>
      </c>
      <c r="J632" s="28">
        <v>0.99</v>
      </c>
      <c r="K632" s="28">
        <v>22</v>
      </c>
      <c r="L632" s="28">
        <v>1</v>
      </c>
    </row>
    <row r="633" spans="1:12" ht="14.25" customHeight="1" x14ac:dyDescent="0.2">
      <c r="A633" s="28">
        <v>632</v>
      </c>
      <c r="B633" s="28" t="s">
        <v>1103</v>
      </c>
      <c r="C633" s="28" t="s">
        <v>1094</v>
      </c>
      <c r="D633" s="28" t="s">
        <v>1095</v>
      </c>
      <c r="E633" s="28" t="s">
        <v>211</v>
      </c>
      <c r="F633" s="28" t="s">
        <v>305</v>
      </c>
      <c r="G633" s="28"/>
      <c r="H633" s="28">
        <v>6260820</v>
      </c>
      <c r="I633" s="28">
        <v>193149</v>
      </c>
      <c r="J633" s="28">
        <v>0.99</v>
      </c>
      <c r="K633" s="28">
        <v>84</v>
      </c>
      <c r="L633" s="28">
        <v>0</v>
      </c>
    </row>
    <row r="634" spans="1:12" ht="14.25" customHeight="1" x14ac:dyDescent="0.2">
      <c r="A634" s="28">
        <v>633</v>
      </c>
      <c r="B634" s="28" t="s">
        <v>1094</v>
      </c>
      <c r="C634" s="28" t="s">
        <v>1094</v>
      </c>
      <c r="D634" s="28" t="s">
        <v>1095</v>
      </c>
      <c r="E634" s="28" t="s">
        <v>211</v>
      </c>
      <c r="F634" s="28" t="s">
        <v>305</v>
      </c>
      <c r="G634" s="28"/>
      <c r="H634" s="28">
        <v>5822645</v>
      </c>
      <c r="I634" s="28">
        <v>179565</v>
      </c>
      <c r="J634" s="28">
        <v>0.99</v>
      </c>
      <c r="K634" s="28">
        <v>45</v>
      </c>
      <c r="L634" s="28">
        <v>1</v>
      </c>
    </row>
    <row r="635" spans="1:12" ht="14.25" customHeight="1" x14ac:dyDescent="0.2">
      <c r="A635" s="28">
        <v>634</v>
      </c>
      <c r="B635" s="28" t="s">
        <v>1104</v>
      </c>
      <c r="C635" s="28" t="s">
        <v>1094</v>
      </c>
      <c r="D635" s="28" t="s">
        <v>1095</v>
      </c>
      <c r="E635" s="28" t="s">
        <v>211</v>
      </c>
      <c r="F635" s="28" t="s">
        <v>305</v>
      </c>
      <c r="G635" s="28"/>
      <c r="H635" s="28">
        <v>6093124</v>
      </c>
      <c r="I635" s="28">
        <v>189596</v>
      </c>
      <c r="J635" s="28">
        <v>0.99</v>
      </c>
      <c r="K635" s="28">
        <v>60</v>
      </c>
      <c r="L635" s="28">
        <v>1</v>
      </c>
    </row>
    <row r="636" spans="1:12" ht="14.25" customHeight="1" x14ac:dyDescent="0.2">
      <c r="A636" s="28">
        <v>635</v>
      </c>
      <c r="B636" s="28" t="s">
        <v>1105</v>
      </c>
      <c r="C636" s="28" t="s">
        <v>1094</v>
      </c>
      <c r="D636" s="28" t="s">
        <v>1095</v>
      </c>
      <c r="E636" s="28" t="s">
        <v>211</v>
      </c>
      <c r="F636" s="28" t="s">
        <v>305</v>
      </c>
      <c r="G636" s="28"/>
      <c r="H636" s="28">
        <v>6287531</v>
      </c>
      <c r="I636" s="28">
        <v>194089</v>
      </c>
      <c r="J636" s="28">
        <v>0.99</v>
      </c>
      <c r="K636" s="28">
        <v>76</v>
      </c>
      <c r="L636" s="28">
        <v>2</v>
      </c>
    </row>
    <row r="637" spans="1:12" ht="14.25" customHeight="1" x14ac:dyDescent="0.2">
      <c r="A637" s="28">
        <v>636</v>
      </c>
      <c r="B637" s="28" t="s">
        <v>1106</v>
      </c>
      <c r="C637" s="28" t="s">
        <v>1094</v>
      </c>
      <c r="D637" s="28" t="s">
        <v>1095</v>
      </c>
      <c r="E637" s="28" t="s">
        <v>211</v>
      </c>
      <c r="F637" s="28" t="s">
        <v>305</v>
      </c>
      <c r="G637" s="28"/>
      <c r="H637" s="28">
        <v>5899898</v>
      </c>
      <c r="I637" s="28">
        <v>176222</v>
      </c>
      <c r="J637" s="28">
        <v>0.99</v>
      </c>
      <c r="K637" s="28">
        <v>32</v>
      </c>
      <c r="L637" s="28">
        <v>0</v>
      </c>
    </row>
    <row r="638" spans="1:12" ht="14.25" customHeight="1" x14ac:dyDescent="0.2">
      <c r="A638" s="28">
        <v>637</v>
      </c>
      <c r="B638" s="28" t="s">
        <v>1107</v>
      </c>
      <c r="C638" s="28" t="s">
        <v>1094</v>
      </c>
      <c r="D638" s="28" t="s">
        <v>1095</v>
      </c>
      <c r="E638" s="28" t="s">
        <v>211</v>
      </c>
      <c r="F638" s="28" t="s">
        <v>305</v>
      </c>
      <c r="G638" s="28"/>
      <c r="H638" s="28">
        <v>5432236</v>
      </c>
      <c r="I638" s="28">
        <v>163030</v>
      </c>
      <c r="J638" s="28">
        <v>0.99</v>
      </c>
      <c r="K638" s="28">
        <v>93</v>
      </c>
      <c r="L638" s="28">
        <v>1</v>
      </c>
    </row>
    <row r="639" spans="1:12" ht="14.25" customHeight="1" x14ac:dyDescent="0.2">
      <c r="A639" s="28">
        <v>638</v>
      </c>
      <c r="B639" s="28" t="s">
        <v>1108</v>
      </c>
      <c r="C639" s="28" t="s">
        <v>1094</v>
      </c>
      <c r="D639" s="28" t="s">
        <v>1095</v>
      </c>
      <c r="E639" s="28" t="s">
        <v>211</v>
      </c>
      <c r="F639" s="28" t="s">
        <v>305</v>
      </c>
      <c r="G639" s="28"/>
      <c r="H639" s="28">
        <v>9444385</v>
      </c>
      <c r="I639" s="28">
        <v>289306</v>
      </c>
      <c r="J639" s="28">
        <v>0.99</v>
      </c>
      <c r="K639" s="28">
        <v>15</v>
      </c>
      <c r="L639" s="28">
        <v>0</v>
      </c>
    </row>
    <row r="640" spans="1:12" ht="14.25" customHeight="1" x14ac:dyDescent="0.2">
      <c r="A640" s="28">
        <v>639</v>
      </c>
      <c r="B640" s="28" t="s">
        <v>1109</v>
      </c>
      <c r="C640" s="28" t="s">
        <v>1094</v>
      </c>
      <c r="D640" s="28" t="s">
        <v>1095</v>
      </c>
      <c r="E640" s="28" t="s">
        <v>211</v>
      </c>
      <c r="F640" s="28" t="s">
        <v>305</v>
      </c>
      <c r="G640" s="28"/>
      <c r="H640" s="28">
        <v>9244238</v>
      </c>
      <c r="I640" s="28">
        <v>282331</v>
      </c>
      <c r="J640" s="28">
        <v>0.99</v>
      </c>
      <c r="K640" s="28">
        <v>80</v>
      </c>
      <c r="L640" s="28">
        <v>2</v>
      </c>
    </row>
    <row r="641" spans="1:12" ht="14.25" customHeight="1" x14ac:dyDescent="0.2">
      <c r="A641" s="28">
        <v>640</v>
      </c>
      <c r="B641" s="28" t="s">
        <v>1110</v>
      </c>
      <c r="C641" s="28" t="s">
        <v>1094</v>
      </c>
      <c r="D641" s="28" t="s">
        <v>1095</v>
      </c>
      <c r="E641" s="28" t="s">
        <v>211</v>
      </c>
      <c r="F641" s="28" t="s">
        <v>305</v>
      </c>
      <c r="G641" s="28"/>
      <c r="H641" s="28">
        <v>7257663</v>
      </c>
      <c r="I641" s="28">
        <v>217025</v>
      </c>
      <c r="J641" s="28">
        <v>0.99</v>
      </c>
      <c r="K641" s="28">
        <v>15</v>
      </c>
      <c r="L641" s="28">
        <v>0</v>
      </c>
    </row>
    <row r="642" spans="1:12" ht="14.25" customHeight="1" x14ac:dyDescent="0.2">
      <c r="A642" s="28">
        <v>641</v>
      </c>
      <c r="B642" s="28" t="s">
        <v>1111</v>
      </c>
      <c r="C642" s="28" t="s">
        <v>1094</v>
      </c>
      <c r="D642" s="28" t="s">
        <v>1095</v>
      </c>
      <c r="E642" s="28" t="s">
        <v>211</v>
      </c>
      <c r="F642" s="28" t="s">
        <v>305</v>
      </c>
      <c r="G642" s="28"/>
      <c r="H642" s="28">
        <v>9209827</v>
      </c>
      <c r="I642" s="28">
        <v>280163</v>
      </c>
      <c r="J642" s="28">
        <v>0.99</v>
      </c>
      <c r="K642" s="28">
        <v>18</v>
      </c>
      <c r="L642" s="28">
        <v>0</v>
      </c>
    </row>
    <row r="643" spans="1:12" ht="14.25" customHeight="1" x14ac:dyDescent="0.2">
      <c r="A643" s="28">
        <v>642</v>
      </c>
      <c r="B643" s="28" t="s">
        <v>1112</v>
      </c>
      <c r="C643" s="28" t="s">
        <v>1094</v>
      </c>
      <c r="D643" s="28" t="s">
        <v>1095</v>
      </c>
      <c r="E643" s="28" t="s">
        <v>211</v>
      </c>
      <c r="F643" s="28" t="s">
        <v>305</v>
      </c>
      <c r="G643" s="28"/>
      <c r="H643" s="28">
        <v>6536918</v>
      </c>
      <c r="I643" s="28">
        <v>198556</v>
      </c>
      <c r="J643" s="28">
        <v>0.99</v>
      </c>
      <c r="K643" s="28">
        <v>95</v>
      </c>
      <c r="L643" s="28">
        <v>0</v>
      </c>
    </row>
    <row r="644" spans="1:12" ht="14.25" customHeight="1" x14ac:dyDescent="0.2">
      <c r="A644" s="28">
        <v>643</v>
      </c>
      <c r="B644" s="28" t="s">
        <v>1113</v>
      </c>
      <c r="C644" s="28" t="s">
        <v>1094</v>
      </c>
      <c r="D644" s="28" t="s">
        <v>1095</v>
      </c>
      <c r="E644" s="28" t="s">
        <v>211</v>
      </c>
      <c r="F644" s="28" t="s">
        <v>305</v>
      </c>
      <c r="G644" s="28"/>
      <c r="H644" s="28">
        <v>6546063</v>
      </c>
      <c r="I644" s="28">
        <v>199627</v>
      </c>
      <c r="J644" s="28">
        <v>0.99</v>
      </c>
      <c r="K644" s="28">
        <v>16</v>
      </c>
      <c r="L644" s="28">
        <v>1</v>
      </c>
    </row>
    <row r="645" spans="1:12" ht="14.25" customHeight="1" x14ac:dyDescent="0.2">
      <c r="A645" s="28">
        <v>644</v>
      </c>
      <c r="B645" s="28" t="s">
        <v>1114</v>
      </c>
      <c r="C645" s="28" t="s">
        <v>1094</v>
      </c>
      <c r="D645" s="28" t="s">
        <v>1095</v>
      </c>
      <c r="E645" s="28" t="s">
        <v>211</v>
      </c>
      <c r="F645" s="28" t="s">
        <v>305</v>
      </c>
      <c r="G645" s="28"/>
      <c r="H645" s="28">
        <v>6697510</v>
      </c>
      <c r="I645" s="28">
        <v>201560</v>
      </c>
      <c r="J645" s="28">
        <v>0.99</v>
      </c>
      <c r="K645" s="28">
        <v>99</v>
      </c>
      <c r="L645" s="28">
        <v>1</v>
      </c>
    </row>
    <row r="646" spans="1:12" ht="14.25" customHeight="1" x14ac:dyDescent="0.2">
      <c r="A646" s="28">
        <v>645</v>
      </c>
      <c r="B646" s="28" t="s">
        <v>1115</v>
      </c>
      <c r="C646" s="28" t="s">
        <v>1094</v>
      </c>
      <c r="D646" s="28" t="s">
        <v>1095</v>
      </c>
      <c r="E646" s="28" t="s">
        <v>211</v>
      </c>
      <c r="F646" s="28" t="s">
        <v>305</v>
      </c>
      <c r="G646" s="28"/>
      <c r="H646" s="28">
        <v>6359750</v>
      </c>
      <c r="I646" s="28">
        <v>191268</v>
      </c>
      <c r="J646" s="28">
        <v>0.99</v>
      </c>
      <c r="K646" s="28">
        <v>20</v>
      </c>
      <c r="L646" s="28">
        <v>0</v>
      </c>
    </row>
    <row r="647" spans="1:12" ht="14.25" customHeight="1" x14ac:dyDescent="0.2">
      <c r="A647" s="28">
        <v>646</v>
      </c>
      <c r="B647" s="28" t="s">
        <v>1116</v>
      </c>
      <c r="C647" s="28" t="s">
        <v>1117</v>
      </c>
      <c r="D647" s="28" t="s">
        <v>1118</v>
      </c>
      <c r="E647" s="28" t="s">
        <v>211</v>
      </c>
      <c r="F647" s="28" t="s">
        <v>1119</v>
      </c>
      <c r="G647" s="28"/>
      <c r="H647" s="28">
        <v>13490008</v>
      </c>
      <c r="I647" s="28">
        <v>409965</v>
      </c>
      <c r="J647" s="28">
        <v>0.99</v>
      </c>
      <c r="K647" s="28">
        <v>55</v>
      </c>
      <c r="L647" s="28">
        <v>0</v>
      </c>
    </row>
    <row r="648" spans="1:12" ht="14.25" customHeight="1" x14ac:dyDescent="0.2">
      <c r="A648" s="28">
        <v>647</v>
      </c>
      <c r="B648" s="28" t="s">
        <v>1120</v>
      </c>
      <c r="C648" s="28" t="s">
        <v>1117</v>
      </c>
      <c r="D648" s="28" t="s">
        <v>1118</v>
      </c>
      <c r="E648" s="28" t="s">
        <v>211</v>
      </c>
      <c r="F648" s="28" t="s">
        <v>1119</v>
      </c>
      <c r="G648" s="28"/>
      <c r="H648" s="28">
        <v>13125975</v>
      </c>
      <c r="I648" s="28">
        <v>392437</v>
      </c>
      <c r="J648" s="28">
        <v>0.99</v>
      </c>
      <c r="K648" s="28">
        <v>29</v>
      </c>
      <c r="L648" s="28">
        <v>1</v>
      </c>
    </row>
    <row r="649" spans="1:12" ht="14.25" customHeight="1" x14ac:dyDescent="0.2">
      <c r="A649" s="28">
        <v>648</v>
      </c>
      <c r="B649" s="28" t="s">
        <v>1121</v>
      </c>
      <c r="C649" s="28" t="s">
        <v>1117</v>
      </c>
      <c r="D649" s="28" t="s">
        <v>1118</v>
      </c>
      <c r="E649" s="28" t="s">
        <v>211</v>
      </c>
      <c r="F649" s="28" t="s">
        <v>1119</v>
      </c>
      <c r="G649" s="28"/>
      <c r="H649" s="28">
        <v>5550356</v>
      </c>
      <c r="I649" s="28">
        <v>168437</v>
      </c>
      <c r="J649" s="28">
        <v>0.99</v>
      </c>
      <c r="K649" s="28">
        <v>60</v>
      </c>
      <c r="L649" s="28">
        <v>2</v>
      </c>
    </row>
    <row r="650" spans="1:12" ht="14.25" customHeight="1" x14ac:dyDescent="0.2">
      <c r="A650" s="28">
        <v>649</v>
      </c>
      <c r="B650" s="28" t="s">
        <v>1122</v>
      </c>
      <c r="C650" s="28" t="s">
        <v>1117</v>
      </c>
      <c r="D650" s="28" t="s">
        <v>1118</v>
      </c>
      <c r="E650" s="28" t="s">
        <v>211</v>
      </c>
      <c r="F650" s="28" t="s">
        <v>1119</v>
      </c>
      <c r="G650" s="28"/>
      <c r="H650" s="28">
        <v>5676090</v>
      </c>
      <c r="I650" s="28">
        <v>170631</v>
      </c>
      <c r="J650" s="28">
        <v>0.99</v>
      </c>
      <c r="K650" s="28">
        <v>1</v>
      </c>
      <c r="L650" s="28">
        <v>1</v>
      </c>
    </row>
    <row r="651" spans="1:12" ht="14.25" customHeight="1" x14ac:dyDescent="0.2">
      <c r="A651" s="28">
        <v>650</v>
      </c>
      <c r="B651" s="28" t="s">
        <v>1123</v>
      </c>
      <c r="C651" s="28" t="s">
        <v>1117</v>
      </c>
      <c r="D651" s="28" t="s">
        <v>1118</v>
      </c>
      <c r="E651" s="28" t="s">
        <v>211</v>
      </c>
      <c r="F651" s="28" t="s">
        <v>1119</v>
      </c>
      <c r="G651" s="28"/>
      <c r="H651" s="28">
        <v>6771624</v>
      </c>
      <c r="I651" s="28">
        <v>204956</v>
      </c>
      <c r="J651" s="28">
        <v>0.99</v>
      </c>
      <c r="K651" s="28">
        <v>10</v>
      </c>
      <c r="L651" s="28">
        <v>1</v>
      </c>
    </row>
    <row r="652" spans="1:12" ht="14.25" customHeight="1" x14ac:dyDescent="0.2">
      <c r="A652" s="28">
        <v>651</v>
      </c>
      <c r="B652" s="28" t="s">
        <v>1124</v>
      </c>
      <c r="C652" s="28" t="s">
        <v>1117</v>
      </c>
      <c r="D652" s="28" t="s">
        <v>1118</v>
      </c>
      <c r="E652" s="28" t="s">
        <v>211</v>
      </c>
      <c r="F652" s="28" t="s">
        <v>1119</v>
      </c>
      <c r="G652" s="28"/>
      <c r="H652" s="28">
        <v>7117769</v>
      </c>
      <c r="I652" s="28">
        <v>219898</v>
      </c>
      <c r="J652" s="28">
        <v>0.99</v>
      </c>
      <c r="K652" s="28">
        <v>14</v>
      </c>
      <c r="L652" s="28">
        <v>1</v>
      </c>
    </row>
    <row r="653" spans="1:12" ht="14.25" customHeight="1" x14ac:dyDescent="0.2">
      <c r="A653" s="28">
        <v>652</v>
      </c>
      <c r="B653" s="28" t="s">
        <v>1125</v>
      </c>
      <c r="C653" s="28" t="s">
        <v>1117</v>
      </c>
      <c r="D653" s="28" t="s">
        <v>1118</v>
      </c>
      <c r="E653" s="28" t="s">
        <v>211</v>
      </c>
      <c r="F653" s="28" t="s">
        <v>1119</v>
      </c>
      <c r="G653" s="28"/>
      <c r="H653" s="28">
        <v>4560873</v>
      </c>
      <c r="I653" s="28">
        <v>137482</v>
      </c>
      <c r="J653" s="28">
        <v>0.99</v>
      </c>
      <c r="K653" s="28">
        <v>52</v>
      </c>
      <c r="L653" s="28">
        <v>1</v>
      </c>
    </row>
    <row r="654" spans="1:12" ht="14.25" customHeight="1" x14ac:dyDescent="0.2">
      <c r="A654" s="28">
        <v>653</v>
      </c>
      <c r="B654" s="28" t="s">
        <v>1126</v>
      </c>
      <c r="C654" s="28" t="s">
        <v>1117</v>
      </c>
      <c r="D654" s="28" t="s">
        <v>1118</v>
      </c>
      <c r="E654" s="28" t="s">
        <v>211</v>
      </c>
      <c r="F654" s="28" t="s">
        <v>1119</v>
      </c>
      <c r="G654" s="28"/>
      <c r="H654" s="28">
        <v>7541177</v>
      </c>
      <c r="I654" s="28">
        <v>226168</v>
      </c>
      <c r="J654" s="28">
        <v>0.99</v>
      </c>
      <c r="K654" s="28">
        <v>20</v>
      </c>
      <c r="L654" s="28">
        <v>1</v>
      </c>
    </row>
    <row r="655" spans="1:12" ht="14.25" customHeight="1" x14ac:dyDescent="0.2">
      <c r="A655" s="28">
        <v>654</v>
      </c>
      <c r="B655" s="28" t="s">
        <v>1127</v>
      </c>
      <c r="C655" s="28" t="s">
        <v>1117</v>
      </c>
      <c r="D655" s="28" t="s">
        <v>1118</v>
      </c>
      <c r="E655" s="28" t="s">
        <v>211</v>
      </c>
      <c r="F655" s="28" t="s">
        <v>1119</v>
      </c>
      <c r="G655" s="28"/>
      <c r="H655" s="28">
        <v>7927967</v>
      </c>
      <c r="I655" s="28">
        <v>244297</v>
      </c>
      <c r="J655" s="28">
        <v>0.99</v>
      </c>
      <c r="K655" s="28">
        <v>33</v>
      </c>
      <c r="L655" s="28">
        <v>1</v>
      </c>
    </row>
    <row r="656" spans="1:12" ht="14.25" customHeight="1" x14ac:dyDescent="0.2">
      <c r="A656" s="28">
        <v>655</v>
      </c>
      <c r="B656" s="28" t="s">
        <v>1128</v>
      </c>
      <c r="C656" s="28" t="s">
        <v>1117</v>
      </c>
      <c r="D656" s="28" t="s">
        <v>1118</v>
      </c>
      <c r="E656" s="28" t="s">
        <v>211</v>
      </c>
      <c r="F656" s="28" t="s">
        <v>1119</v>
      </c>
      <c r="G656" s="28"/>
      <c r="H656" s="28">
        <v>5371483</v>
      </c>
      <c r="I656" s="28">
        <v>162142</v>
      </c>
      <c r="J656" s="28">
        <v>0.99</v>
      </c>
      <c r="K656" s="28">
        <v>21</v>
      </c>
      <c r="L656" s="28">
        <v>1</v>
      </c>
    </row>
    <row r="657" spans="1:12" ht="14.25" customHeight="1" x14ac:dyDescent="0.2">
      <c r="A657" s="28">
        <v>656</v>
      </c>
      <c r="B657" s="28" t="s">
        <v>1129</v>
      </c>
      <c r="C657" s="28" t="s">
        <v>1117</v>
      </c>
      <c r="D657" s="28" t="s">
        <v>1118</v>
      </c>
      <c r="E657" s="28" t="s">
        <v>211</v>
      </c>
      <c r="F657" s="28" t="s">
        <v>1119</v>
      </c>
      <c r="G657" s="28"/>
      <c r="H657" s="28">
        <v>6335548</v>
      </c>
      <c r="I657" s="28">
        <v>190667</v>
      </c>
      <c r="J657" s="28">
        <v>0.99</v>
      </c>
      <c r="K657" s="28">
        <v>46</v>
      </c>
      <c r="L657" s="28">
        <v>1</v>
      </c>
    </row>
    <row r="658" spans="1:12" ht="14.25" customHeight="1" x14ac:dyDescent="0.2">
      <c r="A658" s="28">
        <v>657</v>
      </c>
      <c r="B658" s="28" t="s">
        <v>1130</v>
      </c>
      <c r="C658" s="28" t="s">
        <v>1117</v>
      </c>
      <c r="D658" s="28" t="s">
        <v>1118</v>
      </c>
      <c r="E658" s="28" t="s">
        <v>211</v>
      </c>
      <c r="F658" s="28" t="s">
        <v>1119</v>
      </c>
      <c r="G658" s="28"/>
      <c r="H658" s="28">
        <v>5932799</v>
      </c>
      <c r="I658" s="28">
        <v>179826</v>
      </c>
      <c r="J658" s="28">
        <v>0.99</v>
      </c>
      <c r="K658" s="28">
        <v>27</v>
      </c>
      <c r="L658" s="28">
        <v>1</v>
      </c>
    </row>
    <row r="659" spans="1:12" ht="14.25" customHeight="1" x14ac:dyDescent="0.2">
      <c r="A659" s="28">
        <v>658</v>
      </c>
      <c r="B659" s="28" t="s">
        <v>1131</v>
      </c>
      <c r="C659" s="28" t="s">
        <v>1117</v>
      </c>
      <c r="D659" s="28" t="s">
        <v>1118</v>
      </c>
      <c r="E659" s="28" t="s">
        <v>211</v>
      </c>
      <c r="F659" s="28" t="s">
        <v>1119</v>
      </c>
      <c r="G659" s="28"/>
      <c r="H659" s="28">
        <v>6878359</v>
      </c>
      <c r="I659" s="28">
        <v>211748</v>
      </c>
      <c r="J659" s="28">
        <v>0.99</v>
      </c>
      <c r="K659" s="28">
        <v>49</v>
      </c>
      <c r="L659" s="28">
        <v>1</v>
      </c>
    </row>
    <row r="660" spans="1:12" ht="14.25" customHeight="1" x14ac:dyDescent="0.2">
      <c r="A660" s="28">
        <v>659</v>
      </c>
      <c r="B660" s="28" t="s">
        <v>1132</v>
      </c>
      <c r="C660" s="28" t="s">
        <v>1117</v>
      </c>
      <c r="D660" s="28" t="s">
        <v>1118</v>
      </c>
      <c r="E660" s="28" t="s">
        <v>211</v>
      </c>
      <c r="F660" s="28" t="s">
        <v>1119</v>
      </c>
      <c r="G660" s="28"/>
      <c r="H660" s="28">
        <v>6923473</v>
      </c>
      <c r="I660" s="28">
        <v>212636</v>
      </c>
      <c r="J660" s="28">
        <v>0.99</v>
      </c>
      <c r="K660" s="28">
        <v>10</v>
      </c>
      <c r="L660" s="28">
        <v>1</v>
      </c>
    </row>
    <row r="661" spans="1:12" ht="14.25" customHeight="1" x14ac:dyDescent="0.2">
      <c r="A661" s="28">
        <v>660</v>
      </c>
      <c r="B661" s="28" t="s">
        <v>1133</v>
      </c>
      <c r="C661" s="28" t="s">
        <v>1117</v>
      </c>
      <c r="D661" s="28" t="s">
        <v>1118</v>
      </c>
      <c r="E661" s="28" t="s">
        <v>211</v>
      </c>
      <c r="F661" s="28" t="s">
        <v>1119</v>
      </c>
      <c r="G661" s="28"/>
      <c r="H661" s="28">
        <v>5382354</v>
      </c>
      <c r="I661" s="28">
        <v>162560</v>
      </c>
      <c r="J661" s="28">
        <v>0.99</v>
      </c>
      <c r="K661" s="28">
        <v>42</v>
      </c>
      <c r="L661" s="28">
        <v>1</v>
      </c>
    </row>
    <row r="662" spans="1:12" ht="14.25" customHeight="1" x14ac:dyDescent="0.2">
      <c r="A662" s="28">
        <v>661</v>
      </c>
      <c r="B662" s="28" t="s">
        <v>1134</v>
      </c>
      <c r="C662" s="28" t="s">
        <v>1135</v>
      </c>
      <c r="D662" s="28" t="s">
        <v>639</v>
      </c>
      <c r="E662" s="28" t="s">
        <v>211</v>
      </c>
      <c r="F662" s="28" t="s">
        <v>490</v>
      </c>
      <c r="G662" s="28"/>
      <c r="H662" s="28">
        <v>7902328</v>
      </c>
      <c r="I662" s="28">
        <v>230948</v>
      </c>
      <c r="J662" s="28">
        <v>0.99</v>
      </c>
      <c r="K662" s="28">
        <v>5</v>
      </c>
      <c r="L662" s="28">
        <v>0</v>
      </c>
    </row>
    <row r="663" spans="1:12" ht="14.25" customHeight="1" x14ac:dyDescent="0.2">
      <c r="A663" s="28">
        <v>662</v>
      </c>
      <c r="B663" s="28" t="s">
        <v>1136</v>
      </c>
      <c r="C663" s="28" t="s">
        <v>1135</v>
      </c>
      <c r="D663" s="28" t="s">
        <v>639</v>
      </c>
      <c r="E663" s="28" t="s">
        <v>211</v>
      </c>
      <c r="F663" s="28" t="s">
        <v>490</v>
      </c>
      <c r="G663" s="28"/>
      <c r="H663" s="28">
        <v>5399626</v>
      </c>
      <c r="I663" s="28">
        <v>163970</v>
      </c>
      <c r="J663" s="28">
        <v>0.99</v>
      </c>
      <c r="K663" s="28">
        <v>30</v>
      </c>
      <c r="L663" s="28">
        <v>2</v>
      </c>
    </row>
    <row r="664" spans="1:12" ht="14.25" customHeight="1" x14ac:dyDescent="0.2">
      <c r="A664" s="28">
        <v>663</v>
      </c>
      <c r="B664" s="28" t="s">
        <v>1137</v>
      </c>
      <c r="C664" s="28" t="s">
        <v>1135</v>
      </c>
      <c r="D664" s="28" t="s">
        <v>639</v>
      </c>
      <c r="E664" s="28" t="s">
        <v>211</v>
      </c>
      <c r="F664" s="28" t="s">
        <v>490</v>
      </c>
      <c r="G664" s="28"/>
      <c r="H664" s="28">
        <v>9016916</v>
      </c>
      <c r="I664" s="28">
        <v>274834</v>
      </c>
      <c r="J664" s="28">
        <v>0.99</v>
      </c>
      <c r="K664" s="28">
        <v>36</v>
      </c>
      <c r="L664" s="28">
        <v>1</v>
      </c>
    </row>
    <row r="665" spans="1:12" ht="14.25" customHeight="1" x14ac:dyDescent="0.2">
      <c r="A665" s="28">
        <v>664</v>
      </c>
      <c r="B665" s="28" t="s">
        <v>1138</v>
      </c>
      <c r="C665" s="28" t="s">
        <v>1135</v>
      </c>
      <c r="D665" s="28" t="s">
        <v>639</v>
      </c>
      <c r="E665" s="28" t="s">
        <v>211</v>
      </c>
      <c r="F665" s="28" t="s">
        <v>490</v>
      </c>
      <c r="G665" s="28"/>
      <c r="H665" s="28">
        <v>5523628</v>
      </c>
      <c r="I665" s="28">
        <v>172643</v>
      </c>
      <c r="J665" s="28">
        <v>0.99</v>
      </c>
      <c r="K665" s="28">
        <v>46</v>
      </c>
      <c r="L665" s="28">
        <v>0</v>
      </c>
    </row>
    <row r="666" spans="1:12" ht="14.25" customHeight="1" x14ac:dyDescent="0.2">
      <c r="A666" s="28">
        <v>665</v>
      </c>
      <c r="B666" s="28" t="s">
        <v>1139</v>
      </c>
      <c r="C666" s="28" t="s">
        <v>1135</v>
      </c>
      <c r="D666" s="28" t="s">
        <v>639</v>
      </c>
      <c r="E666" s="28" t="s">
        <v>211</v>
      </c>
      <c r="F666" s="28" t="s">
        <v>490</v>
      </c>
      <c r="G666" s="28"/>
      <c r="H666" s="28">
        <v>8480140</v>
      </c>
      <c r="I666" s="28">
        <v>259944</v>
      </c>
      <c r="J666" s="28">
        <v>0.99</v>
      </c>
      <c r="K666" s="28">
        <v>49</v>
      </c>
      <c r="L666" s="28">
        <v>0</v>
      </c>
    </row>
    <row r="667" spans="1:12" ht="14.25" customHeight="1" x14ac:dyDescent="0.2">
      <c r="A667" s="28">
        <v>666</v>
      </c>
      <c r="B667" s="28" t="s">
        <v>1140</v>
      </c>
      <c r="C667" s="28" t="s">
        <v>1135</v>
      </c>
      <c r="D667" s="28" t="s">
        <v>639</v>
      </c>
      <c r="E667" s="28" t="s">
        <v>211</v>
      </c>
      <c r="F667" s="28" t="s">
        <v>490</v>
      </c>
      <c r="G667" s="28"/>
      <c r="H667" s="28">
        <v>8380320</v>
      </c>
      <c r="I667" s="28">
        <v>258194</v>
      </c>
      <c r="J667" s="28">
        <v>0.99</v>
      </c>
      <c r="K667" s="28">
        <v>40</v>
      </c>
      <c r="L667" s="28">
        <v>1</v>
      </c>
    </row>
    <row r="668" spans="1:12" ht="14.25" customHeight="1" x14ac:dyDescent="0.2">
      <c r="A668" s="28">
        <v>667</v>
      </c>
      <c r="B668" s="28" t="s">
        <v>1141</v>
      </c>
      <c r="C668" s="28" t="s">
        <v>1135</v>
      </c>
      <c r="D668" s="28" t="s">
        <v>639</v>
      </c>
      <c r="E668" s="28" t="s">
        <v>211</v>
      </c>
      <c r="F668" s="28" t="s">
        <v>490</v>
      </c>
      <c r="G668" s="28"/>
      <c r="H668" s="28">
        <v>7991295</v>
      </c>
      <c r="I668" s="28">
        <v>243356</v>
      </c>
      <c r="J668" s="28">
        <v>0.99</v>
      </c>
      <c r="K668" s="28">
        <v>28</v>
      </c>
      <c r="L668" s="28">
        <v>0</v>
      </c>
    </row>
    <row r="669" spans="1:12" ht="14.25" customHeight="1" x14ac:dyDescent="0.2">
      <c r="A669" s="28">
        <v>668</v>
      </c>
      <c r="B669" s="28" t="s">
        <v>1142</v>
      </c>
      <c r="C669" s="28" t="s">
        <v>1135</v>
      </c>
      <c r="D669" s="28" t="s">
        <v>639</v>
      </c>
      <c r="E669" s="28" t="s">
        <v>211</v>
      </c>
      <c r="F669" s="28" t="s">
        <v>490</v>
      </c>
      <c r="G669" s="28"/>
      <c r="H669" s="28">
        <v>6851151</v>
      </c>
      <c r="I669" s="28">
        <v>206994</v>
      </c>
      <c r="J669" s="28">
        <v>0.99</v>
      </c>
      <c r="K669" s="28">
        <v>88</v>
      </c>
      <c r="L669" s="28">
        <v>0</v>
      </c>
    </row>
    <row r="670" spans="1:12" ht="14.25" customHeight="1" x14ac:dyDescent="0.2">
      <c r="A670" s="28">
        <v>669</v>
      </c>
      <c r="B670" s="28" t="s">
        <v>1143</v>
      </c>
      <c r="C670" s="28" t="s">
        <v>1135</v>
      </c>
      <c r="D670" s="28" t="s">
        <v>639</v>
      </c>
      <c r="E670" s="28" t="s">
        <v>211</v>
      </c>
      <c r="F670" s="28" t="s">
        <v>490</v>
      </c>
      <c r="G670" s="28"/>
      <c r="H670" s="28">
        <v>7751360</v>
      </c>
      <c r="I670" s="28">
        <v>238341</v>
      </c>
      <c r="J670" s="28">
        <v>0.99</v>
      </c>
      <c r="K670" s="28">
        <v>18</v>
      </c>
      <c r="L670" s="28">
        <v>1</v>
      </c>
    </row>
    <row r="671" spans="1:12" ht="14.25" customHeight="1" x14ac:dyDescent="0.2">
      <c r="A671" s="28">
        <v>670</v>
      </c>
      <c r="B671" s="28" t="s">
        <v>1144</v>
      </c>
      <c r="C671" s="28" t="s">
        <v>1135</v>
      </c>
      <c r="D671" s="28" t="s">
        <v>639</v>
      </c>
      <c r="E671" s="28" t="s">
        <v>211</v>
      </c>
      <c r="F671" s="28" t="s">
        <v>490</v>
      </c>
      <c r="G671" s="28"/>
      <c r="H671" s="28">
        <v>8033885</v>
      </c>
      <c r="I671" s="28">
        <v>244793</v>
      </c>
      <c r="J671" s="28">
        <v>0.99</v>
      </c>
      <c r="K671" s="28">
        <v>34</v>
      </c>
      <c r="L671" s="28">
        <v>1</v>
      </c>
    </row>
    <row r="672" spans="1:12" ht="14.25" customHeight="1" x14ac:dyDescent="0.2">
      <c r="A672" s="28">
        <v>671</v>
      </c>
      <c r="B672" s="28" t="s">
        <v>1145</v>
      </c>
      <c r="C672" s="28" t="s">
        <v>1135</v>
      </c>
      <c r="D672" s="28" t="s">
        <v>639</v>
      </c>
      <c r="E672" s="28" t="s">
        <v>211</v>
      </c>
      <c r="F672" s="28" t="s">
        <v>490</v>
      </c>
      <c r="G672" s="28"/>
      <c r="H672" s="28">
        <v>3836641</v>
      </c>
      <c r="I672" s="28">
        <v>116767</v>
      </c>
      <c r="J672" s="28">
        <v>0.99</v>
      </c>
      <c r="K672" s="28">
        <v>69</v>
      </c>
      <c r="L672" s="28">
        <v>2</v>
      </c>
    </row>
    <row r="673" spans="1:12" ht="14.25" customHeight="1" x14ac:dyDescent="0.2">
      <c r="A673" s="28">
        <v>672</v>
      </c>
      <c r="B673" s="28" t="s">
        <v>1146</v>
      </c>
      <c r="C673" s="28" t="s">
        <v>1135</v>
      </c>
      <c r="D673" s="28" t="s">
        <v>639</v>
      </c>
      <c r="E673" s="28" t="s">
        <v>211</v>
      </c>
      <c r="F673" s="28" t="s">
        <v>490</v>
      </c>
      <c r="G673" s="28"/>
      <c r="H673" s="28">
        <v>4298006</v>
      </c>
      <c r="I673" s="28">
        <v>130063</v>
      </c>
      <c r="J673" s="28">
        <v>0.99</v>
      </c>
      <c r="K673" s="28">
        <v>10</v>
      </c>
      <c r="L673" s="28">
        <v>1</v>
      </c>
    </row>
    <row r="674" spans="1:12" ht="14.25" customHeight="1" x14ac:dyDescent="0.2">
      <c r="A674" s="28">
        <v>673</v>
      </c>
      <c r="B674" s="28" t="s">
        <v>1147</v>
      </c>
      <c r="C674" s="28" t="s">
        <v>1135</v>
      </c>
      <c r="D674" s="28" t="s">
        <v>639</v>
      </c>
      <c r="E674" s="28" t="s">
        <v>211</v>
      </c>
      <c r="F674" s="28" t="s">
        <v>490</v>
      </c>
      <c r="G674" s="28"/>
      <c r="H674" s="28">
        <v>5767474</v>
      </c>
      <c r="I674" s="28">
        <v>174367</v>
      </c>
      <c r="J674" s="28">
        <v>0.99</v>
      </c>
      <c r="K674" s="28">
        <v>94</v>
      </c>
      <c r="L674" s="28">
        <v>1</v>
      </c>
    </row>
    <row r="675" spans="1:12" ht="14.25" customHeight="1" x14ac:dyDescent="0.2">
      <c r="A675" s="28">
        <v>674</v>
      </c>
      <c r="B675" s="28" t="s">
        <v>1148</v>
      </c>
      <c r="C675" s="28" t="s">
        <v>1135</v>
      </c>
      <c r="D675" s="28" t="s">
        <v>639</v>
      </c>
      <c r="E675" s="28" t="s">
        <v>211</v>
      </c>
      <c r="F675" s="28" t="s">
        <v>490</v>
      </c>
      <c r="G675" s="28"/>
      <c r="H675" s="28">
        <v>4642359</v>
      </c>
      <c r="I675" s="28">
        <v>143464</v>
      </c>
      <c r="J675" s="28">
        <v>0.99</v>
      </c>
      <c r="K675" s="28">
        <v>40</v>
      </c>
      <c r="L675" s="28">
        <v>1</v>
      </c>
    </row>
    <row r="676" spans="1:12" ht="14.25" customHeight="1" x14ac:dyDescent="0.2">
      <c r="A676" s="28">
        <v>675</v>
      </c>
      <c r="B676" s="28" t="s">
        <v>1149</v>
      </c>
      <c r="C676" s="28" t="s">
        <v>1150</v>
      </c>
      <c r="D676" s="28" t="s">
        <v>1151</v>
      </c>
      <c r="E676" s="28" t="s">
        <v>211</v>
      </c>
      <c r="F676" s="28" t="s">
        <v>212</v>
      </c>
      <c r="G676" s="28" t="s">
        <v>1152</v>
      </c>
      <c r="H676" s="28">
        <v>9043825</v>
      </c>
      <c r="I676" s="28">
        <v>275565</v>
      </c>
      <c r="J676" s="28">
        <v>0.99</v>
      </c>
      <c r="K676" s="28">
        <v>69</v>
      </c>
      <c r="L676" s="28">
        <v>2</v>
      </c>
    </row>
    <row r="677" spans="1:12" ht="14.25" customHeight="1" x14ac:dyDescent="0.2">
      <c r="A677" s="28">
        <v>676</v>
      </c>
      <c r="B677" s="28" t="s">
        <v>1153</v>
      </c>
      <c r="C677" s="28" t="s">
        <v>1150</v>
      </c>
      <c r="D677" s="28" t="s">
        <v>1151</v>
      </c>
      <c r="E677" s="28" t="s">
        <v>211</v>
      </c>
      <c r="F677" s="28" t="s">
        <v>212</v>
      </c>
      <c r="G677" s="28" t="s">
        <v>1154</v>
      </c>
      <c r="H677" s="28">
        <v>8943000</v>
      </c>
      <c r="I677" s="28">
        <v>272091</v>
      </c>
      <c r="J677" s="28">
        <v>0.99</v>
      </c>
      <c r="K677" s="28">
        <v>2</v>
      </c>
      <c r="L677" s="28">
        <v>0</v>
      </c>
    </row>
    <row r="678" spans="1:12" ht="14.25" customHeight="1" x14ac:dyDescent="0.2">
      <c r="A678" s="28">
        <v>677</v>
      </c>
      <c r="B678" s="28" t="s">
        <v>1155</v>
      </c>
      <c r="C678" s="28" t="s">
        <v>1150</v>
      </c>
      <c r="D678" s="28" t="s">
        <v>1151</v>
      </c>
      <c r="E678" s="28" t="s">
        <v>211</v>
      </c>
      <c r="F678" s="28" t="s">
        <v>212</v>
      </c>
      <c r="G678" s="28" t="s">
        <v>1156</v>
      </c>
      <c r="H678" s="28">
        <v>6229590</v>
      </c>
      <c r="I678" s="28">
        <v>189022</v>
      </c>
      <c r="J678" s="28">
        <v>0.99</v>
      </c>
      <c r="K678" s="28">
        <v>84</v>
      </c>
      <c r="L678" s="28">
        <v>1</v>
      </c>
    </row>
    <row r="679" spans="1:12" ht="14.25" customHeight="1" x14ac:dyDescent="0.2">
      <c r="A679" s="28">
        <v>678</v>
      </c>
      <c r="B679" s="28" t="s">
        <v>1157</v>
      </c>
      <c r="C679" s="28" t="s">
        <v>1150</v>
      </c>
      <c r="D679" s="28" t="s">
        <v>1151</v>
      </c>
      <c r="E679" s="28" t="s">
        <v>211</v>
      </c>
      <c r="F679" s="28" t="s">
        <v>212</v>
      </c>
      <c r="G679" s="28" t="s">
        <v>1156</v>
      </c>
      <c r="H679" s="28">
        <v>4609835</v>
      </c>
      <c r="I679" s="28">
        <v>140146</v>
      </c>
      <c r="J679" s="28">
        <v>0.99</v>
      </c>
      <c r="K679" s="28">
        <v>20</v>
      </c>
      <c r="L679" s="28">
        <v>1</v>
      </c>
    </row>
    <row r="680" spans="1:12" ht="14.25" customHeight="1" x14ac:dyDescent="0.2">
      <c r="A680" s="28">
        <v>679</v>
      </c>
      <c r="B680" s="28" t="s">
        <v>1158</v>
      </c>
      <c r="C680" s="28" t="s">
        <v>1150</v>
      </c>
      <c r="D680" s="28" t="s">
        <v>1151</v>
      </c>
      <c r="E680" s="28" t="s">
        <v>211</v>
      </c>
      <c r="F680" s="28" t="s">
        <v>212</v>
      </c>
      <c r="G680" s="28" t="s">
        <v>1156</v>
      </c>
      <c r="H680" s="28">
        <v>6260214</v>
      </c>
      <c r="I680" s="28">
        <v>191451</v>
      </c>
      <c r="J680" s="28">
        <v>0.99</v>
      </c>
      <c r="K680" s="28">
        <v>96</v>
      </c>
      <c r="L680" s="28">
        <v>1</v>
      </c>
    </row>
    <row r="681" spans="1:12" ht="14.25" customHeight="1" x14ac:dyDescent="0.2">
      <c r="A681" s="28">
        <v>680</v>
      </c>
      <c r="B681" s="28" t="s">
        <v>1159</v>
      </c>
      <c r="C681" s="28" t="s">
        <v>1150</v>
      </c>
      <c r="D681" s="28" t="s">
        <v>1151</v>
      </c>
      <c r="E681" s="28" t="s">
        <v>211</v>
      </c>
      <c r="F681" s="28" t="s">
        <v>212</v>
      </c>
      <c r="G681" s="28" t="s">
        <v>1156</v>
      </c>
      <c r="H681" s="28">
        <v>5105874</v>
      </c>
      <c r="I681" s="28">
        <v>154279</v>
      </c>
      <c r="J681" s="28">
        <v>0.99</v>
      </c>
      <c r="K681" s="28">
        <v>73</v>
      </c>
      <c r="L681" s="28">
        <v>1</v>
      </c>
    </row>
    <row r="682" spans="1:12" ht="14.25" customHeight="1" x14ac:dyDescent="0.2">
      <c r="A682" s="28">
        <v>681</v>
      </c>
      <c r="B682" s="28" t="s">
        <v>1160</v>
      </c>
      <c r="C682" s="28" t="s">
        <v>1150</v>
      </c>
      <c r="D682" s="28" t="s">
        <v>1151</v>
      </c>
      <c r="E682" s="28" t="s">
        <v>211</v>
      </c>
      <c r="F682" s="28" t="s">
        <v>212</v>
      </c>
      <c r="G682" s="28" t="s">
        <v>1156</v>
      </c>
      <c r="H682" s="28">
        <v>5354252</v>
      </c>
      <c r="I682" s="28">
        <v>162899</v>
      </c>
      <c r="J682" s="28">
        <v>0.99</v>
      </c>
      <c r="K682" s="28">
        <v>71</v>
      </c>
      <c r="L682" s="28">
        <v>2</v>
      </c>
    </row>
    <row r="683" spans="1:12" ht="14.25" customHeight="1" x14ac:dyDescent="0.2">
      <c r="A683" s="28">
        <v>682</v>
      </c>
      <c r="B683" s="28" t="s">
        <v>1161</v>
      </c>
      <c r="C683" s="28" t="s">
        <v>1150</v>
      </c>
      <c r="D683" s="28" t="s">
        <v>1151</v>
      </c>
      <c r="E683" s="28" t="s">
        <v>211</v>
      </c>
      <c r="F683" s="28" t="s">
        <v>212</v>
      </c>
      <c r="G683" s="28" t="s">
        <v>1156</v>
      </c>
      <c r="H683" s="28">
        <v>5521804</v>
      </c>
      <c r="I683" s="28">
        <v>164858</v>
      </c>
      <c r="J683" s="28">
        <v>0.99</v>
      </c>
      <c r="K683" s="28">
        <v>18</v>
      </c>
      <c r="L683" s="28">
        <v>1</v>
      </c>
    </row>
    <row r="684" spans="1:12" ht="14.25" customHeight="1" x14ac:dyDescent="0.2">
      <c r="A684" s="28">
        <v>683</v>
      </c>
      <c r="B684" s="28" t="s">
        <v>1162</v>
      </c>
      <c r="C684" s="28" t="s">
        <v>1150</v>
      </c>
      <c r="D684" s="28" t="s">
        <v>1151</v>
      </c>
      <c r="E684" s="28" t="s">
        <v>211</v>
      </c>
      <c r="F684" s="28" t="s">
        <v>212</v>
      </c>
      <c r="G684" s="28" t="s">
        <v>1156</v>
      </c>
      <c r="H684" s="28">
        <v>4617559</v>
      </c>
      <c r="I684" s="28">
        <v>140329</v>
      </c>
      <c r="J684" s="28">
        <v>0.99</v>
      </c>
      <c r="K684" s="28">
        <v>2</v>
      </c>
      <c r="L684" s="28">
        <v>1</v>
      </c>
    </row>
    <row r="685" spans="1:12" ht="14.25" customHeight="1" x14ac:dyDescent="0.2">
      <c r="A685" s="28">
        <v>684</v>
      </c>
      <c r="B685" s="28" t="s">
        <v>1163</v>
      </c>
      <c r="C685" s="28" t="s">
        <v>1150</v>
      </c>
      <c r="D685" s="28" t="s">
        <v>1151</v>
      </c>
      <c r="E685" s="28" t="s">
        <v>211</v>
      </c>
      <c r="F685" s="28" t="s">
        <v>212</v>
      </c>
      <c r="G685" s="28" t="s">
        <v>1156</v>
      </c>
      <c r="H685" s="28">
        <v>4270414</v>
      </c>
      <c r="I685" s="28">
        <v>129358</v>
      </c>
      <c r="J685" s="28">
        <v>0.99</v>
      </c>
      <c r="K685" s="28">
        <v>93</v>
      </c>
      <c r="L685" s="28">
        <v>0</v>
      </c>
    </row>
    <row r="686" spans="1:12" ht="14.25" customHeight="1" x14ac:dyDescent="0.2">
      <c r="A686" s="28">
        <v>685</v>
      </c>
      <c r="B686" s="28" t="s">
        <v>1164</v>
      </c>
      <c r="C686" s="28" t="s">
        <v>1150</v>
      </c>
      <c r="D686" s="28" t="s">
        <v>1151</v>
      </c>
      <c r="E686" s="28" t="s">
        <v>211</v>
      </c>
      <c r="F686" s="28" t="s">
        <v>212</v>
      </c>
      <c r="G686" s="28" t="s">
        <v>1156</v>
      </c>
      <c r="H686" s="28">
        <v>4899579</v>
      </c>
      <c r="I686" s="28">
        <v>149394</v>
      </c>
      <c r="J686" s="28">
        <v>0.99</v>
      </c>
      <c r="K686" s="28">
        <v>83</v>
      </c>
      <c r="L686" s="28">
        <v>1</v>
      </c>
    </row>
    <row r="687" spans="1:12" ht="14.25" customHeight="1" x14ac:dyDescent="0.2">
      <c r="A687" s="28">
        <v>686</v>
      </c>
      <c r="B687" s="28" t="s">
        <v>1165</v>
      </c>
      <c r="C687" s="28" t="s">
        <v>1150</v>
      </c>
      <c r="D687" s="28" t="s">
        <v>1151</v>
      </c>
      <c r="E687" s="28" t="s">
        <v>211</v>
      </c>
      <c r="F687" s="28" t="s">
        <v>212</v>
      </c>
      <c r="G687" s="28" t="s">
        <v>1156</v>
      </c>
      <c r="H687" s="28">
        <v>5368701</v>
      </c>
      <c r="I687" s="28">
        <v>162429</v>
      </c>
      <c r="J687" s="28">
        <v>0.99</v>
      </c>
      <c r="K687" s="28">
        <v>79</v>
      </c>
      <c r="L687" s="28">
        <v>1</v>
      </c>
    </row>
    <row r="688" spans="1:12" ht="14.25" customHeight="1" x14ac:dyDescent="0.2">
      <c r="A688" s="28">
        <v>687</v>
      </c>
      <c r="B688" s="28" t="s">
        <v>1166</v>
      </c>
      <c r="C688" s="28" t="s">
        <v>1150</v>
      </c>
      <c r="D688" s="28" t="s">
        <v>1151</v>
      </c>
      <c r="E688" s="28" t="s">
        <v>211</v>
      </c>
      <c r="F688" s="28" t="s">
        <v>212</v>
      </c>
      <c r="G688" s="28" t="s">
        <v>1156</v>
      </c>
      <c r="H688" s="28">
        <v>6156567</v>
      </c>
      <c r="I688" s="28">
        <v>186044</v>
      </c>
      <c r="J688" s="28">
        <v>0.99</v>
      </c>
      <c r="K688" s="28">
        <v>95</v>
      </c>
      <c r="L688" s="28">
        <v>1</v>
      </c>
    </row>
    <row r="689" spans="1:12" ht="14.25" customHeight="1" x14ac:dyDescent="0.2">
      <c r="A689" s="28">
        <v>688</v>
      </c>
      <c r="B689" s="28" t="s">
        <v>1167</v>
      </c>
      <c r="C689" s="28" t="s">
        <v>1150</v>
      </c>
      <c r="D689" s="28" t="s">
        <v>1151</v>
      </c>
      <c r="E689" s="28" t="s">
        <v>211</v>
      </c>
      <c r="F689" s="28" t="s">
        <v>212</v>
      </c>
      <c r="G689" s="28" t="s">
        <v>1156</v>
      </c>
      <c r="H689" s="28">
        <v>5034670</v>
      </c>
      <c r="I689" s="28">
        <v>152946</v>
      </c>
      <c r="J689" s="28">
        <v>0.99</v>
      </c>
      <c r="K689" s="28">
        <v>23</v>
      </c>
      <c r="L689" s="28">
        <v>0</v>
      </c>
    </row>
    <row r="690" spans="1:12" ht="14.25" customHeight="1" x14ac:dyDescent="0.2">
      <c r="A690" s="28">
        <v>689</v>
      </c>
      <c r="B690" s="28" t="s">
        <v>1168</v>
      </c>
      <c r="C690" s="28" t="s">
        <v>1150</v>
      </c>
      <c r="D690" s="28" t="s">
        <v>1151</v>
      </c>
      <c r="E690" s="28" t="s">
        <v>211</v>
      </c>
      <c r="F690" s="28" t="s">
        <v>212</v>
      </c>
      <c r="G690" s="28" t="s">
        <v>1156</v>
      </c>
      <c r="H690" s="28">
        <v>6924024</v>
      </c>
      <c r="I690" s="28">
        <v>213237</v>
      </c>
      <c r="J690" s="28">
        <v>0.99</v>
      </c>
      <c r="K690" s="28">
        <v>13</v>
      </c>
      <c r="L690" s="28">
        <v>1</v>
      </c>
    </row>
    <row r="691" spans="1:12" ht="14.25" customHeight="1" x14ac:dyDescent="0.2">
      <c r="A691" s="28">
        <v>690</v>
      </c>
      <c r="B691" s="28" t="s">
        <v>1169</v>
      </c>
      <c r="C691" s="28" t="s">
        <v>1150</v>
      </c>
      <c r="D691" s="28" t="s">
        <v>1151</v>
      </c>
      <c r="E691" s="28" t="s">
        <v>211</v>
      </c>
      <c r="F691" s="28" t="s">
        <v>212</v>
      </c>
      <c r="G691" s="28" t="s">
        <v>1170</v>
      </c>
      <c r="H691" s="28">
        <v>21947845</v>
      </c>
      <c r="I691" s="28">
        <v>664894</v>
      </c>
      <c r="J691" s="28">
        <v>0.99</v>
      </c>
      <c r="K691" s="28">
        <v>28</v>
      </c>
      <c r="L691" s="28">
        <v>0</v>
      </c>
    </row>
    <row r="692" spans="1:12" ht="14.25" customHeight="1" x14ac:dyDescent="0.2">
      <c r="A692" s="28">
        <v>691</v>
      </c>
      <c r="B692" s="28" t="s">
        <v>1171</v>
      </c>
      <c r="C692" s="28" t="s">
        <v>1150</v>
      </c>
      <c r="D692" s="28" t="s">
        <v>1151</v>
      </c>
      <c r="E692" s="28" t="s">
        <v>211</v>
      </c>
      <c r="F692" s="28" t="s">
        <v>212</v>
      </c>
      <c r="G692" s="28" t="s">
        <v>1156</v>
      </c>
      <c r="H692" s="28">
        <v>5263675</v>
      </c>
      <c r="I692" s="28">
        <v>160052</v>
      </c>
      <c r="J692" s="28">
        <v>0.99</v>
      </c>
      <c r="K692" s="28">
        <v>50</v>
      </c>
      <c r="L692" s="28">
        <v>0</v>
      </c>
    </row>
    <row r="693" spans="1:12" ht="14.25" customHeight="1" x14ac:dyDescent="0.2">
      <c r="A693" s="28">
        <v>692</v>
      </c>
      <c r="B693" s="28" t="s">
        <v>1172</v>
      </c>
      <c r="C693" s="28" t="s">
        <v>1150</v>
      </c>
      <c r="D693" s="28" t="s">
        <v>1151</v>
      </c>
      <c r="E693" s="28" t="s">
        <v>211</v>
      </c>
      <c r="F693" s="28" t="s">
        <v>212</v>
      </c>
      <c r="G693" s="28" t="s">
        <v>1156</v>
      </c>
      <c r="H693" s="28">
        <v>5343807</v>
      </c>
      <c r="I693" s="28">
        <v>162847</v>
      </c>
      <c r="J693" s="28">
        <v>0.99</v>
      </c>
      <c r="K693" s="28">
        <v>17</v>
      </c>
      <c r="L693" s="28">
        <v>1</v>
      </c>
    </row>
    <row r="694" spans="1:12" ht="14.25" customHeight="1" x14ac:dyDescent="0.2">
      <c r="A694" s="28">
        <v>693</v>
      </c>
      <c r="B694" s="28" t="s">
        <v>1173</v>
      </c>
      <c r="C694" s="28" t="s">
        <v>1150</v>
      </c>
      <c r="D694" s="28" t="s">
        <v>1151</v>
      </c>
      <c r="E694" s="28" t="s">
        <v>211</v>
      </c>
      <c r="F694" s="28" t="s">
        <v>212</v>
      </c>
      <c r="G694" s="28" t="s">
        <v>1156</v>
      </c>
      <c r="H694" s="28">
        <v>5716603</v>
      </c>
      <c r="I694" s="28">
        <v>175490</v>
      </c>
      <c r="J694" s="28">
        <v>0.99</v>
      </c>
      <c r="K694" s="28">
        <v>21</v>
      </c>
      <c r="L694" s="28">
        <v>2</v>
      </c>
    </row>
    <row r="695" spans="1:12" ht="14.25" customHeight="1" x14ac:dyDescent="0.2">
      <c r="A695" s="28">
        <v>694</v>
      </c>
      <c r="B695" s="28" t="s">
        <v>1174</v>
      </c>
      <c r="C695" s="28" t="s">
        <v>1150</v>
      </c>
      <c r="D695" s="28" t="s">
        <v>1151</v>
      </c>
      <c r="E695" s="28" t="s">
        <v>211</v>
      </c>
      <c r="F695" s="28" t="s">
        <v>212</v>
      </c>
      <c r="G695" s="28" t="s">
        <v>1156</v>
      </c>
      <c r="H695" s="28">
        <v>7945235</v>
      </c>
      <c r="I695" s="28">
        <v>239360</v>
      </c>
      <c r="J695" s="28">
        <v>0.99</v>
      </c>
      <c r="K695" s="28">
        <v>65</v>
      </c>
      <c r="L695" s="28">
        <v>1</v>
      </c>
    </row>
    <row r="696" spans="1:12" ht="14.25" customHeight="1" x14ac:dyDescent="0.2">
      <c r="A696" s="28">
        <v>695</v>
      </c>
      <c r="B696" s="28" t="s">
        <v>1175</v>
      </c>
      <c r="C696" s="28" t="s">
        <v>1176</v>
      </c>
      <c r="D696" s="28" t="s">
        <v>1151</v>
      </c>
      <c r="E696" s="28" t="s">
        <v>211</v>
      </c>
      <c r="F696" s="28" t="s">
        <v>212</v>
      </c>
      <c r="G696" s="28" t="s">
        <v>1177</v>
      </c>
      <c r="H696" s="28">
        <v>9302129</v>
      </c>
      <c r="I696" s="28">
        <v>281286</v>
      </c>
      <c r="J696" s="28">
        <v>0.99</v>
      </c>
      <c r="K696" s="28">
        <v>0</v>
      </c>
      <c r="L696" s="28">
        <v>1</v>
      </c>
    </row>
    <row r="697" spans="1:12" ht="14.25" customHeight="1" x14ac:dyDescent="0.2">
      <c r="A697" s="28">
        <v>696</v>
      </c>
      <c r="B697" s="28" t="s">
        <v>1178</v>
      </c>
      <c r="C697" s="28" t="s">
        <v>1176</v>
      </c>
      <c r="D697" s="28" t="s">
        <v>1151</v>
      </c>
      <c r="E697" s="28" t="s">
        <v>211</v>
      </c>
      <c r="F697" s="28" t="s">
        <v>212</v>
      </c>
      <c r="G697" s="28" t="s">
        <v>1177</v>
      </c>
      <c r="H697" s="28">
        <v>7986637</v>
      </c>
      <c r="I697" s="28">
        <v>244114</v>
      </c>
      <c r="J697" s="28">
        <v>0.99</v>
      </c>
      <c r="K697" s="28">
        <v>50</v>
      </c>
      <c r="L697" s="28">
        <v>1</v>
      </c>
    </row>
    <row r="698" spans="1:12" ht="14.25" customHeight="1" x14ac:dyDescent="0.2">
      <c r="A698" s="28">
        <v>697</v>
      </c>
      <c r="B698" s="28" t="s">
        <v>1179</v>
      </c>
      <c r="C698" s="28" t="s">
        <v>1176</v>
      </c>
      <c r="D698" s="28" t="s">
        <v>1151</v>
      </c>
      <c r="E698" s="28" t="s">
        <v>211</v>
      </c>
      <c r="F698" s="28" t="s">
        <v>212</v>
      </c>
      <c r="G698" s="28" t="s">
        <v>1177</v>
      </c>
      <c r="H698" s="28">
        <v>10361866</v>
      </c>
      <c r="I698" s="28">
        <v>316630</v>
      </c>
      <c r="J698" s="28">
        <v>0.99</v>
      </c>
      <c r="K698" s="28">
        <v>74</v>
      </c>
      <c r="L698" s="28">
        <v>1</v>
      </c>
    </row>
    <row r="699" spans="1:12" ht="14.25" customHeight="1" x14ac:dyDescent="0.2">
      <c r="A699" s="28">
        <v>698</v>
      </c>
      <c r="B699" s="28" t="s">
        <v>381</v>
      </c>
      <c r="C699" s="28" t="s">
        <v>1176</v>
      </c>
      <c r="D699" s="28" t="s">
        <v>1151</v>
      </c>
      <c r="E699" s="28" t="s">
        <v>211</v>
      </c>
      <c r="F699" s="28" t="s">
        <v>212</v>
      </c>
      <c r="G699" s="28" t="s">
        <v>1177</v>
      </c>
      <c r="H699" s="28">
        <v>5348175</v>
      </c>
      <c r="I699" s="28">
        <v>163604</v>
      </c>
      <c r="J699" s="28">
        <v>0.99</v>
      </c>
      <c r="K699" s="28">
        <v>25</v>
      </c>
      <c r="L699" s="28">
        <v>2</v>
      </c>
    </row>
    <row r="700" spans="1:12" ht="14.25" customHeight="1" x14ac:dyDescent="0.2">
      <c r="A700" s="28">
        <v>699</v>
      </c>
      <c r="B700" s="28" t="s">
        <v>1180</v>
      </c>
      <c r="C700" s="28" t="s">
        <v>1176</v>
      </c>
      <c r="D700" s="28" t="s">
        <v>1151</v>
      </c>
      <c r="E700" s="28" t="s">
        <v>211</v>
      </c>
      <c r="F700" s="28" t="s">
        <v>212</v>
      </c>
      <c r="G700" s="28" t="s">
        <v>1177</v>
      </c>
      <c r="H700" s="28">
        <v>7209080</v>
      </c>
      <c r="I700" s="28">
        <v>218880</v>
      </c>
      <c r="J700" s="28">
        <v>0.99</v>
      </c>
      <c r="K700" s="28">
        <v>99</v>
      </c>
      <c r="L700" s="28">
        <v>1</v>
      </c>
    </row>
    <row r="701" spans="1:12" ht="14.25" customHeight="1" x14ac:dyDescent="0.2">
      <c r="A701" s="28">
        <v>700</v>
      </c>
      <c r="B701" s="28" t="s">
        <v>1181</v>
      </c>
      <c r="C701" s="28" t="s">
        <v>1176</v>
      </c>
      <c r="D701" s="28" t="s">
        <v>1151</v>
      </c>
      <c r="E701" s="28" t="s">
        <v>211</v>
      </c>
      <c r="F701" s="28" t="s">
        <v>212</v>
      </c>
      <c r="G701" s="28" t="s">
        <v>1177</v>
      </c>
      <c r="H701" s="28">
        <v>9675875</v>
      </c>
      <c r="I701" s="28">
        <v>296385</v>
      </c>
      <c r="J701" s="28">
        <v>0.99</v>
      </c>
      <c r="K701" s="28">
        <v>73</v>
      </c>
      <c r="L701" s="28">
        <v>1</v>
      </c>
    </row>
    <row r="702" spans="1:12" ht="14.25" customHeight="1" x14ac:dyDescent="0.2">
      <c r="A702" s="28">
        <v>701</v>
      </c>
      <c r="B702" s="28" t="s">
        <v>1182</v>
      </c>
      <c r="C702" s="28" t="s">
        <v>1176</v>
      </c>
      <c r="D702" s="28" t="s">
        <v>1151</v>
      </c>
      <c r="E702" s="28" t="s">
        <v>211</v>
      </c>
      <c r="F702" s="28" t="s">
        <v>212</v>
      </c>
      <c r="G702" s="28" t="s">
        <v>1177</v>
      </c>
      <c r="H702" s="28">
        <v>6211173</v>
      </c>
      <c r="I702" s="28">
        <v>190119</v>
      </c>
      <c r="J702" s="28">
        <v>0.99</v>
      </c>
      <c r="K702" s="28">
        <v>94</v>
      </c>
      <c r="L702" s="28">
        <v>1</v>
      </c>
    </row>
    <row r="703" spans="1:12" ht="14.25" customHeight="1" x14ac:dyDescent="0.2">
      <c r="A703" s="28">
        <v>702</v>
      </c>
      <c r="B703" s="28" t="s">
        <v>1183</v>
      </c>
      <c r="C703" s="28" t="s">
        <v>1176</v>
      </c>
      <c r="D703" s="28" t="s">
        <v>1151</v>
      </c>
      <c r="E703" s="28" t="s">
        <v>211</v>
      </c>
      <c r="F703" s="28" t="s">
        <v>212</v>
      </c>
      <c r="G703" s="28" t="s">
        <v>1177</v>
      </c>
      <c r="H703" s="28">
        <v>5919224</v>
      </c>
      <c r="I703" s="28">
        <v>178181</v>
      </c>
      <c r="J703" s="28">
        <v>0.99</v>
      </c>
      <c r="K703" s="28">
        <v>23</v>
      </c>
      <c r="L703" s="28">
        <v>1</v>
      </c>
    </row>
    <row r="704" spans="1:12" ht="14.25" customHeight="1" x14ac:dyDescent="0.2">
      <c r="A704" s="28">
        <v>703</v>
      </c>
      <c r="B704" s="28" t="s">
        <v>1184</v>
      </c>
      <c r="C704" s="28" t="s">
        <v>1176</v>
      </c>
      <c r="D704" s="28" t="s">
        <v>1151</v>
      </c>
      <c r="E704" s="28" t="s">
        <v>211</v>
      </c>
      <c r="F704" s="28" t="s">
        <v>212</v>
      </c>
      <c r="G704" s="28" t="s">
        <v>1177</v>
      </c>
      <c r="H704" s="28">
        <v>5807474</v>
      </c>
      <c r="I704" s="28">
        <v>176718</v>
      </c>
      <c r="J704" s="28">
        <v>0.99</v>
      </c>
      <c r="K704" s="28">
        <v>68</v>
      </c>
      <c r="L704" s="28">
        <v>0</v>
      </c>
    </row>
    <row r="705" spans="1:12" ht="14.25" customHeight="1" x14ac:dyDescent="0.2">
      <c r="A705" s="28">
        <v>704</v>
      </c>
      <c r="B705" s="28" t="s">
        <v>1185</v>
      </c>
      <c r="C705" s="28" t="s">
        <v>1176</v>
      </c>
      <c r="D705" s="28" t="s">
        <v>1151</v>
      </c>
      <c r="E705" s="28" t="s">
        <v>211</v>
      </c>
      <c r="F705" s="28" t="s">
        <v>212</v>
      </c>
      <c r="G705" s="28" t="s">
        <v>1177</v>
      </c>
      <c r="H705" s="28">
        <v>4366455</v>
      </c>
      <c r="I705" s="28">
        <v>131918</v>
      </c>
      <c r="J705" s="28">
        <v>0.99</v>
      </c>
      <c r="K705" s="28">
        <v>90</v>
      </c>
      <c r="L705" s="28">
        <v>2</v>
      </c>
    </row>
    <row r="706" spans="1:12" ht="14.25" customHeight="1" x14ac:dyDescent="0.2">
      <c r="A706" s="28">
        <v>705</v>
      </c>
      <c r="B706" s="28" t="s">
        <v>1186</v>
      </c>
      <c r="C706" s="28" t="s">
        <v>1176</v>
      </c>
      <c r="D706" s="28" t="s">
        <v>1151</v>
      </c>
      <c r="E706" s="28" t="s">
        <v>211</v>
      </c>
      <c r="F706" s="28" t="s">
        <v>212</v>
      </c>
      <c r="G706" s="28" t="s">
        <v>1177</v>
      </c>
      <c r="H706" s="28">
        <v>8297482</v>
      </c>
      <c r="I706" s="28">
        <v>253596</v>
      </c>
      <c r="J706" s="28">
        <v>0.99</v>
      </c>
      <c r="K706" s="28">
        <v>81</v>
      </c>
      <c r="L706" s="28">
        <v>2</v>
      </c>
    </row>
    <row r="707" spans="1:12" ht="14.25" customHeight="1" x14ac:dyDescent="0.2">
      <c r="A707" s="28">
        <v>706</v>
      </c>
      <c r="B707" s="28" t="s">
        <v>1187</v>
      </c>
      <c r="C707" s="28" t="s">
        <v>1176</v>
      </c>
      <c r="D707" s="28" t="s">
        <v>1151</v>
      </c>
      <c r="E707" s="28" t="s">
        <v>211</v>
      </c>
      <c r="F707" s="28" t="s">
        <v>212</v>
      </c>
      <c r="G707" s="28" t="s">
        <v>1177</v>
      </c>
      <c r="H707" s="28">
        <v>6815126</v>
      </c>
      <c r="I707" s="28">
        <v>207804</v>
      </c>
      <c r="J707" s="28">
        <v>0.99</v>
      </c>
      <c r="K707" s="28">
        <v>6</v>
      </c>
      <c r="L707" s="28">
        <v>1</v>
      </c>
    </row>
    <row r="708" spans="1:12" ht="14.25" customHeight="1" x14ac:dyDescent="0.2">
      <c r="A708" s="28">
        <v>707</v>
      </c>
      <c r="B708" s="28" t="s">
        <v>1188</v>
      </c>
      <c r="C708" s="28" t="s">
        <v>1176</v>
      </c>
      <c r="D708" s="28" t="s">
        <v>1151</v>
      </c>
      <c r="E708" s="28" t="s">
        <v>211</v>
      </c>
      <c r="F708" s="28" t="s">
        <v>212</v>
      </c>
      <c r="G708" s="28" t="s">
        <v>1177</v>
      </c>
      <c r="H708" s="28">
        <v>4633440</v>
      </c>
      <c r="I708" s="28">
        <v>140460</v>
      </c>
      <c r="J708" s="28">
        <v>0.99</v>
      </c>
      <c r="K708" s="28">
        <v>81</v>
      </c>
      <c r="L708" s="28">
        <v>0</v>
      </c>
    </row>
    <row r="709" spans="1:12" ht="14.25" customHeight="1" x14ac:dyDescent="0.2">
      <c r="A709" s="28">
        <v>708</v>
      </c>
      <c r="B709" s="28" t="s">
        <v>1189</v>
      </c>
      <c r="C709" s="28" t="s">
        <v>1176</v>
      </c>
      <c r="D709" s="28" t="s">
        <v>1151</v>
      </c>
      <c r="E709" s="28" t="s">
        <v>211</v>
      </c>
      <c r="F709" s="28" t="s">
        <v>212</v>
      </c>
      <c r="G709" s="28" t="s">
        <v>1177</v>
      </c>
      <c r="H709" s="28">
        <v>12713813</v>
      </c>
      <c r="I709" s="28">
        <v>385619</v>
      </c>
      <c r="J709" s="28">
        <v>0.99</v>
      </c>
      <c r="K709" s="28">
        <v>29</v>
      </c>
      <c r="L709" s="28">
        <v>1</v>
      </c>
    </row>
    <row r="710" spans="1:12" ht="14.25" customHeight="1" x14ac:dyDescent="0.2">
      <c r="A710" s="28">
        <v>709</v>
      </c>
      <c r="B710" s="28" t="s">
        <v>1190</v>
      </c>
      <c r="C710" s="28" t="s">
        <v>1176</v>
      </c>
      <c r="D710" s="28" t="s">
        <v>1151</v>
      </c>
      <c r="E710" s="28" t="s">
        <v>211</v>
      </c>
      <c r="F710" s="28" t="s">
        <v>212</v>
      </c>
      <c r="G710" s="28" t="s">
        <v>1177</v>
      </c>
      <c r="H710" s="28">
        <v>7432978</v>
      </c>
      <c r="I710" s="28">
        <v>228466</v>
      </c>
      <c r="J710" s="28">
        <v>0.99</v>
      </c>
      <c r="K710" s="28">
        <v>33</v>
      </c>
      <c r="L710" s="28">
        <v>1</v>
      </c>
    </row>
    <row r="711" spans="1:12" ht="14.25" customHeight="1" x14ac:dyDescent="0.2">
      <c r="A711" s="28">
        <v>710</v>
      </c>
      <c r="B711" s="28" t="s">
        <v>1191</v>
      </c>
      <c r="C711" s="28" t="s">
        <v>1176</v>
      </c>
      <c r="D711" s="28" t="s">
        <v>1151</v>
      </c>
      <c r="E711" s="28" t="s">
        <v>211</v>
      </c>
      <c r="F711" s="28" t="s">
        <v>212</v>
      </c>
      <c r="G711" s="28" t="s">
        <v>1177</v>
      </c>
      <c r="H711" s="28">
        <v>7778319</v>
      </c>
      <c r="I711" s="28">
        <v>237374</v>
      </c>
      <c r="J711" s="28">
        <v>0.99</v>
      </c>
      <c r="K711" s="28">
        <v>71</v>
      </c>
      <c r="L711" s="28">
        <v>1</v>
      </c>
    </row>
    <row r="712" spans="1:12" ht="14.25" customHeight="1" x14ac:dyDescent="0.2">
      <c r="A712" s="28">
        <v>711</v>
      </c>
      <c r="B712" s="28" t="s">
        <v>1192</v>
      </c>
      <c r="C712" s="28" t="s">
        <v>1176</v>
      </c>
      <c r="D712" s="28" t="s">
        <v>1151</v>
      </c>
      <c r="E712" s="28" t="s">
        <v>211</v>
      </c>
      <c r="F712" s="28" t="s">
        <v>212</v>
      </c>
      <c r="G712" s="28" t="s">
        <v>1177</v>
      </c>
      <c r="H712" s="28">
        <v>5390811</v>
      </c>
      <c r="I712" s="28">
        <v>163239</v>
      </c>
      <c r="J712" s="28">
        <v>0.99</v>
      </c>
      <c r="K712" s="28">
        <v>74</v>
      </c>
      <c r="L712" s="28">
        <v>1</v>
      </c>
    </row>
    <row r="713" spans="1:12" ht="14.25" customHeight="1" x14ac:dyDescent="0.2">
      <c r="A713" s="28">
        <v>712</v>
      </c>
      <c r="B713" s="28" t="s">
        <v>1193</v>
      </c>
      <c r="C713" s="28" t="s">
        <v>1176</v>
      </c>
      <c r="D713" s="28" t="s">
        <v>1151</v>
      </c>
      <c r="E713" s="28" t="s">
        <v>211</v>
      </c>
      <c r="F713" s="28" t="s">
        <v>212</v>
      </c>
      <c r="G713" s="28" t="s">
        <v>1177</v>
      </c>
      <c r="H713" s="28">
        <v>11260814</v>
      </c>
      <c r="I713" s="28">
        <v>342804</v>
      </c>
      <c r="J713" s="28">
        <v>0.99</v>
      </c>
      <c r="K713" s="28">
        <v>76</v>
      </c>
      <c r="L713" s="28">
        <v>1</v>
      </c>
    </row>
    <row r="714" spans="1:12" ht="14.25" customHeight="1" x14ac:dyDescent="0.2">
      <c r="A714" s="28">
        <v>713</v>
      </c>
      <c r="B714" s="28" t="s">
        <v>1194</v>
      </c>
      <c r="C714" s="28" t="s">
        <v>1176</v>
      </c>
      <c r="D714" s="28" t="s">
        <v>1151</v>
      </c>
      <c r="E714" s="28" t="s">
        <v>211</v>
      </c>
      <c r="F714" s="28" t="s">
        <v>212</v>
      </c>
      <c r="G714" s="28" t="s">
        <v>1177</v>
      </c>
      <c r="H714" s="28">
        <v>6933135</v>
      </c>
      <c r="I714" s="28">
        <v>209789</v>
      </c>
      <c r="J714" s="28">
        <v>0.99</v>
      </c>
      <c r="K714" s="28">
        <v>91</v>
      </c>
      <c r="L714" s="28">
        <v>0</v>
      </c>
    </row>
    <row r="715" spans="1:12" ht="14.25" customHeight="1" x14ac:dyDescent="0.2">
      <c r="A715" s="28">
        <v>714</v>
      </c>
      <c r="B715" s="28" t="s">
        <v>1195</v>
      </c>
      <c r="C715" s="28" t="s">
        <v>1176</v>
      </c>
      <c r="D715" s="28" t="s">
        <v>1151</v>
      </c>
      <c r="E715" s="28" t="s">
        <v>211</v>
      </c>
      <c r="F715" s="28" t="s">
        <v>212</v>
      </c>
      <c r="G715" s="28" t="s">
        <v>1177</v>
      </c>
      <c r="H715" s="28">
        <v>4476563</v>
      </c>
      <c r="I715" s="28">
        <v>132832</v>
      </c>
      <c r="J715" s="28">
        <v>0.99</v>
      </c>
      <c r="K715" s="28">
        <v>98</v>
      </c>
      <c r="L715" s="28">
        <v>0</v>
      </c>
    </row>
    <row r="716" spans="1:12" ht="14.25" customHeight="1" x14ac:dyDescent="0.2">
      <c r="A716" s="28">
        <v>715</v>
      </c>
      <c r="B716" s="28" t="s">
        <v>1196</v>
      </c>
      <c r="C716" s="28" t="s">
        <v>1197</v>
      </c>
      <c r="D716" s="28" t="s">
        <v>1198</v>
      </c>
      <c r="E716" s="28" t="s">
        <v>211</v>
      </c>
      <c r="F716" s="28" t="s">
        <v>490</v>
      </c>
      <c r="G716" s="28"/>
      <c r="H716" s="28">
        <v>7095702</v>
      </c>
      <c r="I716" s="28">
        <v>212506</v>
      </c>
      <c r="J716" s="28">
        <v>0.99</v>
      </c>
      <c r="K716" s="28">
        <v>41</v>
      </c>
      <c r="L716" s="28">
        <v>1</v>
      </c>
    </row>
    <row r="717" spans="1:12" ht="14.25" customHeight="1" x14ac:dyDescent="0.2">
      <c r="A717" s="28">
        <v>716</v>
      </c>
      <c r="B717" s="28" t="s">
        <v>1199</v>
      </c>
      <c r="C717" s="28" t="s">
        <v>1197</v>
      </c>
      <c r="D717" s="28" t="s">
        <v>1198</v>
      </c>
      <c r="E717" s="28" t="s">
        <v>211</v>
      </c>
      <c r="F717" s="28" t="s">
        <v>490</v>
      </c>
      <c r="G717" s="28"/>
      <c r="H717" s="28">
        <v>7911683</v>
      </c>
      <c r="I717" s="28">
        <v>243696</v>
      </c>
      <c r="J717" s="28">
        <v>0.99</v>
      </c>
      <c r="K717" s="28">
        <v>80</v>
      </c>
      <c r="L717" s="28">
        <v>2</v>
      </c>
    </row>
    <row r="718" spans="1:12" ht="14.25" customHeight="1" x14ac:dyDescent="0.2">
      <c r="A718" s="28">
        <v>717</v>
      </c>
      <c r="B718" s="28" t="s">
        <v>1200</v>
      </c>
      <c r="C718" s="28" t="s">
        <v>1197</v>
      </c>
      <c r="D718" s="28" t="s">
        <v>1198</v>
      </c>
      <c r="E718" s="28" t="s">
        <v>211</v>
      </c>
      <c r="F718" s="28" t="s">
        <v>490</v>
      </c>
      <c r="G718" s="28"/>
      <c r="H718" s="28">
        <v>8376000</v>
      </c>
      <c r="I718" s="28">
        <v>251768</v>
      </c>
      <c r="J718" s="28">
        <v>0.99</v>
      </c>
      <c r="K718" s="28">
        <v>17</v>
      </c>
      <c r="L718" s="28">
        <v>1</v>
      </c>
    </row>
    <row r="719" spans="1:12" ht="14.25" customHeight="1" x14ac:dyDescent="0.2">
      <c r="A719" s="28">
        <v>718</v>
      </c>
      <c r="B719" s="28" t="s">
        <v>1201</v>
      </c>
      <c r="C719" s="28" t="s">
        <v>1197</v>
      </c>
      <c r="D719" s="28" t="s">
        <v>1198</v>
      </c>
      <c r="E719" s="28" t="s">
        <v>211</v>
      </c>
      <c r="F719" s="28" t="s">
        <v>490</v>
      </c>
      <c r="G719" s="28"/>
      <c r="H719" s="28">
        <v>7573301</v>
      </c>
      <c r="I719" s="28">
        <v>228153</v>
      </c>
      <c r="J719" s="28">
        <v>0.99</v>
      </c>
      <c r="K719" s="28">
        <v>50</v>
      </c>
      <c r="L719" s="28">
        <v>0</v>
      </c>
    </row>
    <row r="720" spans="1:12" ht="14.25" customHeight="1" x14ac:dyDescent="0.2">
      <c r="A720" s="28">
        <v>719</v>
      </c>
      <c r="B720" s="28" t="s">
        <v>1202</v>
      </c>
      <c r="C720" s="28" t="s">
        <v>1197</v>
      </c>
      <c r="D720" s="28" t="s">
        <v>1198</v>
      </c>
      <c r="E720" s="28" t="s">
        <v>211</v>
      </c>
      <c r="F720" s="28" t="s">
        <v>490</v>
      </c>
      <c r="G720" s="28"/>
      <c r="H720" s="28">
        <v>6714582</v>
      </c>
      <c r="I720" s="28">
        <v>204538</v>
      </c>
      <c r="J720" s="28">
        <v>0.99</v>
      </c>
      <c r="K720" s="28">
        <v>90</v>
      </c>
      <c r="L720" s="28">
        <v>0</v>
      </c>
    </row>
    <row r="721" spans="1:12" ht="14.25" customHeight="1" x14ac:dyDescent="0.2">
      <c r="A721" s="28">
        <v>720</v>
      </c>
      <c r="B721" s="28" t="s">
        <v>1203</v>
      </c>
      <c r="C721" s="28" t="s">
        <v>1197</v>
      </c>
      <c r="D721" s="28" t="s">
        <v>1198</v>
      </c>
      <c r="E721" s="28" t="s">
        <v>211</v>
      </c>
      <c r="F721" s="28" t="s">
        <v>490</v>
      </c>
      <c r="G721" s="28"/>
      <c r="H721" s="28">
        <v>6713066</v>
      </c>
      <c r="I721" s="28">
        <v>200437</v>
      </c>
      <c r="J721" s="28">
        <v>0.99</v>
      </c>
      <c r="K721" s="28">
        <v>13</v>
      </c>
      <c r="L721" s="28">
        <v>1</v>
      </c>
    </row>
    <row r="722" spans="1:12" ht="14.25" customHeight="1" x14ac:dyDescent="0.2">
      <c r="A722" s="28">
        <v>721</v>
      </c>
      <c r="B722" s="28" t="s">
        <v>1204</v>
      </c>
      <c r="C722" s="28" t="s">
        <v>1197</v>
      </c>
      <c r="D722" s="28" t="s">
        <v>1198</v>
      </c>
      <c r="E722" s="28" t="s">
        <v>211</v>
      </c>
      <c r="F722" s="28" t="s">
        <v>490</v>
      </c>
      <c r="G722" s="28"/>
      <c r="H722" s="28">
        <v>6943576</v>
      </c>
      <c r="I722" s="28">
        <v>206733</v>
      </c>
      <c r="J722" s="28">
        <v>0.99</v>
      </c>
      <c r="K722" s="28">
        <v>95</v>
      </c>
      <c r="L722" s="28">
        <v>1</v>
      </c>
    </row>
    <row r="723" spans="1:12" ht="14.25" customHeight="1" x14ac:dyDescent="0.2">
      <c r="A723" s="28">
        <v>722</v>
      </c>
      <c r="B723" s="28" t="s">
        <v>1205</v>
      </c>
      <c r="C723" s="28" t="s">
        <v>1197</v>
      </c>
      <c r="D723" s="28" t="s">
        <v>1198</v>
      </c>
      <c r="E723" s="28" t="s">
        <v>211</v>
      </c>
      <c r="F723" s="28" t="s">
        <v>490</v>
      </c>
      <c r="G723" s="28"/>
      <c r="H723" s="28">
        <v>8322240</v>
      </c>
      <c r="I723" s="28">
        <v>247771</v>
      </c>
      <c r="J723" s="28">
        <v>0.99</v>
      </c>
      <c r="K723" s="28">
        <v>47</v>
      </c>
      <c r="L723" s="28">
        <v>1</v>
      </c>
    </row>
    <row r="724" spans="1:12" ht="14.25" customHeight="1" x14ac:dyDescent="0.2">
      <c r="A724" s="28">
        <v>723</v>
      </c>
      <c r="B724" s="28" t="s">
        <v>1206</v>
      </c>
      <c r="C724" s="28" t="s">
        <v>1197</v>
      </c>
      <c r="D724" s="28" t="s">
        <v>1198</v>
      </c>
      <c r="E724" s="28" t="s">
        <v>211</v>
      </c>
      <c r="F724" s="28" t="s">
        <v>490</v>
      </c>
      <c r="G724" s="28"/>
      <c r="H724" s="28">
        <v>9017535</v>
      </c>
      <c r="I724" s="28">
        <v>270262</v>
      </c>
      <c r="J724" s="28">
        <v>0.99</v>
      </c>
      <c r="K724" s="28">
        <v>40</v>
      </c>
      <c r="L724" s="28">
        <v>0</v>
      </c>
    </row>
    <row r="725" spans="1:12" ht="14.25" customHeight="1" x14ac:dyDescent="0.2">
      <c r="A725" s="28">
        <v>724</v>
      </c>
      <c r="B725" s="28" t="s">
        <v>1207</v>
      </c>
      <c r="C725" s="28" t="s">
        <v>1197</v>
      </c>
      <c r="D725" s="28" t="s">
        <v>1198</v>
      </c>
      <c r="E725" s="28" t="s">
        <v>211</v>
      </c>
      <c r="F725" s="28" t="s">
        <v>490</v>
      </c>
      <c r="G725" s="28"/>
      <c r="H725" s="28">
        <v>6383472</v>
      </c>
      <c r="I725" s="28">
        <v>194899</v>
      </c>
      <c r="J725" s="28">
        <v>0.99</v>
      </c>
      <c r="K725" s="28">
        <v>31</v>
      </c>
      <c r="L725" s="28">
        <v>1</v>
      </c>
    </row>
    <row r="726" spans="1:12" ht="14.25" customHeight="1" x14ac:dyDescent="0.2">
      <c r="A726" s="28">
        <v>725</v>
      </c>
      <c r="B726" s="28" t="s">
        <v>1208</v>
      </c>
      <c r="C726" s="28" t="s">
        <v>1197</v>
      </c>
      <c r="D726" s="28" t="s">
        <v>1198</v>
      </c>
      <c r="E726" s="28" t="s">
        <v>211</v>
      </c>
      <c r="F726" s="28" t="s">
        <v>490</v>
      </c>
      <c r="G726" s="28"/>
      <c r="H726" s="28">
        <v>6360785</v>
      </c>
      <c r="I726" s="28">
        <v>192626</v>
      </c>
      <c r="J726" s="28">
        <v>0.99</v>
      </c>
      <c r="K726" s="28">
        <v>89</v>
      </c>
      <c r="L726" s="28">
        <v>0</v>
      </c>
    </row>
    <row r="727" spans="1:12" ht="14.25" customHeight="1" x14ac:dyDescent="0.2">
      <c r="A727" s="28">
        <v>726</v>
      </c>
      <c r="B727" s="28" t="s">
        <v>1209</v>
      </c>
      <c r="C727" s="28" t="s">
        <v>1197</v>
      </c>
      <c r="D727" s="28" t="s">
        <v>1198</v>
      </c>
      <c r="E727" s="28" t="s">
        <v>211</v>
      </c>
      <c r="F727" s="28" t="s">
        <v>490</v>
      </c>
      <c r="G727" s="28"/>
      <c r="H727" s="28">
        <v>7048676</v>
      </c>
      <c r="I727" s="28">
        <v>212453</v>
      </c>
      <c r="J727" s="28">
        <v>0.99</v>
      </c>
      <c r="K727" s="28">
        <v>74</v>
      </c>
      <c r="L727" s="28">
        <v>1</v>
      </c>
    </row>
    <row r="728" spans="1:12" ht="14.25" customHeight="1" x14ac:dyDescent="0.2">
      <c r="A728" s="28">
        <v>727</v>
      </c>
      <c r="B728" s="28" t="s">
        <v>1210</v>
      </c>
      <c r="C728" s="28" t="s">
        <v>1197</v>
      </c>
      <c r="D728" s="28" t="s">
        <v>1198</v>
      </c>
      <c r="E728" s="28" t="s">
        <v>211</v>
      </c>
      <c r="F728" s="28" t="s">
        <v>490</v>
      </c>
      <c r="G728" s="28"/>
      <c r="H728" s="28">
        <v>5024963</v>
      </c>
      <c r="I728" s="28">
        <v>151849</v>
      </c>
      <c r="J728" s="28">
        <v>0.99</v>
      </c>
      <c r="K728" s="28">
        <v>37</v>
      </c>
      <c r="L728" s="28">
        <v>1</v>
      </c>
    </row>
    <row r="729" spans="1:12" ht="14.25" customHeight="1" x14ac:dyDescent="0.2">
      <c r="A729" s="28">
        <v>728</v>
      </c>
      <c r="B729" s="28" t="s">
        <v>1211</v>
      </c>
      <c r="C729" s="28" t="s">
        <v>1197</v>
      </c>
      <c r="D729" s="28" t="s">
        <v>1198</v>
      </c>
      <c r="E729" s="28" t="s">
        <v>211</v>
      </c>
      <c r="F729" s="28" t="s">
        <v>490</v>
      </c>
      <c r="G729" s="28"/>
      <c r="H729" s="28">
        <v>9724145</v>
      </c>
      <c r="I729" s="28">
        <v>298919</v>
      </c>
      <c r="J729" s="28">
        <v>0.99</v>
      </c>
      <c r="K729" s="28">
        <v>27</v>
      </c>
      <c r="L729" s="28">
        <v>2</v>
      </c>
    </row>
    <row r="730" spans="1:12" ht="14.25" customHeight="1" x14ac:dyDescent="0.2">
      <c r="A730" s="28">
        <v>729</v>
      </c>
      <c r="B730" s="28" t="s">
        <v>1212</v>
      </c>
      <c r="C730" s="28" t="s">
        <v>1197</v>
      </c>
      <c r="D730" s="28" t="s">
        <v>1198</v>
      </c>
      <c r="E730" s="28" t="s">
        <v>211</v>
      </c>
      <c r="F730" s="28" t="s">
        <v>490</v>
      </c>
      <c r="G730" s="28"/>
      <c r="H730" s="28">
        <v>9183808</v>
      </c>
      <c r="I730" s="28">
        <v>278622</v>
      </c>
      <c r="J730" s="28">
        <v>0.99</v>
      </c>
      <c r="K730" s="28">
        <v>84</v>
      </c>
      <c r="L730" s="28">
        <v>0</v>
      </c>
    </row>
    <row r="731" spans="1:12" ht="14.25" customHeight="1" x14ac:dyDescent="0.2">
      <c r="A731" s="28">
        <v>730</v>
      </c>
      <c r="B731" s="28" t="s">
        <v>1213</v>
      </c>
      <c r="C731" s="28" t="s">
        <v>1214</v>
      </c>
      <c r="D731" s="28" t="s">
        <v>1198</v>
      </c>
      <c r="E731" s="28" t="s">
        <v>211</v>
      </c>
      <c r="F731" s="28" t="s">
        <v>490</v>
      </c>
      <c r="G731" s="28"/>
      <c r="H731" s="28">
        <v>8165048</v>
      </c>
      <c r="I731" s="28">
        <v>247588</v>
      </c>
      <c r="J731" s="28">
        <v>0.99</v>
      </c>
      <c r="K731" s="28">
        <v>29</v>
      </c>
      <c r="L731" s="28">
        <v>0</v>
      </c>
    </row>
    <row r="732" spans="1:12" ht="14.25" customHeight="1" x14ac:dyDescent="0.2">
      <c r="A732" s="28">
        <v>731</v>
      </c>
      <c r="B732" s="28" t="s">
        <v>1215</v>
      </c>
      <c r="C732" s="28" t="s">
        <v>1214</v>
      </c>
      <c r="D732" s="28" t="s">
        <v>1198</v>
      </c>
      <c r="E732" s="28" t="s">
        <v>211</v>
      </c>
      <c r="F732" s="28" t="s">
        <v>490</v>
      </c>
      <c r="G732" s="28"/>
      <c r="H732" s="28">
        <v>8335629</v>
      </c>
      <c r="I732" s="28">
        <v>252133</v>
      </c>
      <c r="J732" s="28">
        <v>0.99</v>
      </c>
      <c r="K732" s="28">
        <v>61</v>
      </c>
      <c r="L732" s="28">
        <v>0</v>
      </c>
    </row>
    <row r="733" spans="1:12" ht="14.25" customHeight="1" x14ac:dyDescent="0.2">
      <c r="A733" s="28">
        <v>732</v>
      </c>
      <c r="B733" s="28" t="s">
        <v>1216</v>
      </c>
      <c r="C733" s="28" t="s">
        <v>1214</v>
      </c>
      <c r="D733" s="28" t="s">
        <v>1198</v>
      </c>
      <c r="E733" s="28" t="s">
        <v>211</v>
      </c>
      <c r="F733" s="28" t="s">
        <v>490</v>
      </c>
      <c r="G733" s="28"/>
      <c r="H733" s="28">
        <v>10384506</v>
      </c>
      <c r="I733" s="28">
        <v>316865</v>
      </c>
      <c r="J733" s="28">
        <v>0.99</v>
      </c>
      <c r="K733" s="28">
        <v>81</v>
      </c>
      <c r="L733" s="28">
        <v>1</v>
      </c>
    </row>
    <row r="734" spans="1:12" ht="14.25" customHeight="1" x14ac:dyDescent="0.2">
      <c r="A734" s="28">
        <v>733</v>
      </c>
      <c r="B734" s="28" t="s">
        <v>1217</v>
      </c>
      <c r="C734" s="28" t="s">
        <v>1214</v>
      </c>
      <c r="D734" s="28" t="s">
        <v>1198</v>
      </c>
      <c r="E734" s="28" t="s">
        <v>211</v>
      </c>
      <c r="F734" s="28" t="s">
        <v>490</v>
      </c>
      <c r="G734" s="28"/>
      <c r="H734" s="28">
        <v>7571834</v>
      </c>
      <c r="I734" s="28">
        <v>227500</v>
      </c>
      <c r="J734" s="28">
        <v>0.99</v>
      </c>
      <c r="K734" s="28">
        <v>59</v>
      </c>
      <c r="L734" s="28">
        <v>1</v>
      </c>
    </row>
    <row r="735" spans="1:12" ht="14.25" customHeight="1" x14ac:dyDescent="0.2">
      <c r="A735" s="28">
        <v>734</v>
      </c>
      <c r="B735" s="28" t="s">
        <v>1218</v>
      </c>
      <c r="C735" s="28" t="s">
        <v>1214</v>
      </c>
      <c r="D735" s="28" t="s">
        <v>1198</v>
      </c>
      <c r="E735" s="28" t="s">
        <v>211</v>
      </c>
      <c r="F735" s="28" t="s">
        <v>490</v>
      </c>
      <c r="G735" s="28"/>
      <c r="H735" s="28">
        <v>7420347</v>
      </c>
      <c r="I735" s="28">
        <v>227160</v>
      </c>
      <c r="J735" s="28">
        <v>0.99</v>
      </c>
      <c r="K735" s="28">
        <v>26</v>
      </c>
      <c r="L735" s="28">
        <v>1</v>
      </c>
    </row>
    <row r="736" spans="1:12" ht="14.25" customHeight="1" x14ac:dyDescent="0.2">
      <c r="A736" s="28">
        <v>735</v>
      </c>
      <c r="B736" s="28" t="s">
        <v>1219</v>
      </c>
      <c r="C736" s="28" t="s">
        <v>1214</v>
      </c>
      <c r="D736" s="28" t="s">
        <v>1198</v>
      </c>
      <c r="E736" s="28" t="s">
        <v>211</v>
      </c>
      <c r="F736" s="28" t="s">
        <v>490</v>
      </c>
      <c r="G736" s="28"/>
      <c r="H736" s="28">
        <v>5837495</v>
      </c>
      <c r="I736" s="28">
        <v>174654</v>
      </c>
      <c r="J736" s="28">
        <v>0.99</v>
      </c>
      <c r="K736" s="28">
        <v>5</v>
      </c>
      <c r="L736" s="28">
        <v>1</v>
      </c>
    </row>
    <row r="737" spans="1:12" ht="14.25" customHeight="1" x14ac:dyDescent="0.2">
      <c r="A737" s="28">
        <v>736</v>
      </c>
      <c r="B737" s="28" t="s">
        <v>1220</v>
      </c>
      <c r="C737" s="28" t="s">
        <v>1214</v>
      </c>
      <c r="D737" s="28" t="s">
        <v>1198</v>
      </c>
      <c r="E737" s="28" t="s">
        <v>211</v>
      </c>
      <c r="F737" s="28" t="s">
        <v>490</v>
      </c>
      <c r="G737" s="28"/>
      <c r="H737" s="28">
        <v>6498661</v>
      </c>
      <c r="I737" s="28">
        <v>193828</v>
      </c>
      <c r="J737" s="28">
        <v>0.99</v>
      </c>
      <c r="K737" s="28">
        <v>29</v>
      </c>
      <c r="L737" s="28">
        <v>0</v>
      </c>
    </row>
    <row r="738" spans="1:12" ht="14.25" customHeight="1" x14ac:dyDescent="0.2">
      <c r="A738" s="28">
        <v>737</v>
      </c>
      <c r="B738" s="28" t="s">
        <v>1221</v>
      </c>
      <c r="C738" s="28" t="s">
        <v>1214</v>
      </c>
      <c r="D738" s="28" t="s">
        <v>1198</v>
      </c>
      <c r="E738" s="28" t="s">
        <v>211</v>
      </c>
      <c r="F738" s="28" t="s">
        <v>490</v>
      </c>
      <c r="G738" s="28"/>
      <c r="H738" s="28">
        <v>6483952</v>
      </c>
      <c r="I738" s="28">
        <v>196075</v>
      </c>
      <c r="J738" s="28">
        <v>0.99</v>
      </c>
      <c r="K738" s="28">
        <v>18</v>
      </c>
      <c r="L738" s="28">
        <v>0</v>
      </c>
    </row>
    <row r="739" spans="1:12" ht="14.25" customHeight="1" x14ac:dyDescent="0.2">
      <c r="A739" s="28">
        <v>738</v>
      </c>
      <c r="B739" s="28" t="s">
        <v>1222</v>
      </c>
      <c r="C739" s="28" t="s">
        <v>1214</v>
      </c>
      <c r="D739" s="28" t="s">
        <v>1198</v>
      </c>
      <c r="E739" s="28" t="s">
        <v>211</v>
      </c>
      <c r="F739" s="28" t="s">
        <v>490</v>
      </c>
      <c r="G739" s="28"/>
      <c r="H739" s="28">
        <v>9144031</v>
      </c>
      <c r="I739" s="28">
        <v>274390</v>
      </c>
      <c r="J739" s="28">
        <v>0.99</v>
      </c>
      <c r="K739" s="28">
        <v>69</v>
      </c>
      <c r="L739" s="28">
        <v>1</v>
      </c>
    </row>
    <row r="740" spans="1:12" ht="14.25" customHeight="1" x14ac:dyDescent="0.2">
      <c r="A740" s="28">
        <v>739</v>
      </c>
      <c r="B740" s="28" t="s">
        <v>1223</v>
      </c>
      <c r="C740" s="28" t="s">
        <v>1214</v>
      </c>
      <c r="D740" s="28" t="s">
        <v>1198</v>
      </c>
      <c r="E740" s="28" t="s">
        <v>211</v>
      </c>
      <c r="F740" s="28" t="s">
        <v>490</v>
      </c>
      <c r="G740" s="28"/>
      <c r="H740" s="28">
        <v>6303205</v>
      </c>
      <c r="I740" s="28">
        <v>189466</v>
      </c>
      <c r="J740" s="28">
        <v>0.99</v>
      </c>
      <c r="K740" s="28">
        <v>46</v>
      </c>
      <c r="L740" s="28">
        <v>1</v>
      </c>
    </row>
    <row r="741" spans="1:12" ht="14.25" customHeight="1" x14ac:dyDescent="0.2">
      <c r="A741" s="28">
        <v>740</v>
      </c>
      <c r="B741" s="28" t="s">
        <v>1224</v>
      </c>
      <c r="C741" s="28" t="s">
        <v>1214</v>
      </c>
      <c r="D741" s="28" t="s">
        <v>1198</v>
      </c>
      <c r="E741" s="28" t="s">
        <v>211</v>
      </c>
      <c r="F741" s="28" t="s">
        <v>490</v>
      </c>
      <c r="G741" s="28"/>
      <c r="H741" s="28">
        <v>8549393</v>
      </c>
      <c r="I741" s="28">
        <v>258586</v>
      </c>
      <c r="J741" s="28">
        <v>0.99</v>
      </c>
      <c r="K741" s="28">
        <v>33</v>
      </c>
      <c r="L741" s="28">
        <v>1</v>
      </c>
    </row>
    <row r="742" spans="1:12" ht="14.25" customHeight="1" x14ac:dyDescent="0.2">
      <c r="A742" s="28">
        <v>741</v>
      </c>
      <c r="B742" s="28" t="s">
        <v>1225</v>
      </c>
      <c r="C742" s="28" t="s">
        <v>1214</v>
      </c>
      <c r="D742" s="28" t="s">
        <v>1198</v>
      </c>
      <c r="E742" s="28" t="s">
        <v>211</v>
      </c>
      <c r="F742" s="28" t="s">
        <v>490</v>
      </c>
      <c r="G742" s="28"/>
      <c r="H742" s="28">
        <v>8472964</v>
      </c>
      <c r="I742" s="28">
        <v>257123</v>
      </c>
      <c r="J742" s="28">
        <v>0.99</v>
      </c>
      <c r="K742" s="28">
        <v>3</v>
      </c>
      <c r="L742" s="28">
        <v>0</v>
      </c>
    </row>
    <row r="743" spans="1:12" ht="14.25" customHeight="1" x14ac:dyDescent="0.2">
      <c r="A743" s="28">
        <v>742</v>
      </c>
      <c r="B743" s="28" t="s">
        <v>1226</v>
      </c>
      <c r="C743" s="28" t="s">
        <v>1214</v>
      </c>
      <c r="D743" s="28" t="s">
        <v>1198</v>
      </c>
      <c r="E743" s="28" t="s">
        <v>211</v>
      </c>
      <c r="F743" s="28" t="s">
        <v>490</v>
      </c>
      <c r="G743" s="28"/>
      <c r="H743" s="28">
        <v>7026317</v>
      </c>
      <c r="I743" s="28">
        <v>211853</v>
      </c>
      <c r="J743" s="28">
        <v>0.99</v>
      </c>
      <c r="K743" s="28">
        <v>52</v>
      </c>
      <c r="L743" s="28">
        <v>0</v>
      </c>
    </row>
    <row r="744" spans="1:12" ht="14.25" customHeight="1" x14ac:dyDescent="0.2">
      <c r="A744" s="28">
        <v>743</v>
      </c>
      <c r="B744" s="28" t="s">
        <v>1227</v>
      </c>
      <c r="C744" s="28" t="s">
        <v>1214</v>
      </c>
      <c r="D744" s="28" t="s">
        <v>1198</v>
      </c>
      <c r="E744" s="28" t="s">
        <v>211</v>
      </c>
      <c r="F744" s="28" t="s">
        <v>490</v>
      </c>
      <c r="G744" s="28"/>
      <c r="H744" s="28">
        <v>8936345</v>
      </c>
      <c r="I744" s="28">
        <v>268173</v>
      </c>
      <c r="J744" s="28">
        <v>0.99</v>
      </c>
      <c r="K744" s="28">
        <v>75</v>
      </c>
      <c r="L744" s="28">
        <v>0</v>
      </c>
    </row>
    <row r="745" spans="1:12" ht="14.25" customHeight="1" x14ac:dyDescent="0.2">
      <c r="A745" s="28">
        <v>744</v>
      </c>
      <c r="B745" s="28" t="s">
        <v>1228</v>
      </c>
      <c r="C745" s="28" t="s">
        <v>1214</v>
      </c>
      <c r="D745" s="28" t="s">
        <v>1198</v>
      </c>
      <c r="E745" s="28" t="s">
        <v>211</v>
      </c>
      <c r="F745" s="28" t="s">
        <v>490</v>
      </c>
      <c r="G745" s="28"/>
      <c r="H745" s="28">
        <v>6195854</v>
      </c>
      <c r="I745" s="28">
        <v>188473</v>
      </c>
      <c r="J745" s="28">
        <v>0.99</v>
      </c>
      <c r="K745" s="28">
        <v>62</v>
      </c>
      <c r="L745" s="28">
        <v>2</v>
      </c>
    </row>
    <row r="746" spans="1:12" ht="14.25" customHeight="1" x14ac:dyDescent="0.2">
      <c r="A746" s="28">
        <v>745</v>
      </c>
      <c r="B746" s="28" t="s">
        <v>1229</v>
      </c>
      <c r="C746" s="28" t="s">
        <v>1230</v>
      </c>
      <c r="D746" s="28" t="s">
        <v>966</v>
      </c>
      <c r="E746" s="28" t="s">
        <v>211</v>
      </c>
      <c r="F746" s="28" t="s">
        <v>212</v>
      </c>
      <c r="G746" s="28" t="s">
        <v>1231</v>
      </c>
      <c r="H746" s="28">
        <v>7644604</v>
      </c>
      <c r="I746" s="28">
        <v>235781</v>
      </c>
      <c r="J746" s="28">
        <v>0.99</v>
      </c>
      <c r="K746" s="28">
        <v>64</v>
      </c>
      <c r="L746" s="28">
        <v>1</v>
      </c>
    </row>
    <row r="747" spans="1:12" ht="14.25" customHeight="1" x14ac:dyDescent="0.2">
      <c r="A747" s="28">
        <v>746</v>
      </c>
      <c r="B747" s="28" t="s">
        <v>1232</v>
      </c>
      <c r="C747" s="28" t="s">
        <v>1230</v>
      </c>
      <c r="D747" s="28" t="s">
        <v>966</v>
      </c>
      <c r="E747" s="28" t="s">
        <v>211</v>
      </c>
      <c r="F747" s="28" t="s">
        <v>212</v>
      </c>
      <c r="G747" s="28" t="s">
        <v>1233</v>
      </c>
      <c r="H747" s="28">
        <v>5501379</v>
      </c>
      <c r="I747" s="28">
        <v>168202</v>
      </c>
      <c r="J747" s="28">
        <v>0.99</v>
      </c>
      <c r="K747" s="28">
        <v>36</v>
      </c>
      <c r="L747" s="28">
        <v>0</v>
      </c>
    </row>
    <row r="748" spans="1:12" ht="14.25" customHeight="1" x14ac:dyDescent="0.2">
      <c r="A748" s="28">
        <v>747</v>
      </c>
      <c r="B748" s="28" t="s">
        <v>1234</v>
      </c>
      <c r="C748" s="28" t="s">
        <v>1230</v>
      </c>
      <c r="D748" s="28" t="s">
        <v>966</v>
      </c>
      <c r="E748" s="28" t="s">
        <v>211</v>
      </c>
      <c r="F748" s="28" t="s">
        <v>212</v>
      </c>
      <c r="G748" s="28" t="s">
        <v>1235</v>
      </c>
      <c r="H748" s="28">
        <v>7176909</v>
      </c>
      <c r="I748" s="28">
        <v>218044</v>
      </c>
      <c r="J748" s="28">
        <v>0.99</v>
      </c>
      <c r="K748" s="28">
        <v>49</v>
      </c>
      <c r="L748" s="28">
        <v>0</v>
      </c>
    </row>
    <row r="749" spans="1:12" ht="14.25" customHeight="1" x14ac:dyDescent="0.2">
      <c r="A749" s="28">
        <v>748</v>
      </c>
      <c r="B749" s="28" t="s">
        <v>1236</v>
      </c>
      <c r="C749" s="28" t="s">
        <v>1230</v>
      </c>
      <c r="D749" s="28" t="s">
        <v>966</v>
      </c>
      <c r="E749" s="28" t="s">
        <v>211</v>
      </c>
      <c r="F749" s="28" t="s">
        <v>212</v>
      </c>
      <c r="G749" s="28" t="s">
        <v>1237</v>
      </c>
      <c r="H749" s="28">
        <v>7591066</v>
      </c>
      <c r="I749" s="28">
        <v>230922</v>
      </c>
      <c r="J749" s="28">
        <v>0.99</v>
      </c>
      <c r="K749" s="28">
        <v>33</v>
      </c>
      <c r="L749" s="28">
        <v>0</v>
      </c>
    </row>
    <row r="750" spans="1:12" ht="14.25" customHeight="1" x14ac:dyDescent="0.2">
      <c r="A750" s="28">
        <v>749</v>
      </c>
      <c r="B750" s="28" t="s">
        <v>1238</v>
      </c>
      <c r="C750" s="28" t="s">
        <v>1230</v>
      </c>
      <c r="D750" s="28" t="s">
        <v>966</v>
      </c>
      <c r="E750" s="28" t="s">
        <v>211</v>
      </c>
      <c r="F750" s="28" t="s">
        <v>212</v>
      </c>
      <c r="G750" s="28" t="s">
        <v>1237</v>
      </c>
      <c r="H750" s="28">
        <v>8701064</v>
      </c>
      <c r="I750" s="28">
        <v>263836</v>
      </c>
      <c r="J750" s="28">
        <v>0.99</v>
      </c>
      <c r="K750" s="28">
        <v>60</v>
      </c>
      <c r="L750" s="28">
        <v>1</v>
      </c>
    </row>
    <row r="751" spans="1:12" ht="14.25" customHeight="1" x14ac:dyDescent="0.2">
      <c r="A751" s="28">
        <v>750</v>
      </c>
      <c r="B751" s="28" t="s">
        <v>1239</v>
      </c>
      <c r="C751" s="28" t="s">
        <v>1230</v>
      </c>
      <c r="D751" s="28" t="s">
        <v>966</v>
      </c>
      <c r="E751" s="28" t="s">
        <v>211</v>
      </c>
      <c r="F751" s="28" t="s">
        <v>212</v>
      </c>
      <c r="G751" s="28" t="s">
        <v>1237</v>
      </c>
      <c r="H751" s="28">
        <v>8001505</v>
      </c>
      <c r="I751" s="28">
        <v>242834</v>
      </c>
      <c r="J751" s="28">
        <v>0.99</v>
      </c>
      <c r="K751" s="28">
        <v>55</v>
      </c>
      <c r="L751" s="28">
        <v>1</v>
      </c>
    </row>
    <row r="752" spans="1:12" ht="14.25" customHeight="1" x14ac:dyDescent="0.2">
      <c r="A752" s="28">
        <v>751</v>
      </c>
      <c r="B752" s="28" t="s">
        <v>1240</v>
      </c>
      <c r="C752" s="28" t="s">
        <v>1230</v>
      </c>
      <c r="D752" s="28" t="s">
        <v>966</v>
      </c>
      <c r="E752" s="28" t="s">
        <v>211</v>
      </c>
      <c r="F752" s="28" t="s">
        <v>212</v>
      </c>
      <c r="G752" s="28" t="s">
        <v>1237</v>
      </c>
      <c r="H752" s="28">
        <v>6173806</v>
      </c>
      <c r="I752" s="28">
        <v>188160</v>
      </c>
      <c r="J752" s="28">
        <v>0.99</v>
      </c>
      <c r="K752" s="28">
        <v>24</v>
      </c>
      <c r="L752" s="28">
        <v>1</v>
      </c>
    </row>
    <row r="753" spans="1:12" ht="14.25" customHeight="1" x14ac:dyDescent="0.2">
      <c r="A753" s="28">
        <v>752</v>
      </c>
      <c r="B753" s="28" t="s">
        <v>1241</v>
      </c>
      <c r="C753" s="28" t="s">
        <v>1230</v>
      </c>
      <c r="D753" s="28" t="s">
        <v>966</v>
      </c>
      <c r="E753" s="28" t="s">
        <v>211</v>
      </c>
      <c r="F753" s="28" t="s">
        <v>212</v>
      </c>
      <c r="G753" s="28" t="s">
        <v>1242</v>
      </c>
      <c r="H753" s="28">
        <v>11995679</v>
      </c>
      <c r="I753" s="28">
        <v>370102</v>
      </c>
      <c r="J753" s="28">
        <v>0.99</v>
      </c>
      <c r="K753" s="28">
        <v>89</v>
      </c>
      <c r="L753" s="28">
        <v>0</v>
      </c>
    </row>
    <row r="754" spans="1:12" ht="14.25" customHeight="1" x14ac:dyDescent="0.2">
      <c r="A754" s="28">
        <v>753</v>
      </c>
      <c r="B754" s="28" t="s">
        <v>1243</v>
      </c>
      <c r="C754" s="28" t="s">
        <v>1230</v>
      </c>
      <c r="D754" s="28" t="s">
        <v>966</v>
      </c>
      <c r="E754" s="28" t="s">
        <v>211</v>
      </c>
      <c r="F754" s="28" t="s">
        <v>212</v>
      </c>
      <c r="G754" s="28" t="s">
        <v>1244</v>
      </c>
      <c r="H754" s="28">
        <v>10447868</v>
      </c>
      <c r="I754" s="28">
        <v>319111</v>
      </c>
      <c r="J754" s="28">
        <v>0.99</v>
      </c>
      <c r="K754" s="28">
        <v>28</v>
      </c>
      <c r="L754" s="28">
        <v>1</v>
      </c>
    </row>
    <row r="755" spans="1:12" ht="14.25" customHeight="1" x14ac:dyDescent="0.2">
      <c r="A755" s="28">
        <v>754</v>
      </c>
      <c r="B755" s="28" t="s">
        <v>1245</v>
      </c>
      <c r="C755" s="28" t="s">
        <v>1246</v>
      </c>
      <c r="D755" s="28" t="s">
        <v>966</v>
      </c>
      <c r="E755" s="28" t="s">
        <v>211</v>
      </c>
      <c r="F755" s="28" t="s">
        <v>212</v>
      </c>
      <c r="G755" s="28" t="s">
        <v>1247</v>
      </c>
      <c r="H755" s="28">
        <v>8587578</v>
      </c>
      <c r="I755" s="28">
        <v>264385</v>
      </c>
      <c r="J755" s="28">
        <v>0.99</v>
      </c>
      <c r="K755" s="28">
        <v>16</v>
      </c>
      <c r="L755" s="28">
        <v>0</v>
      </c>
    </row>
    <row r="756" spans="1:12" ht="14.25" customHeight="1" x14ac:dyDescent="0.2">
      <c r="A756" s="28">
        <v>755</v>
      </c>
      <c r="B756" s="28" t="s">
        <v>1248</v>
      </c>
      <c r="C756" s="28" t="s">
        <v>1246</v>
      </c>
      <c r="D756" s="28" t="s">
        <v>966</v>
      </c>
      <c r="E756" s="28" t="s">
        <v>211</v>
      </c>
      <c r="F756" s="28" t="s">
        <v>212</v>
      </c>
      <c r="G756" s="28" t="s">
        <v>1247</v>
      </c>
      <c r="H756" s="28">
        <v>8344405</v>
      </c>
      <c r="I756" s="28">
        <v>256261</v>
      </c>
      <c r="J756" s="28">
        <v>0.99</v>
      </c>
      <c r="K756" s="28">
        <v>72</v>
      </c>
      <c r="L756" s="28">
        <v>0</v>
      </c>
    </row>
    <row r="757" spans="1:12" ht="14.25" customHeight="1" x14ac:dyDescent="0.2">
      <c r="A757" s="28">
        <v>756</v>
      </c>
      <c r="B757" s="28" t="s">
        <v>1249</v>
      </c>
      <c r="C757" s="28" t="s">
        <v>1246</v>
      </c>
      <c r="D757" s="28" t="s">
        <v>966</v>
      </c>
      <c r="E757" s="28" t="s">
        <v>211</v>
      </c>
      <c r="F757" s="28" t="s">
        <v>212</v>
      </c>
      <c r="G757" s="28" t="s">
        <v>1247</v>
      </c>
      <c r="H757" s="28">
        <v>20230089</v>
      </c>
      <c r="I757" s="28">
        <v>620460</v>
      </c>
      <c r="J757" s="28">
        <v>0.99</v>
      </c>
      <c r="K757" s="28">
        <v>81</v>
      </c>
      <c r="L757" s="28">
        <v>1</v>
      </c>
    </row>
    <row r="758" spans="1:12" ht="14.25" customHeight="1" x14ac:dyDescent="0.2">
      <c r="A758" s="28">
        <v>757</v>
      </c>
      <c r="B758" s="28" t="s">
        <v>1250</v>
      </c>
      <c r="C758" s="28" t="s">
        <v>1246</v>
      </c>
      <c r="D758" s="28" t="s">
        <v>966</v>
      </c>
      <c r="E758" s="28" t="s">
        <v>211</v>
      </c>
      <c r="F758" s="28" t="s">
        <v>212</v>
      </c>
      <c r="G758" s="28" t="s">
        <v>1247</v>
      </c>
      <c r="H758" s="28">
        <v>15563967</v>
      </c>
      <c r="I758" s="28">
        <v>478302</v>
      </c>
      <c r="J758" s="28">
        <v>0.99</v>
      </c>
      <c r="K758" s="28">
        <v>92</v>
      </c>
      <c r="L758" s="28">
        <v>1</v>
      </c>
    </row>
    <row r="759" spans="1:12" ht="14.25" customHeight="1" x14ac:dyDescent="0.2">
      <c r="A759" s="28">
        <v>758</v>
      </c>
      <c r="B759" s="28" t="s">
        <v>1251</v>
      </c>
      <c r="C759" s="28" t="s">
        <v>1246</v>
      </c>
      <c r="D759" s="28" t="s">
        <v>966</v>
      </c>
      <c r="E759" s="28" t="s">
        <v>211</v>
      </c>
      <c r="F759" s="28" t="s">
        <v>212</v>
      </c>
      <c r="G759" s="28" t="s">
        <v>1247</v>
      </c>
      <c r="H759" s="28">
        <v>6849310</v>
      </c>
      <c r="I759" s="28">
        <v>210259</v>
      </c>
      <c r="J759" s="28">
        <v>0.99</v>
      </c>
      <c r="K759" s="28">
        <v>98</v>
      </c>
      <c r="L759" s="28">
        <v>1</v>
      </c>
    </row>
    <row r="760" spans="1:12" ht="14.25" customHeight="1" x14ac:dyDescent="0.2">
      <c r="A760" s="28">
        <v>759</v>
      </c>
      <c r="B760" s="28" t="s">
        <v>1252</v>
      </c>
      <c r="C760" s="28" t="s">
        <v>1246</v>
      </c>
      <c r="D760" s="28" t="s">
        <v>966</v>
      </c>
      <c r="E760" s="28" t="s">
        <v>211</v>
      </c>
      <c r="F760" s="28" t="s">
        <v>212</v>
      </c>
      <c r="G760" s="28" t="s">
        <v>1247</v>
      </c>
      <c r="H760" s="28">
        <v>8993056</v>
      </c>
      <c r="I760" s="28">
        <v>274886</v>
      </c>
      <c r="J760" s="28">
        <v>0.99</v>
      </c>
      <c r="K760" s="28">
        <v>77</v>
      </c>
      <c r="L760" s="28">
        <v>0</v>
      </c>
    </row>
    <row r="761" spans="1:12" ht="14.25" customHeight="1" x14ac:dyDescent="0.2">
      <c r="A761" s="28">
        <v>760</v>
      </c>
      <c r="B761" s="28" t="s">
        <v>1253</v>
      </c>
      <c r="C761" s="28" t="s">
        <v>1246</v>
      </c>
      <c r="D761" s="28" t="s">
        <v>966</v>
      </c>
      <c r="E761" s="28" t="s">
        <v>211</v>
      </c>
      <c r="F761" s="28" t="s">
        <v>212</v>
      </c>
      <c r="G761" s="28" t="s">
        <v>1247</v>
      </c>
      <c r="H761" s="28">
        <v>13931179</v>
      </c>
      <c r="I761" s="28">
        <v>431203</v>
      </c>
      <c r="J761" s="28">
        <v>0.99</v>
      </c>
      <c r="K761" s="28">
        <v>57</v>
      </c>
      <c r="L761" s="28">
        <v>0</v>
      </c>
    </row>
    <row r="762" spans="1:12" ht="14.25" customHeight="1" x14ac:dyDescent="0.2">
      <c r="A762" s="28">
        <v>761</v>
      </c>
      <c r="B762" s="28" t="s">
        <v>1254</v>
      </c>
      <c r="C762" s="28" t="s">
        <v>1254</v>
      </c>
      <c r="D762" s="28" t="s">
        <v>966</v>
      </c>
      <c r="E762" s="28" t="s">
        <v>211</v>
      </c>
      <c r="F762" s="28" t="s">
        <v>212</v>
      </c>
      <c r="G762" s="28" t="s">
        <v>1255</v>
      </c>
      <c r="H762" s="28">
        <v>6714807</v>
      </c>
      <c r="I762" s="28">
        <v>204721</v>
      </c>
      <c r="J762" s="28">
        <v>0.99</v>
      </c>
      <c r="K762" s="28">
        <v>11</v>
      </c>
      <c r="L762" s="28">
        <v>0</v>
      </c>
    </row>
    <row r="763" spans="1:12" ht="14.25" customHeight="1" x14ac:dyDescent="0.2">
      <c r="A763" s="28">
        <v>762</v>
      </c>
      <c r="B763" s="28" t="s">
        <v>1256</v>
      </c>
      <c r="C763" s="28" t="s">
        <v>1254</v>
      </c>
      <c r="D763" s="28" t="s">
        <v>966</v>
      </c>
      <c r="E763" s="28" t="s">
        <v>211</v>
      </c>
      <c r="F763" s="28" t="s">
        <v>212</v>
      </c>
      <c r="G763" s="28" t="s">
        <v>1255</v>
      </c>
      <c r="H763" s="28">
        <v>13646606</v>
      </c>
      <c r="I763" s="28">
        <v>414902</v>
      </c>
      <c r="J763" s="28">
        <v>0.99</v>
      </c>
      <c r="K763" s="28">
        <v>55</v>
      </c>
      <c r="L763" s="28">
        <v>2</v>
      </c>
    </row>
    <row r="764" spans="1:12" ht="14.25" customHeight="1" x14ac:dyDescent="0.2">
      <c r="A764" s="28">
        <v>763</v>
      </c>
      <c r="B764" s="28" t="s">
        <v>1257</v>
      </c>
      <c r="C764" s="28" t="s">
        <v>1254</v>
      </c>
      <c r="D764" s="28" t="s">
        <v>966</v>
      </c>
      <c r="E764" s="28" t="s">
        <v>211</v>
      </c>
      <c r="F764" s="28" t="s">
        <v>212</v>
      </c>
      <c r="G764" s="28" t="s">
        <v>1255</v>
      </c>
      <c r="H764" s="28">
        <v>8072036</v>
      </c>
      <c r="I764" s="28">
        <v>247092</v>
      </c>
      <c r="J764" s="28">
        <v>0.99</v>
      </c>
      <c r="K764" s="28">
        <v>74</v>
      </c>
      <c r="L764" s="28">
        <v>1</v>
      </c>
    </row>
    <row r="765" spans="1:12" ht="14.25" customHeight="1" x14ac:dyDescent="0.2">
      <c r="A765" s="28">
        <v>764</v>
      </c>
      <c r="B765" s="28" t="s">
        <v>1258</v>
      </c>
      <c r="C765" s="28" t="s">
        <v>1254</v>
      </c>
      <c r="D765" s="28" t="s">
        <v>966</v>
      </c>
      <c r="E765" s="28" t="s">
        <v>211</v>
      </c>
      <c r="F765" s="28" t="s">
        <v>212</v>
      </c>
      <c r="G765" s="28" t="s">
        <v>1255</v>
      </c>
      <c r="H765" s="28">
        <v>9354480</v>
      </c>
      <c r="I765" s="28">
        <v>284682</v>
      </c>
      <c r="J765" s="28">
        <v>0.99</v>
      </c>
      <c r="K765" s="28">
        <v>63</v>
      </c>
      <c r="L765" s="28">
        <v>0</v>
      </c>
    </row>
    <row r="766" spans="1:12" ht="14.25" customHeight="1" x14ac:dyDescent="0.2">
      <c r="A766" s="28">
        <v>765</v>
      </c>
      <c r="B766" s="28" t="s">
        <v>1259</v>
      </c>
      <c r="C766" s="28" t="s">
        <v>1254</v>
      </c>
      <c r="D766" s="28" t="s">
        <v>966</v>
      </c>
      <c r="E766" s="28" t="s">
        <v>211</v>
      </c>
      <c r="F766" s="28" t="s">
        <v>212</v>
      </c>
      <c r="G766" s="28" t="s">
        <v>1255</v>
      </c>
      <c r="H766" s="28">
        <v>10638390</v>
      </c>
      <c r="I766" s="28">
        <v>322063</v>
      </c>
      <c r="J766" s="28">
        <v>0.99</v>
      </c>
      <c r="K766" s="28">
        <v>10</v>
      </c>
      <c r="L766" s="28">
        <v>0</v>
      </c>
    </row>
    <row r="767" spans="1:12" ht="14.25" customHeight="1" x14ac:dyDescent="0.2">
      <c r="A767" s="28">
        <v>766</v>
      </c>
      <c r="B767" s="28" t="s">
        <v>1260</v>
      </c>
      <c r="C767" s="28" t="s">
        <v>1254</v>
      </c>
      <c r="D767" s="28" t="s">
        <v>966</v>
      </c>
      <c r="E767" s="28" t="s">
        <v>211</v>
      </c>
      <c r="F767" s="28" t="s">
        <v>212</v>
      </c>
      <c r="G767" s="28" t="s">
        <v>1255</v>
      </c>
      <c r="H767" s="28">
        <v>16279366</v>
      </c>
      <c r="I767" s="28">
        <v>500427</v>
      </c>
      <c r="J767" s="28">
        <v>0.99</v>
      </c>
      <c r="K767" s="28">
        <v>21</v>
      </c>
      <c r="L767" s="28">
        <v>0</v>
      </c>
    </row>
    <row r="768" spans="1:12" ht="14.25" customHeight="1" x14ac:dyDescent="0.2">
      <c r="A768" s="28">
        <v>767</v>
      </c>
      <c r="B768" s="28" t="s">
        <v>1261</v>
      </c>
      <c r="C768" s="28" t="s">
        <v>1254</v>
      </c>
      <c r="D768" s="28" t="s">
        <v>966</v>
      </c>
      <c r="E768" s="28" t="s">
        <v>211</v>
      </c>
      <c r="F768" s="28" t="s">
        <v>212</v>
      </c>
      <c r="G768" s="28" t="s">
        <v>1255</v>
      </c>
      <c r="H768" s="28">
        <v>12643813</v>
      </c>
      <c r="I768" s="28">
        <v>385880</v>
      </c>
      <c r="J768" s="28">
        <v>0.99</v>
      </c>
      <c r="K768" s="28">
        <v>10</v>
      </c>
      <c r="L768" s="28">
        <v>1</v>
      </c>
    </row>
    <row r="769" spans="1:12" ht="14.25" customHeight="1" x14ac:dyDescent="0.2">
      <c r="A769" s="28">
        <v>768</v>
      </c>
      <c r="B769" s="28" t="s">
        <v>1262</v>
      </c>
      <c r="C769" s="28" t="s">
        <v>1263</v>
      </c>
      <c r="D769" s="28" t="s">
        <v>966</v>
      </c>
      <c r="E769" s="28" t="s">
        <v>211</v>
      </c>
      <c r="F769" s="28" t="s">
        <v>212</v>
      </c>
      <c r="G769" s="28" t="s">
        <v>1264</v>
      </c>
      <c r="H769" s="28">
        <v>13779332</v>
      </c>
      <c r="I769" s="28">
        <v>424829</v>
      </c>
      <c r="J769" s="28">
        <v>0.99</v>
      </c>
      <c r="K769" s="28">
        <v>70</v>
      </c>
      <c r="L769" s="28">
        <v>1</v>
      </c>
    </row>
    <row r="770" spans="1:12" ht="14.25" customHeight="1" x14ac:dyDescent="0.2">
      <c r="A770" s="28">
        <v>769</v>
      </c>
      <c r="B770" s="28" t="s">
        <v>1265</v>
      </c>
      <c r="C770" s="28" t="s">
        <v>1263</v>
      </c>
      <c r="D770" s="28" t="s">
        <v>966</v>
      </c>
      <c r="E770" s="28" t="s">
        <v>211</v>
      </c>
      <c r="F770" s="28" t="s">
        <v>212</v>
      </c>
      <c r="G770" s="28" t="s">
        <v>1266</v>
      </c>
      <c r="H770" s="28">
        <v>10035180</v>
      </c>
      <c r="I770" s="28">
        <v>307905</v>
      </c>
      <c r="J770" s="28">
        <v>0.99</v>
      </c>
      <c r="K770" s="28">
        <v>64</v>
      </c>
      <c r="L770" s="28">
        <v>0</v>
      </c>
    </row>
    <row r="771" spans="1:12" ht="14.25" customHeight="1" x14ac:dyDescent="0.2">
      <c r="A771" s="28">
        <v>770</v>
      </c>
      <c r="B771" s="28" t="s">
        <v>1267</v>
      </c>
      <c r="C771" s="28" t="s">
        <v>1263</v>
      </c>
      <c r="D771" s="28" t="s">
        <v>966</v>
      </c>
      <c r="E771" s="28" t="s">
        <v>211</v>
      </c>
      <c r="F771" s="28" t="s">
        <v>212</v>
      </c>
      <c r="G771" s="28" t="s">
        <v>1268</v>
      </c>
      <c r="H771" s="28">
        <v>19712753</v>
      </c>
      <c r="I771" s="28">
        <v>602880</v>
      </c>
      <c r="J771" s="28">
        <v>0.99</v>
      </c>
      <c r="K771" s="28">
        <v>94</v>
      </c>
      <c r="L771" s="28">
        <v>0</v>
      </c>
    </row>
    <row r="772" spans="1:12" ht="14.25" customHeight="1" x14ac:dyDescent="0.2">
      <c r="A772" s="28">
        <v>771</v>
      </c>
      <c r="B772" s="28" t="s">
        <v>1269</v>
      </c>
      <c r="C772" s="28" t="s">
        <v>1263</v>
      </c>
      <c r="D772" s="28" t="s">
        <v>966</v>
      </c>
      <c r="E772" s="28" t="s">
        <v>211</v>
      </c>
      <c r="F772" s="28" t="s">
        <v>212</v>
      </c>
      <c r="G772" s="28" t="s">
        <v>1268</v>
      </c>
      <c r="H772" s="28">
        <v>7929493</v>
      </c>
      <c r="I772" s="28">
        <v>243017</v>
      </c>
      <c r="J772" s="28">
        <v>0.99</v>
      </c>
      <c r="K772" s="28">
        <v>86</v>
      </c>
      <c r="L772" s="28">
        <v>1</v>
      </c>
    </row>
    <row r="773" spans="1:12" ht="14.25" customHeight="1" x14ac:dyDescent="0.2">
      <c r="A773" s="28">
        <v>772</v>
      </c>
      <c r="B773" s="28" t="s">
        <v>1270</v>
      </c>
      <c r="C773" s="28" t="s">
        <v>1263</v>
      </c>
      <c r="D773" s="28" t="s">
        <v>966</v>
      </c>
      <c r="E773" s="28" t="s">
        <v>211</v>
      </c>
      <c r="F773" s="28" t="s">
        <v>212</v>
      </c>
      <c r="G773" s="28" t="s">
        <v>1268</v>
      </c>
      <c r="H773" s="28">
        <v>12058906</v>
      </c>
      <c r="I773" s="28">
        <v>368770</v>
      </c>
      <c r="J773" s="28">
        <v>0.99</v>
      </c>
      <c r="K773" s="28">
        <v>32</v>
      </c>
      <c r="L773" s="28">
        <v>1</v>
      </c>
    </row>
    <row r="774" spans="1:12" ht="14.25" customHeight="1" x14ac:dyDescent="0.2">
      <c r="A774" s="28">
        <v>773</v>
      </c>
      <c r="B774" s="28" t="s">
        <v>1271</v>
      </c>
      <c r="C774" s="28" t="s">
        <v>1263</v>
      </c>
      <c r="D774" s="28" t="s">
        <v>966</v>
      </c>
      <c r="E774" s="28" t="s">
        <v>211</v>
      </c>
      <c r="F774" s="28" t="s">
        <v>212</v>
      </c>
      <c r="G774" s="28" t="s">
        <v>1264</v>
      </c>
      <c r="H774" s="28">
        <v>10445353</v>
      </c>
      <c r="I774" s="28">
        <v>321149</v>
      </c>
      <c r="J774" s="28">
        <v>0.99</v>
      </c>
      <c r="K774" s="28">
        <v>25</v>
      </c>
      <c r="L774" s="28">
        <v>0</v>
      </c>
    </row>
    <row r="775" spans="1:12" ht="14.25" customHeight="1" x14ac:dyDescent="0.2">
      <c r="A775" s="28">
        <v>774</v>
      </c>
      <c r="B775" s="28" t="s">
        <v>1272</v>
      </c>
      <c r="C775" s="28" t="s">
        <v>1263</v>
      </c>
      <c r="D775" s="28" t="s">
        <v>966</v>
      </c>
      <c r="E775" s="28" t="s">
        <v>211</v>
      </c>
      <c r="F775" s="28" t="s">
        <v>212</v>
      </c>
      <c r="G775" s="28" t="s">
        <v>1273</v>
      </c>
      <c r="H775" s="28">
        <v>9740361</v>
      </c>
      <c r="I775" s="28">
        <v>295053</v>
      </c>
      <c r="J775" s="28">
        <v>0.99</v>
      </c>
      <c r="K775" s="28">
        <v>17</v>
      </c>
      <c r="L775" s="28">
        <v>1</v>
      </c>
    </row>
    <row r="776" spans="1:12" ht="14.25" customHeight="1" x14ac:dyDescent="0.2">
      <c r="A776" s="28">
        <v>775</v>
      </c>
      <c r="B776" s="28" t="s">
        <v>1274</v>
      </c>
      <c r="C776" s="28" t="s">
        <v>1263</v>
      </c>
      <c r="D776" s="28" t="s">
        <v>966</v>
      </c>
      <c r="E776" s="28" t="s">
        <v>211</v>
      </c>
      <c r="F776" s="28" t="s">
        <v>212</v>
      </c>
      <c r="G776" s="28" t="s">
        <v>1266</v>
      </c>
      <c r="H776" s="28">
        <v>9575295</v>
      </c>
      <c r="I776" s="28">
        <v>293851</v>
      </c>
      <c r="J776" s="28">
        <v>0.99</v>
      </c>
      <c r="K776" s="28">
        <v>4</v>
      </c>
      <c r="L776" s="28">
        <v>0</v>
      </c>
    </row>
    <row r="777" spans="1:12" ht="14.25" customHeight="1" x14ac:dyDescent="0.2">
      <c r="A777" s="28">
        <v>776</v>
      </c>
      <c r="B777" s="28" t="s">
        <v>1275</v>
      </c>
      <c r="C777" s="28" t="s">
        <v>1263</v>
      </c>
      <c r="D777" s="28" t="s">
        <v>966</v>
      </c>
      <c r="E777" s="28" t="s">
        <v>211</v>
      </c>
      <c r="F777" s="28" t="s">
        <v>212</v>
      </c>
      <c r="G777" s="28" t="s">
        <v>1276</v>
      </c>
      <c r="H777" s="28">
        <v>6944928</v>
      </c>
      <c r="I777" s="28">
        <v>213054</v>
      </c>
      <c r="J777" s="28">
        <v>0.99</v>
      </c>
      <c r="K777" s="28">
        <v>40</v>
      </c>
      <c r="L777" s="28">
        <v>1</v>
      </c>
    </row>
    <row r="778" spans="1:12" ht="14.25" customHeight="1" x14ac:dyDescent="0.2">
      <c r="A778" s="28">
        <v>777</v>
      </c>
      <c r="B778" s="28" t="s">
        <v>974</v>
      </c>
      <c r="C778" s="28" t="s">
        <v>1263</v>
      </c>
      <c r="D778" s="28" t="s">
        <v>966</v>
      </c>
      <c r="E778" s="28" t="s">
        <v>211</v>
      </c>
      <c r="F778" s="28" t="s">
        <v>212</v>
      </c>
      <c r="G778" s="28" t="s">
        <v>1268</v>
      </c>
      <c r="H778" s="28">
        <v>15180849</v>
      </c>
      <c r="I778" s="28">
        <v>464378</v>
      </c>
      <c r="J778" s="28">
        <v>0.99</v>
      </c>
      <c r="K778" s="28">
        <v>16</v>
      </c>
      <c r="L778" s="28">
        <v>0</v>
      </c>
    </row>
    <row r="779" spans="1:12" ht="14.25" customHeight="1" x14ac:dyDescent="0.2">
      <c r="A779" s="28">
        <v>778</v>
      </c>
      <c r="B779" s="28" t="s">
        <v>1277</v>
      </c>
      <c r="C779" s="28" t="s">
        <v>1263</v>
      </c>
      <c r="D779" s="28" t="s">
        <v>966</v>
      </c>
      <c r="E779" s="28" t="s">
        <v>211</v>
      </c>
      <c r="F779" s="28" t="s">
        <v>212</v>
      </c>
      <c r="G779" s="28" t="s">
        <v>1268</v>
      </c>
      <c r="H779" s="28">
        <v>11122183</v>
      </c>
      <c r="I779" s="28">
        <v>341185</v>
      </c>
      <c r="J779" s="28">
        <v>0.99</v>
      </c>
      <c r="K779" s="28">
        <v>68</v>
      </c>
      <c r="L779" s="28">
        <v>0</v>
      </c>
    </row>
    <row r="780" spans="1:12" ht="14.25" customHeight="1" x14ac:dyDescent="0.2">
      <c r="A780" s="28">
        <v>779</v>
      </c>
      <c r="B780" s="28" t="s">
        <v>1278</v>
      </c>
      <c r="C780" s="28" t="s">
        <v>1279</v>
      </c>
      <c r="D780" s="28" t="s">
        <v>966</v>
      </c>
      <c r="E780" s="28" t="s">
        <v>211</v>
      </c>
      <c r="F780" s="28" t="s">
        <v>212</v>
      </c>
      <c r="G780" s="28" t="s">
        <v>1280</v>
      </c>
      <c r="H780" s="28">
        <v>12012452</v>
      </c>
      <c r="I780" s="28">
        <v>368770</v>
      </c>
      <c r="J780" s="28">
        <v>0.99</v>
      </c>
      <c r="K780" s="28">
        <v>69</v>
      </c>
      <c r="L780" s="28">
        <v>0</v>
      </c>
    </row>
    <row r="781" spans="1:12" ht="14.25" customHeight="1" x14ac:dyDescent="0.2">
      <c r="A781" s="28">
        <v>780</v>
      </c>
      <c r="B781" s="28" t="s">
        <v>1281</v>
      </c>
      <c r="C781" s="28" t="s">
        <v>1279</v>
      </c>
      <c r="D781" s="28" t="s">
        <v>966</v>
      </c>
      <c r="E781" s="28" t="s">
        <v>211</v>
      </c>
      <c r="F781" s="28" t="s">
        <v>212</v>
      </c>
      <c r="G781" s="28" t="s">
        <v>1280</v>
      </c>
      <c r="H781" s="28">
        <v>9502646</v>
      </c>
      <c r="I781" s="28">
        <v>290455</v>
      </c>
      <c r="J781" s="28">
        <v>0.99</v>
      </c>
      <c r="K781" s="28">
        <v>29</v>
      </c>
      <c r="L781" s="28">
        <v>2</v>
      </c>
    </row>
    <row r="782" spans="1:12" ht="14.25" customHeight="1" x14ac:dyDescent="0.2">
      <c r="A782" s="28">
        <v>781</v>
      </c>
      <c r="B782" s="28" t="s">
        <v>1282</v>
      </c>
      <c r="C782" s="28" t="s">
        <v>1279</v>
      </c>
      <c r="D782" s="28" t="s">
        <v>966</v>
      </c>
      <c r="E782" s="28" t="s">
        <v>211</v>
      </c>
      <c r="F782" s="28" t="s">
        <v>212</v>
      </c>
      <c r="G782" s="28" t="s">
        <v>1280</v>
      </c>
      <c r="H782" s="28">
        <v>9903835</v>
      </c>
      <c r="I782" s="28">
        <v>303777</v>
      </c>
      <c r="J782" s="28">
        <v>0.99</v>
      </c>
      <c r="K782" s="28">
        <v>20</v>
      </c>
      <c r="L782" s="28">
        <v>1</v>
      </c>
    </row>
    <row r="783" spans="1:12" ht="14.25" customHeight="1" x14ac:dyDescent="0.2">
      <c r="A783" s="28">
        <v>782</v>
      </c>
      <c r="B783" s="28" t="s">
        <v>1283</v>
      </c>
      <c r="C783" s="28" t="s">
        <v>1279</v>
      </c>
      <c r="D783" s="28" t="s">
        <v>966</v>
      </c>
      <c r="E783" s="28" t="s">
        <v>211</v>
      </c>
      <c r="F783" s="28" t="s">
        <v>212</v>
      </c>
      <c r="G783" s="28" t="s">
        <v>1280</v>
      </c>
      <c r="H783" s="28">
        <v>7832790</v>
      </c>
      <c r="I783" s="28">
        <v>239830</v>
      </c>
      <c r="J783" s="28">
        <v>0.99</v>
      </c>
      <c r="K783" s="28">
        <v>84</v>
      </c>
      <c r="L783" s="28">
        <v>0</v>
      </c>
    </row>
    <row r="784" spans="1:12" ht="14.25" customHeight="1" x14ac:dyDescent="0.2">
      <c r="A784" s="28">
        <v>783</v>
      </c>
      <c r="B784" s="28" t="s">
        <v>974</v>
      </c>
      <c r="C784" s="28" t="s">
        <v>1279</v>
      </c>
      <c r="D784" s="28" t="s">
        <v>966</v>
      </c>
      <c r="E784" s="28" t="s">
        <v>211</v>
      </c>
      <c r="F784" s="28" t="s">
        <v>212</v>
      </c>
      <c r="G784" s="28" t="s">
        <v>1280</v>
      </c>
      <c r="H784" s="28">
        <v>11246496</v>
      </c>
      <c r="I784" s="28">
        <v>340871</v>
      </c>
      <c r="J784" s="28">
        <v>0.99</v>
      </c>
      <c r="K784" s="28">
        <v>62</v>
      </c>
      <c r="L784" s="28">
        <v>0</v>
      </c>
    </row>
    <row r="785" spans="1:12" ht="14.25" customHeight="1" x14ac:dyDescent="0.2">
      <c r="A785" s="28">
        <v>784</v>
      </c>
      <c r="B785" s="28" t="s">
        <v>1284</v>
      </c>
      <c r="C785" s="28" t="s">
        <v>1279</v>
      </c>
      <c r="D785" s="28" t="s">
        <v>966</v>
      </c>
      <c r="E785" s="28" t="s">
        <v>211</v>
      </c>
      <c r="F785" s="28" t="s">
        <v>212</v>
      </c>
      <c r="G785" s="28" t="s">
        <v>1280</v>
      </c>
      <c r="H785" s="28">
        <v>14397671</v>
      </c>
      <c r="I785" s="28">
        <v>442096</v>
      </c>
      <c r="J785" s="28">
        <v>0.99</v>
      </c>
      <c r="K785" s="28">
        <v>26</v>
      </c>
      <c r="L785" s="28">
        <v>0</v>
      </c>
    </row>
    <row r="786" spans="1:12" ht="14.25" customHeight="1" x14ac:dyDescent="0.2">
      <c r="A786" s="28">
        <v>785</v>
      </c>
      <c r="B786" s="28" t="s">
        <v>1084</v>
      </c>
      <c r="C786" s="28" t="s">
        <v>1279</v>
      </c>
      <c r="D786" s="28" t="s">
        <v>966</v>
      </c>
      <c r="E786" s="28" t="s">
        <v>211</v>
      </c>
      <c r="F786" s="28" t="s">
        <v>212</v>
      </c>
      <c r="G786" s="28" t="s">
        <v>1280</v>
      </c>
      <c r="H786" s="28">
        <v>8981030</v>
      </c>
      <c r="I786" s="28">
        <v>272796</v>
      </c>
      <c r="J786" s="28">
        <v>0.99</v>
      </c>
      <c r="K786" s="28">
        <v>42</v>
      </c>
      <c r="L786" s="28">
        <v>1</v>
      </c>
    </row>
    <row r="787" spans="1:12" ht="14.25" customHeight="1" x14ac:dyDescent="0.2">
      <c r="A787" s="28">
        <v>786</v>
      </c>
      <c r="B787" s="28" t="s">
        <v>1285</v>
      </c>
      <c r="C787" s="28" t="s">
        <v>1286</v>
      </c>
      <c r="D787" s="28" t="s">
        <v>966</v>
      </c>
      <c r="E787" s="28" t="s">
        <v>211</v>
      </c>
      <c r="F787" s="28" t="s">
        <v>212</v>
      </c>
      <c r="G787" s="28" t="s">
        <v>1287</v>
      </c>
      <c r="H787" s="28">
        <v>8510755</v>
      </c>
      <c r="I787" s="28">
        <v>257384</v>
      </c>
      <c r="J787" s="28">
        <v>0.99</v>
      </c>
      <c r="K787" s="28">
        <v>5</v>
      </c>
      <c r="L787" s="28">
        <v>1</v>
      </c>
    </row>
    <row r="788" spans="1:12" ht="14.25" customHeight="1" x14ac:dyDescent="0.2">
      <c r="A788" s="28">
        <v>787</v>
      </c>
      <c r="B788" s="28" t="s">
        <v>1288</v>
      </c>
      <c r="C788" s="28" t="s">
        <v>1286</v>
      </c>
      <c r="D788" s="28" t="s">
        <v>966</v>
      </c>
      <c r="E788" s="28" t="s">
        <v>211</v>
      </c>
      <c r="F788" s="28" t="s">
        <v>212</v>
      </c>
      <c r="G788" s="28" t="s">
        <v>1287</v>
      </c>
      <c r="H788" s="28">
        <v>11702232</v>
      </c>
      <c r="I788" s="28">
        <v>359680</v>
      </c>
      <c r="J788" s="28">
        <v>0.99</v>
      </c>
      <c r="K788" s="28">
        <v>30</v>
      </c>
      <c r="L788" s="28">
        <v>0</v>
      </c>
    </row>
    <row r="789" spans="1:12" ht="14.25" customHeight="1" x14ac:dyDescent="0.2">
      <c r="A789" s="28">
        <v>788</v>
      </c>
      <c r="B789" s="28" t="s">
        <v>1289</v>
      </c>
      <c r="C789" s="28" t="s">
        <v>1286</v>
      </c>
      <c r="D789" s="28" t="s">
        <v>966</v>
      </c>
      <c r="E789" s="28" t="s">
        <v>211</v>
      </c>
      <c r="F789" s="28" t="s">
        <v>212</v>
      </c>
      <c r="G789" s="28" t="s">
        <v>1287</v>
      </c>
      <c r="H789" s="28">
        <v>9401383</v>
      </c>
      <c r="I789" s="28">
        <v>287791</v>
      </c>
      <c r="J789" s="28">
        <v>0.99</v>
      </c>
      <c r="K789" s="28">
        <v>35</v>
      </c>
      <c r="L789" s="28">
        <v>0</v>
      </c>
    </row>
    <row r="790" spans="1:12" ht="14.25" customHeight="1" x14ac:dyDescent="0.2">
      <c r="A790" s="28">
        <v>789</v>
      </c>
      <c r="B790" s="28" t="s">
        <v>1290</v>
      </c>
      <c r="C790" s="28" t="s">
        <v>1286</v>
      </c>
      <c r="D790" s="28" t="s">
        <v>966</v>
      </c>
      <c r="E790" s="28" t="s">
        <v>211</v>
      </c>
      <c r="F790" s="28" t="s">
        <v>212</v>
      </c>
      <c r="G790" s="28" t="s">
        <v>1287</v>
      </c>
      <c r="H790" s="28">
        <v>14789410</v>
      </c>
      <c r="I790" s="28">
        <v>451840</v>
      </c>
      <c r="J790" s="28">
        <v>0.99</v>
      </c>
      <c r="K790" s="28">
        <v>55</v>
      </c>
      <c r="L790" s="28">
        <v>1</v>
      </c>
    </row>
    <row r="791" spans="1:12" ht="14.25" customHeight="1" x14ac:dyDescent="0.2">
      <c r="A791" s="28">
        <v>790</v>
      </c>
      <c r="B791" s="28" t="s">
        <v>1291</v>
      </c>
      <c r="C791" s="28" t="s">
        <v>1286</v>
      </c>
      <c r="D791" s="28" t="s">
        <v>966</v>
      </c>
      <c r="E791" s="28" t="s">
        <v>211</v>
      </c>
      <c r="F791" s="28" t="s">
        <v>212</v>
      </c>
      <c r="G791" s="28" t="s">
        <v>1287</v>
      </c>
      <c r="H791" s="28">
        <v>9209693</v>
      </c>
      <c r="I791" s="28">
        <v>283689</v>
      </c>
      <c r="J791" s="28">
        <v>0.99</v>
      </c>
      <c r="K791" s="28">
        <v>77</v>
      </c>
      <c r="L791" s="28">
        <v>1</v>
      </c>
    </row>
    <row r="792" spans="1:12" ht="14.25" customHeight="1" x14ac:dyDescent="0.2">
      <c r="A792" s="28">
        <v>791</v>
      </c>
      <c r="B792" s="28" t="s">
        <v>1292</v>
      </c>
      <c r="C792" s="28" t="s">
        <v>1286</v>
      </c>
      <c r="D792" s="28" t="s">
        <v>966</v>
      </c>
      <c r="E792" s="28" t="s">
        <v>211</v>
      </c>
      <c r="F792" s="28" t="s">
        <v>212</v>
      </c>
      <c r="G792" s="28" t="s">
        <v>1287</v>
      </c>
      <c r="H792" s="28">
        <v>10532053</v>
      </c>
      <c r="I792" s="28">
        <v>320992</v>
      </c>
      <c r="J792" s="28">
        <v>0.99</v>
      </c>
      <c r="K792" s="28">
        <v>55</v>
      </c>
      <c r="L792" s="28">
        <v>0</v>
      </c>
    </row>
    <row r="793" spans="1:12" ht="14.25" customHeight="1" x14ac:dyDescent="0.2">
      <c r="A793" s="28">
        <v>792</v>
      </c>
      <c r="B793" s="28" t="s">
        <v>1293</v>
      </c>
      <c r="C793" s="28" t="s">
        <v>1286</v>
      </c>
      <c r="D793" s="28" t="s">
        <v>966</v>
      </c>
      <c r="E793" s="28" t="s">
        <v>211</v>
      </c>
      <c r="F793" s="28" t="s">
        <v>212</v>
      </c>
      <c r="G793" s="28" t="s">
        <v>1287</v>
      </c>
      <c r="H793" s="28">
        <v>10323804</v>
      </c>
      <c r="I793" s="28">
        <v>312372</v>
      </c>
      <c r="J793" s="28">
        <v>0.99</v>
      </c>
      <c r="K793" s="28">
        <v>14</v>
      </c>
      <c r="L793" s="28">
        <v>0</v>
      </c>
    </row>
    <row r="794" spans="1:12" ht="14.25" customHeight="1" x14ac:dyDescent="0.2">
      <c r="A794" s="28">
        <v>793</v>
      </c>
      <c r="B794" s="28" t="s">
        <v>1294</v>
      </c>
      <c r="C794" s="28" t="s">
        <v>1286</v>
      </c>
      <c r="D794" s="28" t="s">
        <v>966</v>
      </c>
      <c r="E794" s="28" t="s">
        <v>211</v>
      </c>
      <c r="F794" s="28" t="s">
        <v>212</v>
      </c>
      <c r="G794" s="28" t="s">
        <v>1287</v>
      </c>
      <c r="H794" s="28">
        <v>10159566</v>
      </c>
      <c r="I794" s="28">
        <v>311693</v>
      </c>
      <c r="J794" s="28">
        <v>0.99</v>
      </c>
      <c r="K794" s="28">
        <v>40</v>
      </c>
      <c r="L794" s="28">
        <v>0</v>
      </c>
    </row>
    <row r="795" spans="1:12" ht="14.25" customHeight="1" x14ac:dyDescent="0.2">
      <c r="A795" s="28">
        <v>794</v>
      </c>
      <c r="B795" s="28" t="s">
        <v>1295</v>
      </c>
      <c r="C795" s="28" t="s">
        <v>1286</v>
      </c>
      <c r="D795" s="28" t="s">
        <v>966</v>
      </c>
      <c r="E795" s="28" t="s">
        <v>211</v>
      </c>
      <c r="F795" s="28" t="s">
        <v>212</v>
      </c>
      <c r="G795" s="28" t="s">
        <v>1287</v>
      </c>
      <c r="H795" s="28">
        <v>9098561</v>
      </c>
      <c r="I795" s="28">
        <v>276323</v>
      </c>
      <c r="J795" s="28">
        <v>0.99</v>
      </c>
      <c r="K795" s="28">
        <v>13</v>
      </c>
      <c r="L795" s="28">
        <v>1</v>
      </c>
    </row>
    <row r="796" spans="1:12" ht="14.25" customHeight="1" x14ac:dyDescent="0.2">
      <c r="A796" s="28">
        <v>795</v>
      </c>
      <c r="B796" s="28" t="s">
        <v>1296</v>
      </c>
      <c r="C796" s="28" t="s">
        <v>1286</v>
      </c>
      <c r="D796" s="28" t="s">
        <v>966</v>
      </c>
      <c r="E796" s="28" t="s">
        <v>211</v>
      </c>
      <c r="F796" s="28" t="s">
        <v>212</v>
      </c>
      <c r="G796" s="28" t="s">
        <v>1287</v>
      </c>
      <c r="H796" s="28">
        <v>11600029</v>
      </c>
      <c r="I796" s="28">
        <v>354089</v>
      </c>
      <c r="J796" s="28">
        <v>0.99</v>
      </c>
      <c r="K796" s="28">
        <v>38</v>
      </c>
      <c r="L796" s="28">
        <v>1</v>
      </c>
    </row>
    <row r="797" spans="1:12" ht="14.25" customHeight="1" x14ac:dyDescent="0.2">
      <c r="A797" s="28">
        <v>796</v>
      </c>
      <c r="B797" s="28" t="s">
        <v>1297</v>
      </c>
      <c r="C797" s="28" t="s">
        <v>1286</v>
      </c>
      <c r="D797" s="28" t="s">
        <v>966</v>
      </c>
      <c r="E797" s="28" t="s">
        <v>211</v>
      </c>
      <c r="F797" s="28" t="s">
        <v>212</v>
      </c>
      <c r="G797" s="28" t="s">
        <v>1287</v>
      </c>
      <c r="H797" s="28">
        <v>8180421</v>
      </c>
      <c r="I797" s="28">
        <v>249443</v>
      </c>
      <c r="J797" s="28">
        <v>0.99</v>
      </c>
      <c r="K797" s="28">
        <v>49</v>
      </c>
      <c r="L797" s="28">
        <v>0</v>
      </c>
    </row>
    <row r="798" spans="1:12" ht="14.25" customHeight="1" x14ac:dyDescent="0.2">
      <c r="A798" s="28">
        <v>797</v>
      </c>
      <c r="B798" s="28" t="s">
        <v>1298</v>
      </c>
      <c r="C798" s="28" t="s">
        <v>1286</v>
      </c>
      <c r="D798" s="28" t="s">
        <v>966</v>
      </c>
      <c r="E798" s="28" t="s">
        <v>211</v>
      </c>
      <c r="F798" s="28" t="s">
        <v>212</v>
      </c>
      <c r="G798" s="28" t="s">
        <v>1287</v>
      </c>
      <c r="H798" s="28">
        <v>9299131</v>
      </c>
      <c r="I798" s="28">
        <v>283924</v>
      </c>
      <c r="J798" s="28">
        <v>0.99</v>
      </c>
      <c r="K798" s="28">
        <v>5</v>
      </c>
      <c r="L798" s="28">
        <v>0</v>
      </c>
    </row>
    <row r="799" spans="1:12" ht="14.25" customHeight="1" x14ac:dyDescent="0.2">
      <c r="A799" s="28">
        <v>798</v>
      </c>
      <c r="B799" s="28" t="s">
        <v>1299</v>
      </c>
      <c r="C799" s="28" t="s">
        <v>1300</v>
      </c>
      <c r="D799" s="28" t="s">
        <v>966</v>
      </c>
      <c r="E799" s="28" t="s">
        <v>211</v>
      </c>
      <c r="F799" s="28" t="s">
        <v>212</v>
      </c>
      <c r="G799" s="28" t="s">
        <v>1301</v>
      </c>
      <c r="H799" s="28">
        <v>10733847</v>
      </c>
      <c r="I799" s="28">
        <v>328385</v>
      </c>
      <c r="J799" s="28">
        <v>0.99</v>
      </c>
      <c r="K799" s="28">
        <v>44</v>
      </c>
      <c r="L799" s="28">
        <v>1</v>
      </c>
    </row>
    <row r="800" spans="1:12" ht="14.25" customHeight="1" x14ac:dyDescent="0.2">
      <c r="A800" s="28">
        <v>799</v>
      </c>
      <c r="B800" s="28" t="s">
        <v>1302</v>
      </c>
      <c r="C800" s="28" t="s">
        <v>1300</v>
      </c>
      <c r="D800" s="28" t="s">
        <v>966</v>
      </c>
      <c r="E800" s="28" t="s">
        <v>211</v>
      </c>
      <c r="F800" s="28" t="s">
        <v>212</v>
      </c>
      <c r="G800" s="28" t="s">
        <v>1303</v>
      </c>
      <c r="H800" s="28">
        <v>11191650</v>
      </c>
      <c r="I800" s="28">
        <v>342752</v>
      </c>
      <c r="J800" s="28">
        <v>0.99</v>
      </c>
      <c r="K800" s="28">
        <v>61</v>
      </c>
      <c r="L800" s="28">
        <v>1</v>
      </c>
    </row>
    <row r="801" spans="1:12" ht="14.25" customHeight="1" x14ac:dyDescent="0.2">
      <c r="A801" s="28">
        <v>800</v>
      </c>
      <c r="B801" s="28" t="s">
        <v>1304</v>
      </c>
      <c r="C801" s="28" t="s">
        <v>1300</v>
      </c>
      <c r="D801" s="28" t="s">
        <v>966</v>
      </c>
      <c r="E801" s="28" t="s">
        <v>211</v>
      </c>
      <c r="F801" s="28" t="s">
        <v>212</v>
      </c>
      <c r="G801" s="28" t="s">
        <v>1303</v>
      </c>
      <c r="H801" s="28">
        <v>9267550</v>
      </c>
      <c r="I801" s="28">
        <v>283977</v>
      </c>
      <c r="J801" s="28">
        <v>0.99</v>
      </c>
      <c r="K801" s="28">
        <v>48</v>
      </c>
      <c r="L801" s="28">
        <v>0</v>
      </c>
    </row>
    <row r="802" spans="1:12" ht="14.25" customHeight="1" x14ac:dyDescent="0.2">
      <c r="A802" s="28">
        <v>801</v>
      </c>
      <c r="B802" s="28" t="s">
        <v>1305</v>
      </c>
      <c r="C802" s="28" t="s">
        <v>1300</v>
      </c>
      <c r="D802" s="28" t="s">
        <v>966</v>
      </c>
      <c r="E802" s="28" t="s">
        <v>211</v>
      </c>
      <c r="F802" s="28" t="s">
        <v>212</v>
      </c>
      <c r="G802" s="28" t="s">
        <v>1301</v>
      </c>
      <c r="H802" s="28">
        <v>10224612</v>
      </c>
      <c r="I802" s="28">
        <v>314827</v>
      </c>
      <c r="J802" s="28">
        <v>0.99</v>
      </c>
      <c r="K802" s="28">
        <v>2</v>
      </c>
      <c r="L802" s="28">
        <v>0</v>
      </c>
    </row>
    <row r="803" spans="1:12" ht="14.25" customHeight="1" x14ac:dyDescent="0.2">
      <c r="A803" s="28">
        <v>802</v>
      </c>
      <c r="B803" s="28" t="s">
        <v>1306</v>
      </c>
      <c r="C803" s="28" t="s">
        <v>1300</v>
      </c>
      <c r="D803" s="28" t="s">
        <v>966</v>
      </c>
      <c r="E803" s="28" t="s">
        <v>211</v>
      </c>
      <c r="F803" s="28" t="s">
        <v>212</v>
      </c>
      <c r="G803" s="28" t="s">
        <v>1301</v>
      </c>
      <c r="H803" s="28">
        <v>10323804</v>
      </c>
      <c r="I803" s="28">
        <v>317126</v>
      </c>
      <c r="J803" s="28">
        <v>0.99</v>
      </c>
      <c r="K803" s="28">
        <v>62</v>
      </c>
      <c r="L803" s="28">
        <v>0</v>
      </c>
    </row>
    <row r="804" spans="1:12" ht="14.25" customHeight="1" x14ac:dyDescent="0.2">
      <c r="A804" s="28">
        <v>803</v>
      </c>
      <c r="B804" s="28" t="s">
        <v>1307</v>
      </c>
      <c r="C804" s="28" t="s">
        <v>1300</v>
      </c>
      <c r="D804" s="28" t="s">
        <v>966</v>
      </c>
      <c r="E804" s="28" t="s">
        <v>211</v>
      </c>
      <c r="F804" s="28" t="s">
        <v>212</v>
      </c>
      <c r="G804" s="28" t="s">
        <v>1301</v>
      </c>
      <c r="H804" s="28">
        <v>7328516</v>
      </c>
      <c r="I804" s="28">
        <v>227186</v>
      </c>
      <c r="J804" s="28">
        <v>0.99</v>
      </c>
      <c r="K804" s="28">
        <v>17</v>
      </c>
      <c r="L804" s="28">
        <v>1</v>
      </c>
    </row>
    <row r="805" spans="1:12" ht="14.25" customHeight="1" x14ac:dyDescent="0.2">
      <c r="A805" s="28">
        <v>804</v>
      </c>
      <c r="B805" s="28" t="s">
        <v>1308</v>
      </c>
      <c r="C805" s="28" t="s">
        <v>1300</v>
      </c>
      <c r="D805" s="28" t="s">
        <v>966</v>
      </c>
      <c r="E805" s="28" t="s">
        <v>211</v>
      </c>
      <c r="F805" s="28" t="s">
        <v>212</v>
      </c>
      <c r="G805" s="28" t="s">
        <v>1303</v>
      </c>
      <c r="H805" s="28">
        <v>11369671</v>
      </c>
      <c r="I805" s="28">
        <v>349335</v>
      </c>
      <c r="J805" s="28">
        <v>0.99</v>
      </c>
      <c r="K805" s="28">
        <v>38</v>
      </c>
      <c r="L805" s="28">
        <v>1</v>
      </c>
    </row>
    <row r="806" spans="1:12" ht="14.25" customHeight="1" x14ac:dyDescent="0.2">
      <c r="A806" s="28">
        <v>805</v>
      </c>
      <c r="B806" s="28" t="s">
        <v>1309</v>
      </c>
      <c r="C806" s="28" t="s">
        <v>1300</v>
      </c>
      <c r="D806" s="28" t="s">
        <v>966</v>
      </c>
      <c r="E806" s="28" t="s">
        <v>211</v>
      </c>
      <c r="F806" s="28" t="s">
        <v>212</v>
      </c>
      <c r="G806" s="28" t="s">
        <v>1310</v>
      </c>
      <c r="H806" s="28">
        <v>8382800</v>
      </c>
      <c r="I806" s="28">
        <v>257724</v>
      </c>
      <c r="J806" s="28">
        <v>0.99</v>
      </c>
      <c r="K806" s="28">
        <v>86</v>
      </c>
      <c r="L806" s="28">
        <v>0</v>
      </c>
    </row>
    <row r="807" spans="1:12" ht="14.25" customHeight="1" x14ac:dyDescent="0.2">
      <c r="A807" s="28">
        <v>806</v>
      </c>
      <c r="B807" s="28" t="s">
        <v>1311</v>
      </c>
      <c r="C807" s="28" t="s">
        <v>1300</v>
      </c>
      <c r="D807" s="28" t="s">
        <v>966</v>
      </c>
      <c r="E807" s="28" t="s">
        <v>211</v>
      </c>
      <c r="F807" s="28" t="s">
        <v>212</v>
      </c>
      <c r="G807" s="28" t="s">
        <v>1303</v>
      </c>
      <c r="H807" s="28">
        <v>12826582</v>
      </c>
      <c r="I807" s="28">
        <v>393691</v>
      </c>
      <c r="J807" s="28">
        <v>0.99</v>
      </c>
      <c r="K807" s="28">
        <v>87</v>
      </c>
      <c r="L807" s="28">
        <v>0</v>
      </c>
    </row>
    <row r="808" spans="1:12" ht="14.25" customHeight="1" x14ac:dyDescent="0.2">
      <c r="A808" s="28">
        <v>807</v>
      </c>
      <c r="B808" s="28" t="s">
        <v>968</v>
      </c>
      <c r="C808" s="28" t="s">
        <v>968</v>
      </c>
      <c r="D808" s="28" t="s">
        <v>966</v>
      </c>
      <c r="E808" s="28" t="s">
        <v>211</v>
      </c>
      <c r="F808" s="28" t="s">
        <v>212</v>
      </c>
      <c r="G808" s="28" t="s">
        <v>1312</v>
      </c>
      <c r="H808" s="28">
        <v>8044864</v>
      </c>
      <c r="I808" s="28">
        <v>246413</v>
      </c>
      <c r="J808" s="28">
        <v>0.99</v>
      </c>
      <c r="K808" s="28">
        <v>62</v>
      </c>
      <c r="L808" s="28">
        <v>1</v>
      </c>
    </row>
    <row r="809" spans="1:12" ht="14.25" customHeight="1" x14ac:dyDescent="0.2">
      <c r="A809" s="28">
        <v>808</v>
      </c>
      <c r="B809" s="28" t="s">
        <v>1313</v>
      </c>
      <c r="C809" s="28" t="s">
        <v>968</v>
      </c>
      <c r="D809" s="28" t="s">
        <v>966</v>
      </c>
      <c r="E809" s="28" t="s">
        <v>211</v>
      </c>
      <c r="F809" s="28" t="s">
        <v>212</v>
      </c>
      <c r="G809" s="28" t="s">
        <v>1314</v>
      </c>
      <c r="H809" s="28">
        <v>8675026</v>
      </c>
      <c r="I809" s="28">
        <v>263862</v>
      </c>
      <c r="J809" s="28">
        <v>0.99</v>
      </c>
      <c r="K809" s="28">
        <v>13</v>
      </c>
      <c r="L809" s="28">
        <v>1</v>
      </c>
    </row>
    <row r="810" spans="1:12" ht="14.25" customHeight="1" x14ac:dyDescent="0.2">
      <c r="A810" s="28">
        <v>809</v>
      </c>
      <c r="B810" s="28" t="s">
        <v>1315</v>
      </c>
      <c r="C810" s="28" t="s">
        <v>968</v>
      </c>
      <c r="D810" s="28" t="s">
        <v>966</v>
      </c>
      <c r="E810" s="28" t="s">
        <v>211</v>
      </c>
      <c r="F810" s="28" t="s">
        <v>212</v>
      </c>
      <c r="G810" s="28" t="s">
        <v>1316</v>
      </c>
      <c r="H810" s="28">
        <v>8818093</v>
      </c>
      <c r="I810" s="28">
        <v>270236</v>
      </c>
      <c r="J810" s="28">
        <v>0.99</v>
      </c>
      <c r="K810" s="28">
        <v>22</v>
      </c>
      <c r="L810" s="28">
        <v>0</v>
      </c>
    </row>
    <row r="811" spans="1:12" ht="14.25" customHeight="1" x14ac:dyDescent="0.2">
      <c r="A811" s="28">
        <v>810</v>
      </c>
      <c r="B811" s="28" t="s">
        <v>1317</v>
      </c>
      <c r="C811" s="28" t="s">
        <v>968</v>
      </c>
      <c r="D811" s="28" t="s">
        <v>966</v>
      </c>
      <c r="E811" s="28" t="s">
        <v>211</v>
      </c>
      <c r="F811" s="28" t="s">
        <v>212</v>
      </c>
      <c r="G811" s="28" t="s">
        <v>1318</v>
      </c>
      <c r="H811" s="28">
        <v>10022428</v>
      </c>
      <c r="I811" s="28">
        <v>306860</v>
      </c>
      <c r="J811" s="28">
        <v>0.99</v>
      </c>
      <c r="K811" s="28">
        <v>0</v>
      </c>
      <c r="L811" s="28">
        <v>0</v>
      </c>
    </row>
    <row r="812" spans="1:12" ht="14.25" customHeight="1" x14ac:dyDescent="0.2">
      <c r="A812" s="28">
        <v>811</v>
      </c>
      <c r="B812" s="28" t="s">
        <v>972</v>
      </c>
      <c r="C812" s="28" t="s">
        <v>968</v>
      </c>
      <c r="D812" s="28" t="s">
        <v>966</v>
      </c>
      <c r="E812" s="28" t="s">
        <v>211</v>
      </c>
      <c r="F812" s="28" t="s">
        <v>212</v>
      </c>
      <c r="G812" s="28" t="s">
        <v>1312</v>
      </c>
      <c r="H812" s="28">
        <v>6554330</v>
      </c>
      <c r="I812" s="28">
        <v>201482</v>
      </c>
      <c r="J812" s="28">
        <v>0.99</v>
      </c>
      <c r="K812" s="28">
        <v>32</v>
      </c>
      <c r="L812" s="28">
        <v>0</v>
      </c>
    </row>
    <row r="813" spans="1:12" ht="14.25" customHeight="1" x14ac:dyDescent="0.2">
      <c r="A813" s="28">
        <v>812</v>
      </c>
      <c r="B813" s="28" t="s">
        <v>1319</v>
      </c>
      <c r="C813" s="28" t="s">
        <v>968</v>
      </c>
      <c r="D813" s="28" t="s">
        <v>966</v>
      </c>
      <c r="E813" s="28" t="s">
        <v>211</v>
      </c>
      <c r="F813" s="28" t="s">
        <v>212</v>
      </c>
      <c r="G813" s="28" t="s">
        <v>1320</v>
      </c>
      <c r="H813" s="28">
        <v>6709579</v>
      </c>
      <c r="I813" s="28">
        <v>203755</v>
      </c>
      <c r="J813" s="28">
        <v>0.99</v>
      </c>
      <c r="K813" s="28">
        <v>53</v>
      </c>
      <c r="L813" s="28">
        <v>1</v>
      </c>
    </row>
    <row r="814" spans="1:12" ht="14.25" customHeight="1" x14ac:dyDescent="0.2">
      <c r="A814" s="28">
        <v>813</v>
      </c>
      <c r="B814" s="28" t="s">
        <v>1321</v>
      </c>
      <c r="C814" s="28" t="s">
        <v>968</v>
      </c>
      <c r="D814" s="28" t="s">
        <v>966</v>
      </c>
      <c r="E814" s="28" t="s">
        <v>211</v>
      </c>
      <c r="F814" s="28" t="s">
        <v>212</v>
      </c>
      <c r="G814" s="28" t="s">
        <v>1314</v>
      </c>
      <c r="H814" s="28">
        <v>8772471</v>
      </c>
      <c r="I814" s="28">
        <v>267833</v>
      </c>
      <c r="J814" s="28">
        <v>0.99</v>
      </c>
      <c r="K814" s="28">
        <v>9</v>
      </c>
      <c r="L814" s="28">
        <v>1</v>
      </c>
    </row>
    <row r="815" spans="1:12" ht="14.25" customHeight="1" x14ac:dyDescent="0.2">
      <c r="A815" s="28">
        <v>814</v>
      </c>
      <c r="B815" s="28" t="s">
        <v>1322</v>
      </c>
      <c r="C815" s="28" t="s">
        <v>968</v>
      </c>
      <c r="D815" s="28" t="s">
        <v>966</v>
      </c>
      <c r="E815" s="28" t="s">
        <v>211</v>
      </c>
      <c r="F815" s="28" t="s">
        <v>212</v>
      </c>
      <c r="G815" s="28" t="s">
        <v>1314</v>
      </c>
      <c r="H815" s="28">
        <v>7946614</v>
      </c>
      <c r="I815" s="28">
        <v>242886</v>
      </c>
      <c r="J815" s="28">
        <v>0.99</v>
      </c>
      <c r="K815" s="28">
        <v>30</v>
      </c>
      <c r="L815" s="28">
        <v>0</v>
      </c>
    </row>
    <row r="816" spans="1:12" ht="14.25" customHeight="1" x14ac:dyDescent="0.2">
      <c r="A816" s="28">
        <v>815</v>
      </c>
      <c r="B816" s="28" t="s">
        <v>1323</v>
      </c>
      <c r="C816" s="28" t="s">
        <v>968</v>
      </c>
      <c r="D816" s="28" t="s">
        <v>966</v>
      </c>
      <c r="E816" s="28" t="s">
        <v>211</v>
      </c>
      <c r="F816" s="28" t="s">
        <v>212</v>
      </c>
      <c r="G816" s="28" t="s">
        <v>1312</v>
      </c>
      <c r="H816" s="28">
        <v>6315321</v>
      </c>
      <c r="I816" s="28">
        <v>193750</v>
      </c>
      <c r="J816" s="28">
        <v>0.99</v>
      </c>
      <c r="K816" s="28">
        <v>98</v>
      </c>
      <c r="L816" s="28">
        <v>0</v>
      </c>
    </row>
    <row r="817" spans="1:12" ht="14.25" customHeight="1" x14ac:dyDescent="0.2">
      <c r="A817" s="28">
        <v>816</v>
      </c>
      <c r="B817" s="28" t="s">
        <v>1324</v>
      </c>
      <c r="C817" s="28" t="s">
        <v>1324</v>
      </c>
      <c r="D817" s="28" t="s">
        <v>966</v>
      </c>
      <c r="E817" s="28" t="s">
        <v>211</v>
      </c>
      <c r="F817" s="28" t="s">
        <v>212</v>
      </c>
      <c r="G817" s="28" t="s">
        <v>1325</v>
      </c>
      <c r="H817" s="28">
        <v>11626228</v>
      </c>
      <c r="I817" s="28">
        <v>356963</v>
      </c>
      <c r="J817" s="28">
        <v>0.99</v>
      </c>
      <c r="K817" s="28">
        <v>81</v>
      </c>
      <c r="L817" s="28">
        <v>1</v>
      </c>
    </row>
    <row r="818" spans="1:12" ht="14.25" customHeight="1" x14ac:dyDescent="0.2">
      <c r="A818" s="28">
        <v>817</v>
      </c>
      <c r="B818" s="28" t="s">
        <v>1326</v>
      </c>
      <c r="C818" s="28" t="s">
        <v>1324</v>
      </c>
      <c r="D818" s="28" t="s">
        <v>966</v>
      </c>
      <c r="E818" s="28" t="s">
        <v>211</v>
      </c>
      <c r="F818" s="28" t="s">
        <v>212</v>
      </c>
      <c r="G818" s="28" t="s">
        <v>1327</v>
      </c>
      <c r="H818" s="28">
        <v>7792604</v>
      </c>
      <c r="I818" s="28">
        <v>240274</v>
      </c>
      <c r="J818" s="28">
        <v>0.99</v>
      </c>
      <c r="K818" s="28">
        <v>34</v>
      </c>
      <c r="L818" s="28">
        <v>1</v>
      </c>
    </row>
    <row r="819" spans="1:12" ht="14.25" customHeight="1" x14ac:dyDescent="0.2">
      <c r="A819" s="28">
        <v>818</v>
      </c>
      <c r="B819" s="28" t="s">
        <v>1328</v>
      </c>
      <c r="C819" s="28" t="s">
        <v>1324</v>
      </c>
      <c r="D819" s="28" t="s">
        <v>966</v>
      </c>
      <c r="E819" s="28" t="s">
        <v>211</v>
      </c>
      <c r="F819" s="28" t="s">
        <v>212</v>
      </c>
      <c r="G819" s="28" t="s">
        <v>1329</v>
      </c>
      <c r="H819" s="28">
        <v>12754921</v>
      </c>
      <c r="I819" s="28">
        <v>392437</v>
      </c>
      <c r="J819" s="28">
        <v>0.99</v>
      </c>
      <c r="K819" s="28">
        <v>94</v>
      </c>
      <c r="L819" s="28">
        <v>0</v>
      </c>
    </row>
    <row r="820" spans="1:12" ht="14.25" customHeight="1" x14ac:dyDescent="0.2">
      <c r="A820" s="28">
        <v>819</v>
      </c>
      <c r="B820" s="28" t="s">
        <v>1330</v>
      </c>
      <c r="C820" s="28" t="s">
        <v>1324</v>
      </c>
      <c r="D820" s="28" t="s">
        <v>966</v>
      </c>
      <c r="E820" s="28" t="s">
        <v>211</v>
      </c>
      <c r="F820" s="28" t="s">
        <v>212</v>
      </c>
      <c r="G820" s="28" t="s">
        <v>1327</v>
      </c>
      <c r="H820" s="28">
        <v>8072171</v>
      </c>
      <c r="I820" s="28">
        <v>247823</v>
      </c>
      <c r="J820" s="28">
        <v>0.99</v>
      </c>
      <c r="K820" s="28">
        <v>2</v>
      </c>
      <c r="L820" s="28">
        <v>0</v>
      </c>
    </row>
    <row r="821" spans="1:12" ht="14.25" customHeight="1" x14ac:dyDescent="0.2">
      <c r="A821" s="28">
        <v>820</v>
      </c>
      <c r="B821" s="28" t="s">
        <v>1331</v>
      </c>
      <c r="C821" s="28" t="s">
        <v>1324</v>
      </c>
      <c r="D821" s="28" t="s">
        <v>966</v>
      </c>
      <c r="E821" s="28" t="s">
        <v>211</v>
      </c>
      <c r="F821" s="28" t="s">
        <v>212</v>
      </c>
      <c r="G821" s="28" t="s">
        <v>1327</v>
      </c>
      <c r="H821" s="28">
        <v>11354742</v>
      </c>
      <c r="I821" s="28">
        <v>351033</v>
      </c>
      <c r="J821" s="28">
        <v>0.99</v>
      </c>
      <c r="K821" s="28">
        <v>16</v>
      </c>
      <c r="L821" s="28">
        <v>0</v>
      </c>
    </row>
    <row r="822" spans="1:12" ht="14.25" customHeight="1" x14ac:dyDescent="0.2">
      <c r="A822" s="28">
        <v>821</v>
      </c>
      <c r="B822" s="28" t="s">
        <v>1332</v>
      </c>
      <c r="C822" s="28" t="s">
        <v>1324</v>
      </c>
      <c r="D822" s="28" t="s">
        <v>966</v>
      </c>
      <c r="E822" s="28" t="s">
        <v>211</v>
      </c>
      <c r="F822" s="28" t="s">
        <v>212</v>
      </c>
      <c r="G822" s="28" t="s">
        <v>1327</v>
      </c>
      <c r="H822" s="28">
        <v>10874679</v>
      </c>
      <c r="I822" s="28">
        <v>334445</v>
      </c>
      <c r="J822" s="28">
        <v>0.99</v>
      </c>
      <c r="K822" s="28">
        <v>80</v>
      </c>
      <c r="L822" s="28">
        <v>1</v>
      </c>
    </row>
    <row r="823" spans="1:12" ht="14.25" customHeight="1" x14ac:dyDescent="0.2">
      <c r="A823" s="28">
        <v>822</v>
      </c>
      <c r="B823" s="28" t="s">
        <v>1333</v>
      </c>
      <c r="C823" s="28" t="s">
        <v>1324</v>
      </c>
      <c r="D823" s="28" t="s">
        <v>966</v>
      </c>
      <c r="E823" s="28" t="s">
        <v>211</v>
      </c>
      <c r="F823" s="28" t="s">
        <v>212</v>
      </c>
      <c r="G823" s="28" t="s">
        <v>1327</v>
      </c>
      <c r="H823" s="28">
        <v>8413103</v>
      </c>
      <c r="I823" s="28">
        <v>257462</v>
      </c>
      <c r="J823" s="28">
        <v>0.99</v>
      </c>
      <c r="K823" s="28">
        <v>16</v>
      </c>
      <c r="L823" s="28">
        <v>1</v>
      </c>
    </row>
    <row r="824" spans="1:12" ht="14.25" customHeight="1" x14ac:dyDescent="0.2">
      <c r="A824" s="28">
        <v>823</v>
      </c>
      <c r="B824" s="28" t="s">
        <v>1334</v>
      </c>
      <c r="C824" s="28" t="s">
        <v>1324</v>
      </c>
      <c r="D824" s="28" t="s">
        <v>966</v>
      </c>
      <c r="E824" s="28" t="s">
        <v>211</v>
      </c>
      <c r="F824" s="28" t="s">
        <v>212</v>
      </c>
      <c r="G824" s="28" t="s">
        <v>1329</v>
      </c>
      <c r="H824" s="28">
        <v>9076997</v>
      </c>
      <c r="I824" s="28">
        <v>276662</v>
      </c>
      <c r="J824" s="28">
        <v>0.99</v>
      </c>
      <c r="K824" s="28">
        <v>97</v>
      </c>
      <c r="L824" s="28">
        <v>0</v>
      </c>
    </row>
    <row r="825" spans="1:12" ht="14.25" customHeight="1" x14ac:dyDescent="0.2">
      <c r="A825" s="28">
        <v>824</v>
      </c>
      <c r="B825" s="28" t="s">
        <v>1335</v>
      </c>
      <c r="C825" s="28" t="s">
        <v>1324</v>
      </c>
      <c r="D825" s="28" t="s">
        <v>966</v>
      </c>
      <c r="E825" s="28" t="s">
        <v>211</v>
      </c>
      <c r="F825" s="28" t="s">
        <v>212</v>
      </c>
      <c r="G825" s="28" t="s">
        <v>1327</v>
      </c>
      <c r="H825" s="28">
        <v>9157021</v>
      </c>
      <c r="I825" s="28">
        <v>282226</v>
      </c>
      <c r="J825" s="28">
        <v>0.99</v>
      </c>
      <c r="K825" s="28">
        <v>18</v>
      </c>
      <c r="L825" s="28">
        <v>0</v>
      </c>
    </row>
    <row r="826" spans="1:12" ht="14.25" customHeight="1" x14ac:dyDescent="0.2">
      <c r="A826" s="28">
        <v>825</v>
      </c>
      <c r="B826" s="28" t="s">
        <v>1336</v>
      </c>
      <c r="C826" s="28" t="s">
        <v>1324</v>
      </c>
      <c r="D826" s="28" t="s">
        <v>966</v>
      </c>
      <c r="E826" s="28" t="s">
        <v>211</v>
      </c>
      <c r="F826" s="28" t="s">
        <v>212</v>
      </c>
      <c r="G826" s="28" t="s">
        <v>1327</v>
      </c>
      <c r="H826" s="28">
        <v>9068960</v>
      </c>
      <c r="I826" s="28">
        <v>278804</v>
      </c>
      <c r="J826" s="28">
        <v>0.99</v>
      </c>
      <c r="K826" s="28">
        <v>22</v>
      </c>
      <c r="L826" s="28">
        <v>1</v>
      </c>
    </row>
    <row r="827" spans="1:12" ht="14.25" customHeight="1" x14ac:dyDescent="0.2">
      <c r="A827" s="28">
        <v>826</v>
      </c>
      <c r="B827" s="28" t="s">
        <v>1337</v>
      </c>
      <c r="C827" s="28" t="s">
        <v>1338</v>
      </c>
      <c r="D827" s="28" t="s">
        <v>1339</v>
      </c>
      <c r="E827" s="28" t="s">
        <v>211</v>
      </c>
      <c r="F827" s="28" t="s">
        <v>212</v>
      </c>
      <c r="G827" s="28"/>
      <c r="H827" s="28">
        <v>9518842</v>
      </c>
      <c r="I827" s="28">
        <v>292519</v>
      </c>
      <c r="J827" s="28">
        <v>0.99</v>
      </c>
      <c r="K827" s="28">
        <v>57</v>
      </c>
      <c r="L827" s="28">
        <v>1</v>
      </c>
    </row>
    <row r="828" spans="1:12" ht="14.25" customHeight="1" x14ac:dyDescent="0.2">
      <c r="A828" s="28">
        <v>827</v>
      </c>
      <c r="B828" s="28" t="s">
        <v>1340</v>
      </c>
      <c r="C828" s="28" t="s">
        <v>1338</v>
      </c>
      <c r="D828" s="28" t="s">
        <v>1339</v>
      </c>
      <c r="E828" s="28" t="s">
        <v>211</v>
      </c>
      <c r="F828" s="28" t="s">
        <v>212</v>
      </c>
      <c r="G828" s="28"/>
      <c r="H828" s="28">
        <v>8108507</v>
      </c>
      <c r="I828" s="28">
        <v>248633</v>
      </c>
      <c r="J828" s="28">
        <v>0.99</v>
      </c>
      <c r="K828" s="28">
        <v>62</v>
      </c>
      <c r="L828" s="28">
        <v>0</v>
      </c>
    </row>
    <row r="829" spans="1:12" ht="14.25" customHeight="1" x14ac:dyDescent="0.2">
      <c r="A829" s="28">
        <v>828</v>
      </c>
      <c r="B829" s="28" t="s">
        <v>1341</v>
      </c>
      <c r="C829" s="28" t="s">
        <v>1338</v>
      </c>
      <c r="D829" s="28" t="s">
        <v>1339</v>
      </c>
      <c r="E829" s="28" t="s">
        <v>211</v>
      </c>
      <c r="F829" s="28" t="s">
        <v>212</v>
      </c>
      <c r="G829" s="28"/>
      <c r="H829" s="28">
        <v>11305791</v>
      </c>
      <c r="I829" s="28">
        <v>346853</v>
      </c>
      <c r="J829" s="28">
        <v>0.99</v>
      </c>
      <c r="K829" s="28">
        <v>2</v>
      </c>
      <c r="L829" s="28">
        <v>0</v>
      </c>
    </row>
    <row r="830" spans="1:12" ht="14.25" customHeight="1" x14ac:dyDescent="0.2">
      <c r="A830" s="28">
        <v>829</v>
      </c>
      <c r="B830" s="28" t="s">
        <v>1342</v>
      </c>
      <c r="C830" s="28" t="s">
        <v>1338</v>
      </c>
      <c r="D830" s="28" t="s">
        <v>1339</v>
      </c>
      <c r="E830" s="28" t="s">
        <v>211</v>
      </c>
      <c r="F830" s="28" t="s">
        <v>212</v>
      </c>
      <c r="G830" s="28"/>
      <c r="H830" s="28">
        <v>9724150</v>
      </c>
      <c r="I830" s="28">
        <v>296019</v>
      </c>
      <c r="J830" s="28">
        <v>0.99</v>
      </c>
      <c r="K830" s="28">
        <v>80</v>
      </c>
      <c r="L830" s="28">
        <v>0</v>
      </c>
    </row>
    <row r="831" spans="1:12" ht="14.25" customHeight="1" x14ac:dyDescent="0.2">
      <c r="A831" s="28">
        <v>830</v>
      </c>
      <c r="B831" s="28" t="s">
        <v>1343</v>
      </c>
      <c r="C831" s="28" t="s">
        <v>1338</v>
      </c>
      <c r="D831" s="28" t="s">
        <v>1339</v>
      </c>
      <c r="E831" s="28" t="s">
        <v>211</v>
      </c>
      <c r="F831" s="28" t="s">
        <v>212</v>
      </c>
      <c r="G831" s="28"/>
      <c r="H831" s="28">
        <v>8523388</v>
      </c>
      <c r="I831" s="28">
        <v>259787</v>
      </c>
      <c r="J831" s="28">
        <v>0.99</v>
      </c>
      <c r="K831" s="28">
        <v>70</v>
      </c>
      <c r="L831" s="28">
        <v>1</v>
      </c>
    </row>
    <row r="832" spans="1:12" ht="14.25" customHeight="1" x14ac:dyDescent="0.2">
      <c r="A832" s="28">
        <v>831</v>
      </c>
      <c r="B832" s="28" t="s">
        <v>1344</v>
      </c>
      <c r="C832" s="28" t="s">
        <v>1338</v>
      </c>
      <c r="D832" s="28" t="s">
        <v>1339</v>
      </c>
      <c r="E832" s="28" t="s">
        <v>211</v>
      </c>
      <c r="F832" s="28" t="s">
        <v>212</v>
      </c>
      <c r="G832" s="28"/>
      <c r="H832" s="28">
        <v>7985133</v>
      </c>
      <c r="I832" s="28">
        <v>244741</v>
      </c>
      <c r="J832" s="28">
        <v>0.99</v>
      </c>
      <c r="K832" s="28">
        <v>76</v>
      </c>
      <c r="L832" s="28">
        <v>1</v>
      </c>
    </row>
    <row r="833" spans="1:12" ht="14.25" customHeight="1" x14ac:dyDescent="0.2">
      <c r="A833" s="28">
        <v>832</v>
      </c>
      <c r="B833" s="28" t="s">
        <v>1345</v>
      </c>
      <c r="C833" s="28" t="s">
        <v>1338</v>
      </c>
      <c r="D833" s="28" t="s">
        <v>1339</v>
      </c>
      <c r="E833" s="28" t="s">
        <v>211</v>
      </c>
      <c r="F833" s="28" t="s">
        <v>212</v>
      </c>
      <c r="G833" s="28"/>
      <c r="H833" s="28">
        <v>6988128</v>
      </c>
      <c r="I833" s="28">
        <v>214021</v>
      </c>
      <c r="J833" s="28">
        <v>0.99</v>
      </c>
      <c r="K833" s="28">
        <v>14</v>
      </c>
      <c r="L833" s="28">
        <v>0</v>
      </c>
    </row>
    <row r="834" spans="1:12" ht="14.25" customHeight="1" x14ac:dyDescent="0.2">
      <c r="A834" s="28">
        <v>833</v>
      </c>
      <c r="B834" s="28" t="s">
        <v>1346</v>
      </c>
      <c r="C834" s="28" t="s">
        <v>1338</v>
      </c>
      <c r="D834" s="28" t="s">
        <v>1339</v>
      </c>
      <c r="E834" s="28" t="s">
        <v>211</v>
      </c>
      <c r="F834" s="28" t="s">
        <v>212</v>
      </c>
      <c r="G834" s="28"/>
      <c r="H834" s="28">
        <v>8092463</v>
      </c>
      <c r="I834" s="28">
        <v>247248</v>
      </c>
      <c r="J834" s="28">
        <v>0.99</v>
      </c>
      <c r="K834" s="28">
        <v>81</v>
      </c>
      <c r="L834" s="28">
        <v>0</v>
      </c>
    </row>
    <row r="835" spans="1:12" ht="14.25" customHeight="1" x14ac:dyDescent="0.2">
      <c r="A835" s="28">
        <v>834</v>
      </c>
      <c r="B835" s="28" t="s">
        <v>1347</v>
      </c>
      <c r="C835" s="28" t="s">
        <v>1338</v>
      </c>
      <c r="D835" s="28" t="s">
        <v>1339</v>
      </c>
      <c r="E835" s="28" t="s">
        <v>211</v>
      </c>
      <c r="F835" s="28" t="s">
        <v>212</v>
      </c>
      <c r="G835" s="28"/>
      <c r="H835" s="28">
        <v>8364633</v>
      </c>
      <c r="I835" s="28">
        <v>257280</v>
      </c>
      <c r="J835" s="28">
        <v>0.99</v>
      </c>
      <c r="K835" s="28">
        <v>3</v>
      </c>
      <c r="L835" s="28">
        <v>1</v>
      </c>
    </row>
    <row r="836" spans="1:12" ht="14.25" customHeight="1" x14ac:dyDescent="0.2">
      <c r="A836" s="28">
        <v>835</v>
      </c>
      <c r="B836" s="28" t="s">
        <v>1348</v>
      </c>
      <c r="C836" s="28" t="s">
        <v>1338</v>
      </c>
      <c r="D836" s="28" t="s">
        <v>1339</v>
      </c>
      <c r="E836" s="28" t="s">
        <v>211</v>
      </c>
      <c r="F836" s="28" t="s">
        <v>212</v>
      </c>
      <c r="G836" s="28"/>
      <c r="H836" s="28">
        <v>7130830</v>
      </c>
      <c r="I836" s="28">
        <v>220604</v>
      </c>
      <c r="J836" s="28">
        <v>0.99</v>
      </c>
      <c r="K836" s="28">
        <v>87</v>
      </c>
      <c r="L836" s="28">
        <v>1</v>
      </c>
    </row>
    <row r="837" spans="1:12" ht="14.25" customHeight="1" x14ac:dyDescent="0.2">
      <c r="A837" s="28">
        <v>836</v>
      </c>
      <c r="B837" s="28" t="s">
        <v>1349</v>
      </c>
      <c r="C837" s="28" t="s">
        <v>1338</v>
      </c>
      <c r="D837" s="28" t="s">
        <v>1339</v>
      </c>
      <c r="E837" s="28" t="s">
        <v>211</v>
      </c>
      <c r="F837" s="28" t="s">
        <v>212</v>
      </c>
      <c r="G837" s="28"/>
      <c r="H837" s="28">
        <v>8309725</v>
      </c>
      <c r="I837" s="28">
        <v>255660</v>
      </c>
      <c r="J837" s="28">
        <v>0.99</v>
      </c>
      <c r="K837" s="28">
        <v>1</v>
      </c>
      <c r="L837" s="28">
        <v>0</v>
      </c>
    </row>
    <row r="838" spans="1:12" ht="14.25" customHeight="1" x14ac:dyDescent="0.2">
      <c r="A838" s="28">
        <v>837</v>
      </c>
      <c r="B838" s="28" t="s">
        <v>1350</v>
      </c>
      <c r="C838" s="28" t="s">
        <v>1338</v>
      </c>
      <c r="D838" s="28" t="s">
        <v>1339</v>
      </c>
      <c r="E838" s="28" t="s">
        <v>211</v>
      </c>
      <c r="F838" s="28" t="s">
        <v>212</v>
      </c>
      <c r="G838" s="28"/>
      <c r="H838" s="28">
        <v>10522352</v>
      </c>
      <c r="I838" s="28">
        <v>322455</v>
      </c>
      <c r="J838" s="28">
        <v>0.99</v>
      </c>
      <c r="K838" s="28">
        <v>40</v>
      </c>
      <c r="L838" s="28">
        <v>0</v>
      </c>
    </row>
    <row r="839" spans="1:12" ht="14.25" customHeight="1" x14ac:dyDescent="0.2">
      <c r="A839" s="28">
        <v>838</v>
      </c>
      <c r="B839" s="28" t="s">
        <v>1351</v>
      </c>
      <c r="C839" s="28" t="s">
        <v>1338</v>
      </c>
      <c r="D839" s="28" t="s">
        <v>1339</v>
      </c>
      <c r="E839" s="28" t="s">
        <v>211</v>
      </c>
      <c r="F839" s="28" t="s">
        <v>212</v>
      </c>
      <c r="G839" s="28"/>
      <c r="H839" s="28">
        <v>10400020</v>
      </c>
      <c r="I839" s="28">
        <v>319320</v>
      </c>
      <c r="J839" s="28">
        <v>0.99</v>
      </c>
      <c r="K839" s="28">
        <v>34</v>
      </c>
      <c r="L839" s="28">
        <v>0</v>
      </c>
    </row>
    <row r="840" spans="1:12" ht="14.25" customHeight="1" x14ac:dyDescent="0.2">
      <c r="A840" s="28">
        <v>839</v>
      </c>
      <c r="B840" s="28" t="s">
        <v>1352</v>
      </c>
      <c r="C840" s="28" t="s">
        <v>1338</v>
      </c>
      <c r="D840" s="28" t="s">
        <v>1339</v>
      </c>
      <c r="E840" s="28" t="s">
        <v>211</v>
      </c>
      <c r="F840" s="28" t="s">
        <v>212</v>
      </c>
      <c r="G840" s="28"/>
      <c r="H840" s="28">
        <v>8150318</v>
      </c>
      <c r="I840" s="28">
        <v>248424</v>
      </c>
      <c r="J840" s="28">
        <v>0.99</v>
      </c>
      <c r="K840" s="28">
        <v>78</v>
      </c>
      <c r="L840" s="28">
        <v>1</v>
      </c>
    </row>
    <row r="841" spans="1:12" ht="14.25" customHeight="1" x14ac:dyDescent="0.2">
      <c r="A841" s="28">
        <v>840</v>
      </c>
      <c r="B841" s="28" t="s">
        <v>1353</v>
      </c>
      <c r="C841" s="28" t="s">
        <v>1338</v>
      </c>
      <c r="D841" s="28" t="s">
        <v>1339</v>
      </c>
      <c r="E841" s="28" t="s">
        <v>211</v>
      </c>
      <c r="F841" s="28" t="s">
        <v>212</v>
      </c>
      <c r="G841" s="28"/>
      <c r="H841" s="28">
        <v>11622738</v>
      </c>
      <c r="I841" s="28">
        <v>355056</v>
      </c>
      <c r="J841" s="28">
        <v>0.99</v>
      </c>
      <c r="K841" s="28">
        <v>60</v>
      </c>
      <c r="L841" s="28">
        <v>1</v>
      </c>
    </row>
    <row r="842" spans="1:12" ht="14.25" customHeight="1" x14ac:dyDescent="0.2">
      <c r="A842" s="28">
        <v>841</v>
      </c>
      <c r="B842" s="28" t="s">
        <v>1354</v>
      </c>
      <c r="C842" s="28" t="s">
        <v>1338</v>
      </c>
      <c r="D842" s="28" t="s">
        <v>1339</v>
      </c>
      <c r="E842" s="28" t="s">
        <v>211</v>
      </c>
      <c r="F842" s="28" t="s">
        <v>212</v>
      </c>
      <c r="G842" s="28"/>
      <c r="H842" s="28">
        <v>8853324</v>
      </c>
      <c r="I842" s="28">
        <v>272457</v>
      </c>
      <c r="J842" s="28">
        <v>0.99</v>
      </c>
      <c r="K842" s="28">
        <v>87</v>
      </c>
      <c r="L842" s="28">
        <v>0</v>
      </c>
    </row>
    <row r="843" spans="1:12" ht="14.25" customHeight="1" x14ac:dyDescent="0.2">
      <c r="A843" s="28">
        <v>842</v>
      </c>
      <c r="B843" s="28" t="s">
        <v>1355</v>
      </c>
      <c r="C843" s="28" t="s">
        <v>1356</v>
      </c>
      <c r="D843" s="28" t="s">
        <v>1357</v>
      </c>
      <c r="E843" s="28" t="s">
        <v>211</v>
      </c>
      <c r="F843" s="28" t="s">
        <v>305</v>
      </c>
      <c r="G843" s="28" t="s">
        <v>1358</v>
      </c>
      <c r="H843" s="28">
        <v>10653494</v>
      </c>
      <c r="I843" s="28">
        <v>321358</v>
      </c>
      <c r="J843" s="28">
        <v>0.99</v>
      </c>
      <c r="K843" s="28">
        <v>29</v>
      </c>
      <c r="L843" s="28">
        <v>0</v>
      </c>
    </row>
    <row r="844" spans="1:12" ht="14.25" customHeight="1" x14ac:dyDescent="0.2">
      <c r="A844" s="28">
        <v>843</v>
      </c>
      <c r="B844" s="28" t="s">
        <v>1359</v>
      </c>
      <c r="C844" s="28" t="s">
        <v>1356</v>
      </c>
      <c r="D844" s="28" t="s">
        <v>1357</v>
      </c>
      <c r="E844" s="28" t="s">
        <v>211</v>
      </c>
      <c r="F844" s="28" t="s">
        <v>305</v>
      </c>
      <c r="G844" s="28" t="s">
        <v>1360</v>
      </c>
      <c r="H844" s="28">
        <v>14176083</v>
      </c>
      <c r="I844" s="28">
        <v>423653</v>
      </c>
      <c r="J844" s="28">
        <v>0.99</v>
      </c>
      <c r="K844" s="28">
        <v>1</v>
      </c>
      <c r="L844" s="28">
        <v>1</v>
      </c>
    </row>
    <row r="845" spans="1:12" ht="14.25" customHeight="1" x14ac:dyDescent="0.2">
      <c r="A845" s="28">
        <v>844</v>
      </c>
      <c r="B845" s="28" t="s">
        <v>1361</v>
      </c>
      <c r="C845" s="28" t="s">
        <v>1356</v>
      </c>
      <c r="D845" s="28" t="s">
        <v>1357</v>
      </c>
      <c r="E845" s="28" t="s">
        <v>211</v>
      </c>
      <c r="F845" s="28" t="s">
        <v>305</v>
      </c>
      <c r="G845" s="28" t="s">
        <v>1358</v>
      </c>
      <c r="H845" s="28">
        <v>10602166</v>
      </c>
      <c r="I845" s="28">
        <v>319373</v>
      </c>
      <c r="J845" s="28">
        <v>0.99</v>
      </c>
      <c r="K845" s="28">
        <v>2</v>
      </c>
      <c r="L845" s="28">
        <v>1</v>
      </c>
    </row>
    <row r="846" spans="1:12" ht="14.25" customHeight="1" x14ac:dyDescent="0.2">
      <c r="A846" s="28">
        <v>845</v>
      </c>
      <c r="B846" s="28" t="s">
        <v>1362</v>
      </c>
      <c r="C846" s="28" t="s">
        <v>1356</v>
      </c>
      <c r="D846" s="28" t="s">
        <v>1357</v>
      </c>
      <c r="E846" s="28" t="s">
        <v>211</v>
      </c>
      <c r="F846" s="28" t="s">
        <v>305</v>
      </c>
      <c r="G846" s="28" t="s">
        <v>1363</v>
      </c>
      <c r="H846" s="28">
        <v>12059507</v>
      </c>
      <c r="I846" s="28">
        <v>368875</v>
      </c>
      <c r="J846" s="28">
        <v>0.99</v>
      </c>
      <c r="K846" s="28">
        <v>9</v>
      </c>
      <c r="L846" s="28">
        <v>0</v>
      </c>
    </row>
    <row r="847" spans="1:12" ht="14.25" customHeight="1" x14ac:dyDescent="0.2">
      <c r="A847" s="28">
        <v>846</v>
      </c>
      <c r="B847" s="28" t="s">
        <v>1364</v>
      </c>
      <c r="C847" s="28" t="s">
        <v>1356</v>
      </c>
      <c r="D847" s="28" t="s">
        <v>1357</v>
      </c>
      <c r="E847" s="28" t="s">
        <v>211</v>
      </c>
      <c r="F847" s="28" t="s">
        <v>305</v>
      </c>
      <c r="G847" s="28" t="s">
        <v>1365</v>
      </c>
      <c r="H847" s="28">
        <v>12287103</v>
      </c>
      <c r="I847" s="28">
        <v>368953</v>
      </c>
      <c r="J847" s="28">
        <v>0.99</v>
      </c>
      <c r="K847" s="28">
        <v>59</v>
      </c>
      <c r="L847" s="28">
        <v>0</v>
      </c>
    </row>
    <row r="848" spans="1:12" ht="14.25" customHeight="1" x14ac:dyDescent="0.2">
      <c r="A848" s="28">
        <v>847</v>
      </c>
      <c r="B848" s="28" t="s">
        <v>1366</v>
      </c>
      <c r="C848" s="28" t="s">
        <v>1356</v>
      </c>
      <c r="D848" s="28" t="s">
        <v>1357</v>
      </c>
      <c r="E848" s="28" t="s">
        <v>211</v>
      </c>
      <c r="F848" s="28" t="s">
        <v>305</v>
      </c>
      <c r="G848" s="28" t="s">
        <v>1367</v>
      </c>
      <c r="H848" s="28">
        <v>9032315</v>
      </c>
      <c r="I848" s="28">
        <v>272039</v>
      </c>
      <c r="J848" s="28">
        <v>0.99</v>
      </c>
      <c r="K848" s="28">
        <v>96</v>
      </c>
      <c r="L848" s="28">
        <v>0</v>
      </c>
    </row>
    <row r="849" spans="1:12" ht="14.25" customHeight="1" x14ac:dyDescent="0.2">
      <c r="A849" s="28">
        <v>848</v>
      </c>
      <c r="B849" s="28" t="s">
        <v>1356</v>
      </c>
      <c r="C849" s="28" t="s">
        <v>1356</v>
      </c>
      <c r="D849" s="28" t="s">
        <v>1357</v>
      </c>
      <c r="E849" s="28" t="s">
        <v>211</v>
      </c>
      <c r="F849" s="28" t="s">
        <v>305</v>
      </c>
      <c r="G849" s="28" t="s">
        <v>1368</v>
      </c>
      <c r="H849" s="28">
        <v>21685807</v>
      </c>
      <c r="I849" s="28">
        <v>659226</v>
      </c>
      <c r="J849" s="28">
        <v>0.99</v>
      </c>
      <c r="K849" s="28">
        <v>3</v>
      </c>
      <c r="L849" s="28">
        <v>1</v>
      </c>
    </row>
    <row r="850" spans="1:12" ht="14.25" customHeight="1" x14ac:dyDescent="0.2">
      <c r="A850" s="28">
        <v>849</v>
      </c>
      <c r="B850" s="28" t="s">
        <v>1369</v>
      </c>
      <c r="C850" s="28" t="s">
        <v>1356</v>
      </c>
      <c r="D850" s="28" t="s">
        <v>1357</v>
      </c>
      <c r="E850" s="28" t="s">
        <v>211</v>
      </c>
      <c r="F850" s="28" t="s">
        <v>305</v>
      </c>
      <c r="G850" s="28" t="s">
        <v>1370</v>
      </c>
      <c r="H850" s="28">
        <v>11394473</v>
      </c>
      <c r="I850" s="28">
        <v>346932</v>
      </c>
      <c r="J850" s="28">
        <v>0.99</v>
      </c>
      <c r="K850" s="28">
        <v>6</v>
      </c>
      <c r="L850" s="28">
        <v>1</v>
      </c>
    </row>
    <row r="851" spans="1:12" ht="14.25" customHeight="1" x14ac:dyDescent="0.2">
      <c r="A851" s="28">
        <v>850</v>
      </c>
      <c r="B851" s="28" t="s">
        <v>1371</v>
      </c>
      <c r="C851" s="28" t="s">
        <v>1356</v>
      </c>
      <c r="D851" s="28" t="s">
        <v>1357</v>
      </c>
      <c r="E851" s="28" t="s">
        <v>211</v>
      </c>
      <c r="F851" s="28" t="s">
        <v>305</v>
      </c>
      <c r="G851" s="28" t="s">
        <v>1372</v>
      </c>
      <c r="H851" s="28">
        <v>11994859</v>
      </c>
      <c r="I851" s="28">
        <v>360411</v>
      </c>
      <c r="J851" s="28">
        <v>0.99</v>
      </c>
      <c r="K851" s="28">
        <v>83</v>
      </c>
      <c r="L851" s="28">
        <v>0</v>
      </c>
    </row>
    <row r="852" spans="1:12" ht="14.25" customHeight="1" x14ac:dyDescent="0.2">
      <c r="A852" s="28">
        <v>851</v>
      </c>
      <c r="B852" s="28" t="s">
        <v>1373</v>
      </c>
      <c r="C852" s="28" t="s">
        <v>1374</v>
      </c>
      <c r="D852" s="28" t="s">
        <v>1375</v>
      </c>
      <c r="E852" s="28" t="s">
        <v>211</v>
      </c>
      <c r="F852" s="28" t="s">
        <v>490</v>
      </c>
      <c r="G852" s="28"/>
      <c r="H852" s="28">
        <v>8856165</v>
      </c>
      <c r="I852" s="28">
        <v>270080</v>
      </c>
      <c r="J852" s="28">
        <v>0.99</v>
      </c>
      <c r="K852" s="28">
        <v>65</v>
      </c>
      <c r="L852" s="28">
        <v>0</v>
      </c>
    </row>
    <row r="853" spans="1:12" ht="14.25" customHeight="1" x14ac:dyDescent="0.2">
      <c r="A853" s="28">
        <v>852</v>
      </c>
      <c r="B853" s="28" t="s">
        <v>1376</v>
      </c>
      <c r="C853" s="28" t="s">
        <v>1374</v>
      </c>
      <c r="D853" s="28" t="s">
        <v>1375</v>
      </c>
      <c r="E853" s="28" t="s">
        <v>211</v>
      </c>
      <c r="F853" s="28" t="s">
        <v>490</v>
      </c>
      <c r="G853" s="28"/>
      <c r="H853" s="28">
        <v>8330047</v>
      </c>
      <c r="I853" s="28">
        <v>255608</v>
      </c>
      <c r="J853" s="28">
        <v>0.99</v>
      </c>
      <c r="K853" s="28">
        <v>26</v>
      </c>
      <c r="L853" s="28">
        <v>0</v>
      </c>
    </row>
    <row r="854" spans="1:12" ht="14.25" customHeight="1" x14ac:dyDescent="0.2">
      <c r="A854" s="28">
        <v>853</v>
      </c>
      <c r="B854" s="28" t="s">
        <v>1377</v>
      </c>
      <c r="C854" s="28" t="s">
        <v>1374</v>
      </c>
      <c r="D854" s="28" t="s">
        <v>1375</v>
      </c>
      <c r="E854" s="28" t="s">
        <v>211</v>
      </c>
      <c r="F854" s="28" t="s">
        <v>490</v>
      </c>
      <c r="G854" s="28"/>
      <c r="H854" s="28">
        <v>10037362</v>
      </c>
      <c r="I854" s="28">
        <v>304692</v>
      </c>
      <c r="J854" s="28">
        <v>0.99</v>
      </c>
      <c r="K854" s="28">
        <v>96</v>
      </c>
      <c r="L854" s="28">
        <v>1</v>
      </c>
    </row>
    <row r="855" spans="1:12" ht="14.25" customHeight="1" x14ac:dyDescent="0.2">
      <c r="A855" s="28">
        <v>854</v>
      </c>
      <c r="B855" s="28" t="s">
        <v>1378</v>
      </c>
      <c r="C855" s="28" t="s">
        <v>1374</v>
      </c>
      <c r="D855" s="28" t="s">
        <v>1375</v>
      </c>
      <c r="E855" s="28" t="s">
        <v>211</v>
      </c>
      <c r="F855" s="28" t="s">
        <v>490</v>
      </c>
      <c r="G855" s="28"/>
      <c r="H855" s="28">
        <v>11283582</v>
      </c>
      <c r="I855" s="28">
        <v>338755</v>
      </c>
      <c r="J855" s="28">
        <v>0.99</v>
      </c>
      <c r="K855" s="28">
        <v>79</v>
      </c>
      <c r="L855" s="28">
        <v>0</v>
      </c>
    </row>
    <row r="856" spans="1:12" ht="14.25" customHeight="1" x14ac:dyDescent="0.2">
      <c r="A856" s="28">
        <v>855</v>
      </c>
      <c r="B856" s="28" t="s">
        <v>1379</v>
      </c>
      <c r="C856" s="28" t="s">
        <v>1374</v>
      </c>
      <c r="D856" s="28" t="s">
        <v>1375</v>
      </c>
      <c r="E856" s="28" t="s">
        <v>211</v>
      </c>
      <c r="F856" s="28" t="s">
        <v>490</v>
      </c>
      <c r="G856" s="28"/>
      <c r="H856" s="28">
        <v>7018586</v>
      </c>
      <c r="I856" s="28">
        <v>211565</v>
      </c>
      <c r="J856" s="28">
        <v>0.99</v>
      </c>
      <c r="K856" s="28">
        <v>67</v>
      </c>
      <c r="L856" s="28">
        <v>0</v>
      </c>
    </row>
    <row r="857" spans="1:12" ht="14.25" customHeight="1" x14ac:dyDescent="0.2">
      <c r="A857" s="28">
        <v>856</v>
      </c>
      <c r="B857" s="28" t="s">
        <v>1380</v>
      </c>
      <c r="C857" s="28" t="s">
        <v>1374</v>
      </c>
      <c r="D857" s="28" t="s">
        <v>1375</v>
      </c>
      <c r="E857" s="28" t="s">
        <v>211</v>
      </c>
      <c r="F857" s="28" t="s">
        <v>490</v>
      </c>
      <c r="G857" s="28"/>
      <c r="H857" s="28">
        <v>8788760</v>
      </c>
      <c r="I857" s="28">
        <v>267728</v>
      </c>
      <c r="J857" s="28">
        <v>0.99</v>
      </c>
      <c r="K857" s="28">
        <v>30</v>
      </c>
      <c r="L857" s="28">
        <v>0</v>
      </c>
    </row>
    <row r="858" spans="1:12" ht="14.25" customHeight="1" x14ac:dyDescent="0.2">
      <c r="A858" s="28">
        <v>857</v>
      </c>
      <c r="B858" s="28" t="s">
        <v>1381</v>
      </c>
      <c r="C858" s="28" t="s">
        <v>1374</v>
      </c>
      <c r="D858" s="28" t="s">
        <v>1375</v>
      </c>
      <c r="E858" s="28" t="s">
        <v>211</v>
      </c>
      <c r="F858" s="28" t="s">
        <v>490</v>
      </c>
      <c r="G858" s="28"/>
      <c r="H858" s="28">
        <v>6928434</v>
      </c>
      <c r="I858" s="28">
        <v>213237</v>
      </c>
      <c r="J858" s="28">
        <v>0.99</v>
      </c>
      <c r="K858" s="28">
        <v>40</v>
      </c>
      <c r="L858" s="28">
        <v>2</v>
      </c>
    </row>
    <row r="859" spans="1:12" ht="14.25" customHeight="1" x14ac:dyDescent="0.2">
      <c r="A859" s="28">
        <v>858</v>
      </c>
      <c r="B859" s="28" t="s">
        <v>1382</v>
      </c>
      <c r="C859" s="28" t="s">
        <v>1374</v>
      </c>
      <c r="D859" s="28" t="s">
        <v>1375</v>
      </c>
      <c r="E859" s="28" t="s">
        <v>211</v>
      </c>
      <c r="F859" s="28" t="s">
        <v>490</v>
      </c>
      <c r="G859" s="28"/>
      <c r="H859" s="28">
        <v>9096726</v>
      </c>
      <c r="I859" s="28">
        <v>280999</v>
      </c>
      <c r="J859" s="28">
        <v>0.99</v>
      </c>
      <c r="K859" s="28">
        <v>89</v>
      </c>
      <c r="L859" s="28">
        <v>2</v>
      </c>
    </row>
    <row r="860" spans="1:12" ht="14.25" customHeight="1" x14ac:dyDescent="0.2">
      <c r="A860" s="28">
        <v>859</v>
      </c>
      <c r="B860" s="28" t="s">
        <v>1383</v>
      </c>
      <c r="C860" s="28" t="s">
        <v>1374</v>
      </c>
      <c r="D860" s="28" t="s">
        <v>1375</v>
      </c>
      <c r="E860" s="28" t="s">
        <v>211</v>
      </c>
      <c r="F860" s="28" t="s">
        <v>490</v>
      </c>
      <c r="G860" s="28"/>
      <c r="H860" s="28">
        <v>9413777</v>
      </c>
      <c r="I860" s="28">
        <v>286432</v>
      </c>
      <c r="J860" s="28">
        <v>0.99</v>
      </c>
      <c r="K860" s="28">
        <v>62</v>
      </c>
      <c r="L860" s="28">
        <v>1</v>
      </c>
    </row>
    <row r="861" spans="1:12" ht="14.25" customHeight="1" x14ac:dyDescent="0.2">
      <c r="A861" s="28">
        <v>860</v>
      </c>
      <c r="B861" s="28" t="s">
        <v>1384</v>
      </c>
      <c r="C861" s="28" t="s">
        <v>1374</v>
      </c>
      <c r="D861" s="28" t="s">
        <v>1375</v>
      </c>
      <c r="E861" s="28" t="s">
        <v>211</v>
      </c>
      <c r="F861" s="28" t="s">
        <v>490</v>
      </c>
      <c r="G861" s="28"/>
      <c r="H861" s="28">
        <v>10312775</v>
      </c>
      <c r="I861" s="28">
        <v>311614</v>
      </c>
      <c r="J861" s="28">
        <v>0.99</v>
      </c>
      <c r="K861" s="28">
        <v>64</v>
      </c>
      <c r="L861" s="28">
        <v>0</v>
      </c>
    </row>
    <row r="862" spans="1:12" ht="14.25" customHeight="1" x14ac:dyDescent="0.2">
      <c r="A862" s="28">
        <v>861</v>
      </c>
      <c r="B862" s="28" t="s">
        <v>1385</v>
      </c>
      <c r="C862" s="28" t="s">
        <v>1374</v>
      </c>
      <c r="D862" s="28" t="s">
        <v>1375</v>
      </c>
      <c r="E862" s="28" t="s">
        <v>211</v>
      </c>
      <c r="F862" s="28" t="s">
        <v>490</v>
      </c>
      <c r="G862" s="28"/>
      <c r="H862" s="28">
        <v>9049542</v>
      </c>
      <c r="I862" s="28">
        <v>274181</v>
      </c>
      <c r="J862" s="28">
        <v>0.99</v>
      </c>
      <c r="K862" s="28">
        <v>22</v>
      </c>
      <c r="L862" s="28">
        <v>1</v>
      </c>
    </row>
    <row r="863" spans="1:12" ht="14.25" customHeight="1" x14ac:dyDescent="0.2">
      <c r="A863" s="28">
        <v>862</v>
      </c>
      <c r="B863" s="28" t="s">
        <v>1386</v>
      </c>
      <c r="C863" s="28" t="s">
        <v>1374</v>
      </c>
      <c r="D863" s="28" t="s">
        <v>1375</v>
      </c>
      <c r="E863" s="28" t="s">
        <v>211</v>
      </c>
      <c r="F863" s="28" t="s">
        <v>490</v>
      </c>
      <c r="G863" s="28"/>
      <c r="H863" s="28">
        <v>9396942</v>
      </c>
      <c r="I863" s="28">
        <v>284081</v>
      </c>
      <c r="J863" s="28">
        <v>0.99</v>
      </c>
      <c r="K863" s="28">
        <v>84</v>
      </c>
      <c r="L863" s="28">
        <v>1</v>
      </c>
    </row>
    <row r="864" spans="1:12" ht="14.25" customHeight="1" x14ac:dyDescent="0.2">
      <c r="A864" s="28">
        <v>863</v>
      </c>
      <c r="B864" s="28" t="s">
        <v>1387</v>
      </c>
      <c r="C864" s="28" t="s">
        <v>1374</v>
      </c>
      <c r="D864" s="28" t="s">
        <v>1375</v>
      </c>
      <c r="E864" s="28" t="s">
        <v>211</v>
      </c>
      <c r="F864" s="28" t="s">
        <v>490</v>
      </c>
      <c r="G864" s="28"/>
      <c r="H864" s="28">
        <v>10687311</v>
      </c>
      <c r="I864" s="28">
        <v>327784</v>
      </c>
      <c r="J864" s="28">
        <v>0.99</v>
      </c>
      <c r="K864" s="28">
        <v>64</v>
      </c>
      <c r="L864" s="28">
        <v>1</v>
      </c>
    </row>
    <row r="865" spans="1:12" ht="14.25" customHeight="1" x14ac:dyDescent="0.2">
      <c r="A865" s="28">
        <v>864</v>
      </c>
      <c r="B865" s="28" t="s">
        <v>1388</v>
      </c>
      <c r="C865" s="28" t="s">
        <v>1389</v>
      </c>
      <c r="D865" s="28" t="s">
        <v>1375</v>
      </c>
      <c r="E865" s="28" t="s">
        <v>211</v>
      </c>
      <c r="F865" s="28" t="s">
        <v>490</v>
      </c>
      <c r="G865" s="28" t="s">
        <v>1375</v>
      </c>
      <c r="H865" s="28">
        <v>10872787</v>
      </c>
      <c r="I865" s="28">
        <v>330997</v>
      </c>
      <c r="J865" s="28">
        <v>0.99</v>
      </c>
      <c r="K865" s="28">
        <v>16</v>
      </c>
      <c r="L865" s="28">
        <v>0</v>
      </c>
    </row>
    <row r="866" spans="1:12" ht="14.25" customHeight="1" x14ac:dyDescent="0.2">
      <c r="A866" s="28">
        <v>865</v>
      </c>
      <c r="B866" s="28" t="s">
        <v>1390</v>
      </c>
      <c r="C866" s="28" t="s">
        <v>1389</v>
      </c>
      <c r="D866" s="28" t="s">
        <v>1375</v>
      </c>
      <c r="E866" s="28" t="s">
        <v>211</v>
      </c>
      <c r="F866" s="28" t="s">
        <v>490</v>
      </c>
      <c r="G866" s="28" t="s">
        <v>1375</v>
      </c>
      <c r="H866" s="28">
        <v>11181446</v>
      </c>
      <c r="I866" s="28">
        <v>337423</v>
      </c>
      <c r="J866" s="28">
        <v>0.99</v>
      </c>
      <c r="K866" s="28">
        <v>59</v>
      </c>
      <c r="L866" s="28">
        <v>1</v>
      </c>
    </row>
    <row r="867" spans="1:12" ht="14.25" customHeight="1" x14ac:dyDescent="0.2">
      <c r="A867" s="28">
        <v>866</v>
      </c>
      <c r="B867" s="28" t="s">
        <v>1391</v>
      </c>
      <c r="C867" s="28" t="s">
        <v>1389</v>
      </c>
      <c r="D867" s="28" t="s">
        <v>1375</v>
      </c>
      <c r="E867" s="28" t="s">
        <v>211</v>
      </c>
      <c r="F867" s="28" t="s">
        <v>490</v>
      </c>
      <c r="G867" s="28" t="s">
        <v>1375</v>
      </c>
      <c r="H867" s="28">
        <v>7026441</v>
      </c>
      <c r="I867" s="28">
        <v>217338</v>
      </c>
      <c r="J867" s="28">
        <v>0.99</v>
      </c>
      <c r="K867" s="28">
        <v>82</v>
      </c>
      <c r="L867" s="28">
        <v>1</v>
      </c>
    </row>
    <row r="868" spans="1:12" ht="14.25" customHeight="1" x14ac:dyDescent="0.2">
      <c r="A868" s="28">
        <v>867</v>
      </c>
      <c r="B868" s="28" t="s">
        <v>1392</v>
      </c>
      <c r="C868" s="28" t="s">
        <v>1389</v>
      </c>
      <c r="D868" s="28" t="s">
        <v>1375</v>
      </c>
      <c r="E868" s="28" t="s">
        <v>211</v>
      </c>
      <c r="F868" s="28" t="s">
        <v>490</v>
      </c>
      <c r="G868" s="28" t="s">
        <v>1375</v>
      </c>
      <c r="H868" s="28">
        <v>8893682</v>
      </c>
      <c r="I868" s="28">
        <v>270968</v>
      </c>
      <c r="J868" s="28">
        <v>0.99</v>
      </c>
      <c r="K868" s="28">
        <v>24</v>
      </c>
      <c r="L868" s="28">
        <v>2</v>
      </c>
    </row>
    <row r="869" spans="1:12" ht="14.25" customHeight="1" x14ac:dyDescent="0.2">
      <c r="A869" s="28">
        <v>868</v>
      </c>
      <c r="B869" s="28" t="s">
        <v>1393</v>
      </c>
      <c r="C869" s="28" t="s">
        <v>1389</v>
      </c>
      <c r="D869" s="28" t="s">
        <v>1375</v>
      </c>
      <c r="E869" s="28" t="s">
        <v>211</v>
      </c>
      <c r="F869" s="28" t="s">
        <v>490</v>
      </c>
      <c r="G869" s="28" t="s">
        <v>1375</v>
      </c>
      <c r="H869" s="28">
        <v>9842240</v>
      </c>
      <c r="I869" s="28">
        <v>295314</v>
      </c>
      <c r="J869" s="28">
        <v>0.99</v>
      </c>
      <c r="K869" s="28">
        <v>0</v>
      </c>
      <c r="L869" s="28">
        <v>0</v>
      </c>
    </row>
    <row r="870" spans="1:12" ht="14.25" customHeight="1" x14ac:dyDescent="0.2">
      <c r="A870" s="28">
        <v>869</v>
      </c>
      <c r="B870" s="28" t="s">
        <v>1394</v>
      </c>
      <c r="C870" s="28" t="s">
        <v>1389</v>
      </c>
      <c r="D870" s="28" t="s">
        <v>1375</v>
      </c>
      <c r="E870" s="28" t="s">
        <v>211</v>
      </c>
      <c r="F870" s="28" t="s">
        <v>490</v>
      </c>
      <c r="G870" s="28" t="s">
        <v>1375</v>
      </c>
      <c r="H870" s="28">
        <v>7801108</v>
      </c>
      <c r="I870" s="28">
        <v>236355</v>
      </c>
      <c r="J870" s="28">
        <v>0.99</v>
      </c>
      <c r="K870" s="28">
        <v>48</v>
      </c>
      <c r="L870" s="28">
        <v>1</v>
      </c>
    </row>
    <row r="871" spans="1:12" ht="14.25" customHeight="1" x14ac:dyDescent="0.2">
      <c r="A871" s="28">
        <v>870</v>
      </c>
      <c r="B871" s="28" t="s">
        <v>1395</v>
      </c>
      <c r="C871" s="28" t="s">
        <v>1389</v>
      </c>
      <c r="D871" s="28" t="s">
        <v>1375</v>
      </c>
      <c r="E871" s="28" t="s">
        <v>211</v>
      </c>
      <c r="F871" s="28" t="s">
        <v>490</v>
      </c>
      <c r="G871" s="28" t="s">
        <v>1375</v>
      </c>
      <c r="H871" s="28">
        <v>7073899</v>
      </c>
      <c r="I871" s="28">
        <v>211617</v>
      </c>
      <c r="J871" s="28">
        <v>0.99</v>
      </c>
      <c r="K871" s="28">
        <v>14</v>
      </c>
      <c r="L871" s="28">
        <v>0</v>
      </c>
    </row>
    <row r="872" spans="1:12" ht="14.25" customHeight="1" x14ac:dyDescent="0.2">
      <c r="A872" s="28">
        <v>871</v>
      </c>
      <c r="B872" s="28" t="s">
        <v>1396</v>
      </c>
      <c r="C872" s="28" t="s">
        <v>1389</v>
      </c>
      <c r="D872" s="28" t="s">
        <v>1375</v>
      </c>
      <c r="E872" s="28" t="s">
        <v>211</v>
      </c>
      <c r="F872" s="28" t="s">
        <v>490</v>
      </c>
      <c r="G872" s="28" t="s">
        <v>1375</v>
      </c>
      <c r="H872" s="28">
        <v>8381029</v>
      </c>
      <c r="I872" s="28">
        <v>253962</v>
      </c>
      <c r="J872" s="28">
        <v>0.99</v>
      </c>
      <c r="K872" s="28">
        <v>6</v>
      </c>
      <c r="L872" s="28">
        <v>2</v>
      </c>
    </row>
    <row r="873" spans="1:12" ht="14.25" customHeight="1" x14ac:dyDescent="0.2">
      <c r="A873" s="28">
        <v>872</v>
      </c>
      <c r="B873" s="28" t="s">
        <v>1397</v>
      </c>
      <c r="C873" s="28" t="s">
        <v>1389</v>
      </c>
      <c r="D873" s="28" t="s">
        <v>1375</v>
      </c>
      <c r="E873" s="28" t="s">
        <v>211</v>
      </c>
      <c r="F873" s="28" t="s">
        <v>490</v>
      </c>
      <c r="G873" s="28" t="s">
        <v>1375</v>
      </c>
      <c r="H873" s="28">
        <v>9163253</v>
      </c>
      <c r="I873" s="28">
        <v>277524</v>
      </c>
      <c r="J873" s="28">
        <v>0.99</v>
      </c>
      <c r="K873" s="28">
        <v>94</v>
      </c>
      <c r="L873" s="28">
        <v>0</v>
      </c>
    </row>
    <row r="874" spans="1:12" ht="14.25" customHeight="1" x14ac:dyDescent="0.2">
      <c r="A874" s="28">
        <v>873</v>
      </c>
      <c r="B874" s="28" t="s">
        <v>1398</v>
      </c>
      <c r="C874" s="28" t="s">
        <v>1389</v>
      </c>
      <c r="D874" s="28" t="s">
        <v>1375</v>
      </c>
      <c r="E874" s="28" t="s">
        <v>211</v>
      </c>
      <c r="F874" s="28" t="s">
        <v>490</v>
      </c>
      <c r="G874" s="28" t="s">
        <v>1399</v>
      </c>
      <c r="H874" s="28">
        <v>11493463</v>
      </c>
      <c r="I874" s="28">
        <v>347297</v>
      </c>
      <c r="J874" s="28">
        <v>0.99</v>
      </c>
      <c r="K874" s="28">
        <v>52</v>
      </c>
      <c r="L874" s="28">
        <v>0</v>
      </c>
    </row>
    <row r="875" spans="1:12" ht="14.25" customHeight="1" x14ac:dyDescent="0.2">
      <c r="A875" s="28">
        <v>874</v>
      </c>
      <c r="B875" s="28" t="s">
        <v>1400</v>
      </c>
      <c r="C875" s="28" t="s">
        <v>1389</v>
      </c>
      <c r="D875" s="28" t="s">
        <v>1375</v>
      </c>
      <c r="E875" s="28" t="s">
        <v>211</v>
      </c>
      <c r="F875" s="28" t="s">
        <v>490</v>
      </c>
      <c r="G875" s="28" t="s">
        <v>1375</v>
      </c>
      <c r="H875" s="28">
        <v>8906539</v>
      </c>
      <c r="I875" s="28">
        <v>268173</v>
      </c>
      <c r="J875" s="28">
        <v>0.99</v>
      </c>
      <c r="K875" s="28">
        <v>71</v>
      </c>
      <c r="L875" s="28">
        <v>0</v>
      </c>
    </row>
    <row r="876" spans="1:12" ht="14.25" customHeight="1" x14ac:dyDescent="0.2">
      <c r="A876" s="28">
        <v>875</v>
      </c>
      <c r="B876" s="28" t="s">
        <v>1386</v>
      </c>
      <c r="C876" s="28" t="s">
        <v>1389</v>
      </c>
      <c r="D876" s="28" t="s">
        <v>1375</v>
      </c>
      <c r="E876" s="28" t="s">
        <v>211</v>
      </c>
      <c r="F876" s="28" t="s">
        <v>490</v>
      </c>
      <c r="G876" s="28" t="s">
        <v>1375</v>
      </c>
      <c r="H876" s="28">
        <v>9391439</v>
      </c>
      <c r="I876" s="28">
        <v>284133</v>
      </c>
      <c r="J876" s="28">
        <v>0.99</v>
      </c>
      <c r="K876" s="28">
        <v>78</v>
      </c>
      <c r="L876" s="28">
        <v>1</v>
      </c>
    </row>
    <row r="877" spans="1:12" ht="14.25" customHeight="1" x14ac:dyDescent="0.2">
      <c r="A877" s="28">
        <v>876</v>
      </c>
      <c r="B877" s="28" t="s">
        <v>1387</v>
      </c>
      <c r="C877" s="28" t="s">
        <v>1389</v>
      </c>
      <c r="D877" s="28" t="s">
        <v>1375</v>
      </c>
      <c r="E877" s="28" t="s">
        <v>211</v>
      </c>
      <c r="F877" s="28" t="s">
        <v>490</v>
      </c>
      <c r="G877" s="28" t="s">
        <v>1375</v>
      </c>
      <c r="H877" s="28">
        <v>10664698</v>
      </c>
      <c r="I877" s="28">
        <v>327105</v>
      </c>
      <c r="J877" s="28">
        <v>0.99</v>
      </c>
      <c r="K877" s="28">
        <v>92</v>
      </c>
      <c r="L877" s="28">
        <v>1</v>
      </c>
    </row>
    <row r="878" spans="1:12" ht="14.25" customHeight="1" x14ac:dyDescent="0.2">
      <c r="A878" s="28">
        <v>877</v>
      </c>
      <c r="B878" s="28" t="s">
        <v>1401</v>
      </c>
      <c r="C878" s="28" t="s">
        <v>1402</v>
      </c>
      <c r="D878" s="28" t="s">
        <v>1403</v>
      </c>
      <c r="E878" s="28" t="s">
        <v>211</v>
      </c>
      <c r="F878" s="28" t="s">
        <v>490</v>
      </c>
      <c r="G878" s="28"/>
      <c r="H878" s="28">
        <v>7306143</v>
      </c>
      <c r="I878" s="28">
        <v>223059</v>
      </c>
      <c r="J878" s="28">
        <v>0.99</v>
      </c>
      <c r="K878" s="28">
        <v>53</v>
      </c>
      <c r="L878" s="28">
        <v>0</v>
      </c>
    </row>
    <row r="879" spans="1:12" ht="14.25" customHeight="1" x14ac:dyDescent="0.2">
      <c r="A879" s="28">
        <v>878</v>
      </c>
      <c r="B879" s="28" t="s">
        <v>1404</v>
      </c>
      <c r="C879" s="28" t="s">
        <v>1402</v>
      </c>
      <c r="D879" s="28" t="s">
        <v>1403</v>
      </c>
      <c r="E879" s="28" t="s">
        <v>211</v>
      </c>
      <c r="F879" s="28" t="s">
        <v>490</v>
      </c>
      <c r="G879" s="28"/>
      <c r="H879" s="28">
        <v>6180414</v>
      </c>
      <c r="I879" s="28">
        <v>186226</v>
      </c>
      <c r="J879" s="28">
        <v>0.99</v>
      </c>
      <c r="K879" s="28">
        <v>54</v>
      </c>
      <c r="L879" s="28">
        <v>0</v>
      </c>
    </row>
    <row r="880" spans="1:12" ht="14.25" customHeight="1" x14ac:dyDescent="0.2">
      <c r="A880" s="28">
        <v>879</v>
      </c>
      <c r="B880" s="28" t="s">
        <v>1405</v>
      </c>
      <c r="C880" s="28" t="s">
        <v>1402</v>
      </c>
      <c r="D880" s="28" t="s">
        <v>1403</v>
      </c>
      <c r="E880" s="28" t="s">
        <v>211</v>
      </c>
      <c r="F880" s="28" t="s">
        <v>490</v>
      </c>
      <c r="G880" s="28"/>
      <c r="H880" s="28">
        <v>5432518</v>
      </c>
      <c r="I880" s="28">
        <v>166608</v>
      </c>
      <c r="J880" s="28">
        <v>0.99</v>
      </c>
      <c r="K880" s="28">
        <v>1</v>
      </c>
      <c r="L880" s="28">
        <v>1</v>
      </c>
    </row>
    <row r="881" spans="1:12" ht="14.25" customHeight="1" x14ac:dyDescent="0.2">
      <c r="A881" s="28">
        <v>880</v>
      </c>
      <c r="B881" s="28" t="s">
        <v>1406</v>
      </c>
      <c r="C881" s="28" t="s">
        <v>1402</v>
      </c>
      <c r="D881" s="28" t="s">
        <v>1403</v>
      </c>
      <c r="E881" s="28" t="s">
        <v>211</v>
      </c>
      <c r="F881" s="28" t="s">
        <v>490</v>
      </c>
      <c r="G881" s="28"/>
      <c r="H881" s="28">
        <v>8684639</v>
      </c>
      <c r="I881" s="28">
        <v>263026</v>
      </c>
      <c r="J881" s="28">
        <v>0.99</v>
      </c>
      <c r="K881" s="28">
        <v>46</v>
      </c>
      <c r="L881" s="28">
        <v>2</v>
      </c>
    </row>
    <row r="882" spans="1:12" ht="14.25" customHeight="1" x14ac:dyDescent="0.2">
      <c r="A882" s="28">
        <v>881</v>
      </c>
      <c r="B882" s="28" t="s">
        <v>1407</v>
      </c>
      <c r="C882" s="28" t="s">
        <v>1402</v>
      </c>
      <c r="D882" s="28" t="s">
        <v>1403</v>
      </c>
      <c r="E882" s="28" t="s">
        <v>211</v>
      </c>
      <c r="F882" s="28" t="s">
        <v>490</v>
      </c>
      <c r="G882" s="28"/>
      <c r="H882" s="28">
        <v>5531841</v>
      </c>
      <c r="I882" s="28">
        <v>170788</v>
      </c>
      <c r="J882" s="28">
        <v>0.99</v>
      </c>
      <c r="K882" s="28">
        <v>6</v>
      </c>
      <c r="L882" s="28">
        <v>1</v>
      </c>
    </row>
    <row r="883" spans="1:12" ht="14.25" customHeight="1" x14ac:dyDescent="0.2">
      <c r="A883" s="28">
        <v>882</v>
      </c>
      <c r="B883" s="28" t="s">
        <v>1408</v>
      </c>
      <c r="C883" s="28" t="s">
        <v>1402</v>
      </c>
      <c r="D883" s="28" t="s">
        <v>1403</v>
      </c>
      <c r="E883" s="28" t="s">
        <v>211</v>
      </c>
      <c r="F883" s="28" t="s">
        <v>490</v>
      </c>
      <c r="G883" s="28"/>
      <c r="H883" s="28">
        <v>7968525</v>
      </c>
      <c r="I883" s="28">
        <v>242834</v>
      </c>
      <c r="J883" s="28">
        <v>0.99</v>
      </c>
      <c r="K883" s="28">
        <v>63</v>
      </c>
      <c r="L883" s="28">
        <v>1</v>
      </c>
    </row>
    <row r="884" spans="1:12" ht="14.25" customHeight="1" x14ac:dyDescent="0.2">
      <c r="A884" s="28">
        <v>883</v>
      </c>
      <c r="B884" s="28" t="s">
        <v>1409</v>
      </c>
      <c r="C884" s="28" t="s">
        <v>1402</v>
      </c>
      <c r="D884" s="28" t="s">
        <v>1403</v>
      </c>
      <c r="E884" s="28" t="s">
        <v>211</v>
      </c>
      <c r="F884" s="28" t="s">
        <v>490</v>
      </c>
      <c r="G884" s="28"/>
      <c r="H884" s="28">
        <v>8137254</v>
      </c>
      <c r="I884" s="28">
        <v>241397</v>
      </c>
      <c r="J884" s="28">
        <v>0.99</v>
      </c>
      <c r="K884" s="28">
        <v>45</v>
      </c>
      <c r="L884" s="28">
        <v>1</v>
      </c>
    </row>
    <row r="885" spans="1:12" ht="14.25" customHeight="1" x14ac:dyDescent="0.2">
      <c r="A885" s="28">
        <v>884</v>
      </c>
      <c r="B885" s="28" t="s">
        <v>1410</v>
      </c>
      <c r="C885" s="28" t="s">
        <v>1402</v>
      </c>
      <c r="D885" s="28" t="s">
        <v>1403</v>
      </c>
      <c r="E885" s="28" t="s">
        <v>211</v>
      </c>
      <c r="F885" s="28" t="s">
        <v>490</v>
      </c>
      <c r="G885" s="28"/>
      <c r="H885" s="28">
        <v>6888030</v>
      </c>
      <c r="I885" s="28">
        <v>214831</v>
      </c>
      <c r="J885" s="28">
        <v>0.99</v>
      </c>
      <c r="K885" s="28">
        <v>94</v>
      </c>
      <c r="L885" s="28">
        <v>1</v>
      </c>
    </row>
    <row r="886" spans="1:12" ht="14.25" customHeight="1" x14ac:dyDescent="0.2">
      <c r="A886" s="28">
        <v>885</v>
      </c>
      <c r="B886" s="28" t="s">
        <v>1411</v>
      </c>
      <c r="C886" s="28" t="s">
        <v>1402</v>
      </c>
      <c r="D886" s="28" t="s">
        <v>1403</v>
      </c>
      <c r="E886" s="28" t="s">
        <v>211</v>
      </c>
      <c r="F886" s="28" t="s">
        <v>490</v>
      </c>
      <c r="G886" s="28"/>
      <c r="H886" s="28">
        <v>5793959</v>
      </c>
      <c r="I886" s="28">
        <v>180793</v>
      </c>
      <c r="J886" s="28">
        <v>0.99</v>
      </c>
      <c r="K886" s="28">
        <v>43</v>
      </c>
      <c r="L886" s="28">
        <v>1</v>
      </c>
    </row>
    <row r="887" spans="1:12" ht="14.25" customHeight="1" x14ac:dyDescent="0.2">
      <c r="A887" s="28">
        <v>886</v>
      </c>
      <c r="B887" s="28" t="s">
        <v>1412</v>
      </c>
      <c r="C887" s="28" t="s">
        <v>1402</v>
      </c>
      <c r="D887" s="28" t="s">
        <v>1403</v>
      </c>
      <c r="E887" s="28" t="s">
        <v>211</v>
      </c>
      <c r="F887" s="28" t="s">
        <v>490</v>
      </c>
      <c r="G887" s="28"/>
      <c r="H887" s="28">
        <v>9059416</v>
      </c>
      <c r="I887" s="28">
        <v>278125</v>
      </c>
      <c r="J887" s="28">
        <v>0.99</v>
      </c>
      <c r="K887" s="28">
        <v>51</v>
      </c>
      <c r="L887" s="28">
        <v>1</v>
      </c>
    </row>
    <row r="888" spans="1:12" ht="14.25" customHeight="1" x14ac:dyDescent="0.2">
      <c r="A888" s="28">
        <v>887</v>
      </c>
      <c r="B888" s="28" t="s">
        <v>1413</v>
      </c>
      <c r="C888" s="28" t="s">
        <v>1402</v>
      </c>
      <c r="D888" s="28" t="s">
        <v>1403</v>
      </c>
      <c r="E888" s="28" t="s">
        <v>211</v>
      </c>
      <c r="F888" s="28" t="s">
        <v>490</v>
      </c>
      <c r="G888" s="28"/>
      <c r="H888" s="28">
        <v>8014346</v>
      </c>
      <c r="I888" s="28">
        <v>247379</v>
      </c>
      <c r="J888" s="28">
        <v>0.99</v>
      </c>
      <c r="K888" s="28">
        <v>44</v>
      </c>
      <c r="L888" s="28">
        <v>1</v>
      </c>
    </row>
    <row r="889" spans="1:12" ht="14.25" customHeight="1" x14ac:dyDescent="0.2">
      <c r="A889" s="28">
        <v>888</v>
      </c>
      <c r="B889" s="28" t="s">
        <v>1414</v>
      </c>
      <c r="C889" s="28" t="s">
        <v>1402</v>
      </c>
      <c r="D889" s="28" t="s">
        <v>1403</v>
      </c>
      <c r="E889" s="28" t="s">
        <v>211</v>
      </c>
      <c r="F889" s="28" t="s">
        <v>490</v>
      </c>
      <c r="G889" s="28"/>
      <c r="H889" s="28">
        <v>5243721</v>
      </c>
      <c r="I889" s="28">
        <v>157387</v>
      </c>
      <c r="J889" s="28">
        <v>0.99</v>
      </c>
      <c r="K889" s="28">
        <v>91</v>
      </c>
      <c r="L889" s="28">
        <v>1</v>
      </c>
    </row>
    <row r="890" spans="1:12" ht="14.25" customHeight="1" x14ac:dyDescent="0.2">
      <c r="A890" s="28">
        <v>889</v>
      </c>
      <c r="B890" s="28" t="s">
        <v>1415</v>
      </c>
      <c r="C890" s="28" t="s">
        <v>1402</v>
      </c>
      <c r="D890" s="28" t="s">
        <v>1403</v>
      </c>
      <c r="E890" s="28" t="s">
        <v>211</v>
      </c>
      <c r="F890" s="28" t="s">
        <v>490</v>
      </c>
      <c r="G890" s="28"/>
      <c r="H890" s="28">
        <v>7592504</v>
      </c>
      <c r="I890" s="28">
        <v>232803</v>
      </c>
      <c r="J890" s="28">
        <v>0.99</v>
      </c>
      <c r="K890" s="28">
        <v>73</v>
      </c>
      <c r="L890" s="28">
        <v>1</v>
      </c>
    </row>
    <row r="891" spans="1:12" ht="14.25" customHeight="1" x14ac:dyDescent="0.2">
      <c r="A891" s="28">
        <v>890</v>
      </c>
      <c r="B891" s="28" t="s">
        <v>1416</v>
      </c>
      <c r="C891" s="28" t="s">
        <v>1402</v>
      </c>
      <c r="D891" s="28" t="s">
        <v>1403</v>
      </c>
      <c r="E891" s="28" t="s">
        <v>211</v>
      </c>
      <c r="F891" s="28" t="s">
        <v>490</v>
      </c>
      <c r="G891" s="28"/>
      <c r="H891" s="28">
        <v>9391041</v>
      </c>
      <c r="I891" s="28">
        <v>290664</v>
      </c>
      <c r="J891" s="28">
        <v>0.99</v>
      </c>
      <c r="K891" s="28">
        <v>91</v>
      </c>
      <c r="L891" s="28">
        <v>1</v>
      </c>
    </row>
    <row r="892" spans="1:12" ht="14.25" customHeight="1" x14ac:dyDescent="0.2">
      <c r="A892" s="28">
        <v>891</v>
      </c>
      <c r="B892" s="28" t="s">
        <v>1417</v>
      </c>
      <c r="C892" s="28" t="s">
        <v>1418</v>
      </c>
      <c r="D892" s="28" t="s">
        <v>1419</v>
      </c>
      <c r="E892" s="28" t="s">
        <v>211</v>
      </c>
      <c r="F892" s="28" t="s">
        <v>470</v>
      </c>
      <c r="G892" s="28" t="s">
        <v>1420</v>
      </c>
      <c r="H892" s="28">
        <v>14115792</v>
      </c>
      <c r="I892" s="28">
        <v>430733</v>
      </c>
      <c r="J892" s="28">
        <v>0.99</v>
      </c>
      <c r="K892" s="28">
        <v>17</v>
      </c>
      <c r="L892" s="28">
        <v>1</v>
      </c>
    </row>
    <row r="893" spans="1:12" ht="14.25" customHeight="1" x14ac:dyDescent="0.2">
      <c r="A893" s="28">
        <v>892</v>
      </c>
      <c r="B893" s="28" t="s">
        <v>1421</v>
      </c>
      <c r="C893" s="28" t="s">
        <v>1418</v>
      </c>
      <c r="D893" s="28" t="s">
        <v>1419</v>
      </c>
      <c r="E893" s="28" t="s">
        <v>211</v>
      </c>
      <c r="F893" s="28" t="s">
        <v>470</v>
      </c>
      <c r="G893" s="28" t="s">
        <v>1422</v>
      </c>
      <c r="H893" s="28">
        <v>5322942</v>
      </c>
      <c r="I893" s="28">
        <v>163552</v>
      </c>
      <c r="J893" s="28">
        <v>0.99</v>
      </c>
      <c r="K893" s="28">
        <v>79</v>
      </c>
      <c r="L893" s="28">
        <v>1</v>
      </c>
    </row>
    <row r="894" spans="1:12" ht="14.25" customHeight="1" x14ac:dyDescent="0.2">
      <c r="A894" s="28">
        <v>893</v>
      </c>
      <c r="B894" s="28" t="s">
        <v>1423</v>
      </c>
      <c r="C894" s="28" t="s">
        <v>1418</v>
      </c>
      <c r="D894" s="28" t="s">
        <v>1419</v>
      </c>
      <c r="E894" s="28" t="s">
        <v>211</v>
      </c>
      <c r="F894" s="28" t="s">
        <v>470</v>
      </c>
      <c r="G894" s="28" t="s">
        <v>1424</v>
      </c>
      <c r="H894" s="28">
        <v>5725684</v>
      </c>
      <c r="I894" s="28">
        <v>174576</v>
      </c>
      <c r="J894" s="28">
        <v>0.99</v>
      </c>
      <c r="K894" s="28">
        <v>78</v>
      </c>
      <c r="L894" s="28">
        <v>0</v>
      </c>
    </row>
    <row r="895" spans="1:12" ht="14.25" customHeight="1" x14ac:dyDescent="0.2">
      <c r="A895" s="28">
        <v>894</v>
      </c>
      <c r="B895" s="28" t="s">
        <v>1425</v>
      </c>
      <c r="C895" s="28" t="s">
        <v>1418</v>
      </c>
      <c r="D895" s="28" t="s">
        <v>1419</v>
      </c>
      <c r="E895" s="28" t="s">
        <v>211</v>
      </c>
      <c r="F895" s="28" t="s">
        <v>470</v>
      </c>
      <c r="G895" s="28" t="s">
        <v>1424</v>
      </c>
      <c r="H895" s="28">
        <v>8225889</v>
      </c>
      <c r="I895" s="28">
        <v>252891</v>
      </c>
      <c r="J895" s="28">
        <v>0.99</v>
      </c>
      <c r="K895" s="28">
        <v>27</v>
      </c>
      <c r="L895" s="28">
        <v>2</v>
      </c>
    </row>
    <row r="896" spans="1:12" ht="14.25" customHeight="1" x14ac:dyDescent="0.2">
      <c r="A896" s="28">
        <v>895</v>
      </c>
      <c r="B896" s="28" t="s">
        <v>1426</v>
      </c>
      <c r="C896" s="28" t="s">
        <v>1418</v>
      </c>
      <c r="D896" s="28" t="s">
        <v>1419</v>
      </c>
      <c r="E896" s="28" t="s">
        <v>211</v>
      </c>
      <c r="F896" s="28" t="s">
        <v>470</v>
      </c>
      <c r="G896" s="28" t="s">
        <v>1427</v>
      </c>
      <c r="H896" s="28">
        <v>8273540</v>
      </c>
      <c r="I896" s="28">
        <v>253335</v>
      </c>
      <c r="J896" s="28">
        <v>0.99</v>
      </c>
      <c r="K896" s="28">
        <v>82</v>
      </c>
      <c r="L896" s="28">
        <v>1</v>
      </c>
    </row>
    <row r="897" spans="1:12" ht="14.25" customHeight="1" x14ac:dyDescent="0.2">
      <c r="A897" s="28">
        <v>896</v>
      </c>
      <c r="B897" s="28" t="s">
        <v>1428</v>
      </c>
      <c r="C897" s="28" t="s">
        <v>1418</v>
      </c>
      <c r="D897" s="28" t="s">
        <v>1419</v>
      </c>
      <c r="E897" s="28" t="s">
        <v>211</v>
      </c>
      <c r="F897" s="28" t="s">
        <v>470</v>
      </c>
      <c r="G897" s="28" t="s">
        <v>1429</v>
      </c>
      <c r="H897" s="28">
        <v>5489787</v>
      </c>
      <c r="I897" s="28">
        <v>167810</v>
      </c>
      <c r="J897" s="28">
        <v>0.99</v>
      </c>
      <c r="K897" s="28">
        <v>61</v>
      </c>
      <c r="L897" s="28">
        <v>0</v>
      </c>
    </row>
    <row r="898" spans="1:12" ht="14.25" customHeight="1" x14ac:dyDescent="0.2">
      <c r="A898" s="28">
        <v>897</v>
      </c>
      <c r="B898" s="28" t="s">
        <v>1430</v>
      </c>
      <c r="C898" s="28" t="s">
        <v>1418</v>
      </c>
      <c r="D898" s="28" t="s">
        <v>1419</v>
      </c>
      <c r="E898" s="28" t="s">
        <v>211</v>
      </c>
      <c r="F898" s="28" t="s">
        <v>470</v>
      </c>
      <c r="G898" s="28" t="s">
        <v>1424</v>
      </c>
      <c r="H898" s="28">
        <v>9872606</v>
      </c>
      <c r="I898" s="28">
        <v>301583</v>
      </c>
      <c r="J898" s="28">
        <v>0.99</v>
      </c>
      <c r="K898" s="28">
        <v>12</v>
      </c>
      <c r="L898" s="28">
        <v>0</v>
      </c>
    </row>
    <row r="899" spans="1:12" ht="14.25" customHeight="1" x14ac:dyDescent="0.2">
      <c r="A899" s="28">
        <v>898</v>
      </c>
      <c r="B899" s="28" t="s">
        <v>1431</v>
      </c>
      <c r="C899" s="28" t="s">
        <v>1418</v>
      </c>
      <c r="D899" s="28" t="s">
        <v>1419</v>
      </c>
      <c r="E899" s="28" t="s">
        <v>211</v>
      </c>
      <c r="F899" s="28" t="s">
        <v>470</v>
      </c>
      <c r="G899" s="28" t="s">
        <v>1432</v>
      </c>
      <c r="H899" s="28">
        <v>9946681</v>
      </c>
      <c r="I899" s="28">
        <v>304744</v>
      </c>
      <c r="J899" s="28">
        <v>0.99</v>
      </c>
      <c r="K899" s="28">
        <v>45</v>
      </c>
      <c r="L899" s="28">
        <v>1</v>
      </c>
    </row>
    <row r="900" spans="1:12" ht="14.25" customHeight="1" x14ac:dyDescent="0.2">
      <c r="A900" s="28">
        <v>899</v>
      </c>
      <c r="B900" s="28" t="s">
        <v>1433</v>
      </c>
      <c r="C900" s="28" t="s">
        <v>1418</v>
      </c>
      <c r="D900" s="28" t="s">
        <v>1419</v>
      </c>
      <c r="E900" s="28" t="s">
        <v>211</v>
      </c>
      <c r="F900" s="28" t="s">
        <v>470</v>
      </c>
      <c r="G900" s="28" t="s">
        <v>1434</v>
      </c>
      <c r="H900" s="28">
        <v>7138399</v>
      </c>
      <c r="I900" s="28">
        <v>215928</v>
      </c>
      <c r="J900" s="28">
        <v>0.99</v>
      </c>
      <c r="K900" s="28">
        <v>65</v>
      </c>
      <c r="L900" s="28">
        <v>0</v>
      </c>
    </row>
    <row r="901" spans="1:12" ht="14.25" customHeight="1" x14ac:dyDescent="0.2">
      <c r="A901" s="28">
        <v>900</v>
      </c>
      <c r="B901" s="28" t="s">
        <v>1435</v>
      </c>
      <c r="C901" s="28" t="s">
        <v>1418</v>
      </c>
      <c r="D901" s="28" t="s">
        <v>1419</v>
      </c>
      <c r="E901" s="28" t="s">
        <v>211</v>
      </c>
      <c r="F901" s="28" t="s">
        <v>470</v>
      </c>
      <c r="G901" s="28" t="s">
        <v>1436</v>
      </c>
      <c r="H901" s="28">
        <v>8738973</v>
      </c>
      <c r="I901" s="28">
        <v>263862</v>
      </c>
      <c r="J901" s="28">
        <v>0.99</v>
      </c>
      <c r="K901" s="28">
        <v>88</v>
      </c>
      <c r="L901" s="28">
        <v>0</v>
      </c>
    </row>
    <row r="902" spans="1:12" ht="14.25" customHeight="1" x14ac:dyDescent="0.2">
      <c r="A902" s="28">
        <v>901</v>
      </c>
      <c r="B902" s="28" t="s">
        <v>1437</v>
      </c>
      <c r="C902" s="28" t="s">
        <v>1418</v>
      </c>
      <c r="D902" s="28" t="s">
        <v>1419</v>
      </c>
      <c r="E902" s="28" t="s">
        <v>211</v>
      </c>
      <c r="F902" s="28" t="s">
        <v>470</v>
      </c>
      <c r="G902" s="28" t="s">
        <v>1438</v>
      </c>
      <c r="H902" s="28">
        <v>6460941</v>
      </c>
      <c r="I902" s="28">
        <v>191320</v>
      </c>
      <c r="J902" s="28">
        <v>0.99</v>
      </c>
      <c r="K902" s="28">
        <v>63</v>
      </c>
      <c r="L902" s="28">
        <v>1</v>
      </c>
    </row>
    <row r="903" spans="1:12" ht="14.25" customHeight="1" x14ac:dyDescent="0.2">
      <c r="A903" s="28">
        <v>902</v>
      </c>
      <c r="B903" s="28" t="s">
        <v>1439</v>
      </c>
      <c r="C903" s="28" t="s">
        <v>1418</v>
      </c>
      <c r="D903" s="28" t="s">
        <v>1419</v>
      </c>
      <c r="E903" s="28" t="s">
        <v>211</v>
      </c>
      <c r="F903" s="28" t="s">
        <v>470</v>
      </c>
      <c r="G903" s="28" t="s">
        <v>1440</v>
      </c>
      <c r="H903" s="28">
        <v>6896288</v>
      </c>
      <c r="I903" s="28">
        <v>208143</v>
      </c>
      <c r="J903" s="28">
        <v>0.99</v>
      </c>
      <c r="K903" s="28">
        <v>33</v>
      </c>
      <c r="L903" s="28">
        <v>1</v>
      </c>
    </row>
    <row r="904" spans="1:12" ht="14.25" customHeight="1" x14ac:dyDescent="0.2">
      <c r="A904" s="28">
        <v>903</v>
      </c>
      <c r="B904" s="28" t="s">
        <v>1441</v>
      </c>
      <c r="C904" s="28" t="s">
        <v>1418</v>
      </c>
      <c r="D904" s="28" t="s">
        <v>1419</v>
      </c>
      <c r="E904" s="28" t="s">
        <v>211</v>
      </c>
      <c r="F904" s="28" t="s">
        <v>470</v>
      </c>
      <c r="G904" s="28" t="s">
        <v>1442</v>
      </c>
      <c r="H904" s="28">
        <v>7774207</v>
      </c>
      <c r="I904" s="28">
        <v>231732</v>
      </c>
      <c r="J904" s="28">
        <v>0.99</v>
      </c>
      <c r="K904" s="28">
        <v>37</v>
      </c>
      <c r="L904" s="28">
        <v>2</v>
      </c>
    </row>
    <row r="905" spans="1:12" ht="14.25" customHeight="1" x14ac:dyDescent="0.2">
      <c r="A905" s="28">
        <v>904</v>
      </c>
      <c r="B905" s="28" t="s">
        <v>1443</v>
      </c>
      <c r="C905" s="28" t="s">
        <v>1418</v>
      </c>
      <c r="D905" s="28" t="s">
        <v>1419</v>
      </c>
      <c r="E905" s="28" t="s">
        <v>211</v>
      </c>
      <c r="F905" s="28" t="s">
        <v>470</v>
      </c>
      <c r="G905" s="28" t="s">
        <v>1444</v>
      </c>
      <c r="H905" s="28">
        <v>8758819</v>
      </c>
      <c r="I905" s="28">
        <v>264411</v>
      </c>
      <c r="J905" s="28">
        <v>0.99</v>
      </c>
      <c r="K905" s="28">
        <v>43</v>
      </c>
      <c r="L905" s="28">
        <v>1</v>
      </c>
    </row>
    <row r="906" spans="1:12" ht="14.25" customHeight="1" x14ac:dyDescent="0.2">
      <c r="A906" s="28">
        <v>905</v>
      </c>
      <c r="B906" s="28" t="s">
        <v>1445</v>
      </c>
      <c r="C906" s="28" t="s">
        <v>1418</v>
      </c>
      <c r="D906" s="28" t="s">
        <v>1419</v>
      </c>
      <c r="E906" s="28" t="s">
        <v>211</v>
      </c>
      <c r="F906" s="28" t="s">
        <v>470</v>
      </c>
      <c r="G906" s="28" t="s">
        <v>1432</v>
      </c>
      <c r="H906" s="28">
        <v>7326923</v>
      </c>
      <c r="I906" s="28">
        <v>221387</v>
      </c>
      <c r="J906" s="28">
        <v>0.99</v>
      </c>
      <c r="K906" s="28">
        <v>82</v>
      </c>
      <c r="L906" s="28">
        <v>1</v>
      </c>
    </row>
    <row r="907" spans="1:12" ht="14.25" customHeight="1" x14ac:dyDescent="0.2">
      <c r="A907" s="28">
        <v>906</v>
      </c>
      <c r="B907" s="28" t="s">
        <v>1446</v>
      </c>
      <c r="C907" s="28" t="s">
        <v>1418</v>
      </c>
      <c r="D907" s="28" t="s">
        <v>1419</v>
      </c>
      <c r="E907" s="28" t="s">
        <v>211</v>
      </c>
      <c r="F907" s="28" t="s">
        <v>470</v>
      </c>
      <c r="G907" s="28" t="s">
        <v>1432</v>
      </c>
      <c r="H907" s="28">
        <v>9742568</v>
      </c>
      <c r="I907" s="28">
        <v>297064</v>
      </c>
      <c r="J907" s="28">
        <v>0.99</v>
      </c>
      <c r="K907" s="28">
        <v>43</v>
      </c>
      <c r="L907" s="28">
        <v>1</v>
      </c>
    </row>
    <row r="908" spans="1:12" ht="14.25" customHeight="1" x14ac:dyDescent="0.2">
      <c r="A908" s="28">
        <v>907</v>
      </c>
      <c r="B908" s="28" t="s">
        <v>1447</v>
      </c>
      <c r="C908" s="28" t="s">
        <v>1418</v>
      </c>
      <c r="D908" s="28" t="s">
        <v>1419</v>
      </c>
      <c r="E908" s="28" t="s">
        <v>211</v>
      </c>
      <c r="F908" s="28" t="s">
        <v>470</v>
      </c>
      <c r="G908" s="28" t="s">
        <v>1448</v>
      </c>
      <c r="H908" s="28">
        <v>6006154</v>
      </c>
      <c r="I908" s="28">
        <v>180401</v>
      </c>
      <c r="J908" s="28">
        <v>0.99</v>
      </c>
      <c r="K908" s="28">
        <v>5</v>
      </c>
      <c r="L908" s="28">
        <v>2</v>
      </c>
    </row>
    <row r="909" spans="1:12" ht="14.25" customHeight="1" x14ac:dyDescent="0.2">
      <c r="A909" s="28">
        <v>908</v>
      </c>
      <c r="B909" s="28" t="s">
        <v>1449</v>
      </c>
      <c r="C909" s="28" t="s">
        <v>1418</v>
      </c>
      <c r="D909" s="28" t="s">
        <v>1419</v>
      </c>
      <c r="E909" s="28" t="s">
        <v>211</v>
      </c>
      <c r="F909" s="28" t="s">
        <v>470</v>
      </c>
      <c r="G909" s="28" t="s">
        <v>1432</v>
      </c>
      <c r="H909" s="28">
        <v>8271980</v>
      </c>
      <c r="I909" s="28">
        <v>249730</v>
      </c>
      <c r="J909" s="28">
        <v>0.99</v>
      </c>
      <c r="K909" s="28">
        <v>85</v>
      </c>
      <c r="L909" s="28">
        <v>0</v>
      </c>
    </row>
    <row r="910" spans="1:12" ht="14.25" customHeight="1" x14ac:dyDescent="0.2">
      <c r="A910" s="28">
        <v>909</v>
      </c>
      <c r="B910" s="28" t="s">
        <v>1450</v>
      </c>
      <c r="C910" s="28" t="s">
        <v>1451</v>
      </c>
      <c r="D910" s="28" t="s">
        <v>1419</v>
      </c>
      <c r="E910" s="28" t="s">
        <v>211</v>
      </c>
      <c r="F910" s="28" t="s">
        <v>470</v>
      </c>
      <c r="G910" s="28" t="s">
        <v>1419</v>
      </c>
      <c r="H910" s="28">
        <v>6475042</v>
      </c>
      <c r="I910" s="28">
        <v>193515</v>
      </c>
      <c r="J910" s="28">
        <v>0.99</v>
      </c>
      <c r="K910" s="28">
        <v>86</v>
      </c>
      <c r="L910" s="28">
        <v>1</v>
      </c>
    </row>
    <row r="911" spans="1:12" ht="14.25" customHeight="1" x14ac:dyDescent="0.2">
      <c r="A911" s="28">
        <v>910</v>
      </c>
      <c r="B911" s="28" t="s">
        <v>1187</v>
      </c>
      <c r="C911" s="28" t="s">
        <v>1451</v>
      </c>
      <c r="D911" s="28" t="s">
        <v>1419</v>
      </c>
      <c r="E911" s="28" t="s">
        <v>211</v>
      </c>
      <c r="F911" s="28" t="s">
        <v>470</v>
      </c>
      <c r="G911" s="28" t="s">
        <v>1452</v>
      </c>
      <c r="H911" s="28">
        <v>7456807</v>
      </c>
      <c r="I911" s="28">
        <v>224339</v>
      </c>
      <c r="J911" s="28">
        <v>0.99</v>
      </c>
      <c r="K911" s="28">
        <v>26</v>
      </c>
      <c r="L911" s="28">
        <v>1</v>
      </c>
    </row>
    <row r="912" spans="1:12" ht="14.25" customHeight="1" x14ac:dyDescent="0.2">
      <c r="A912" s="28">
        <v>911</v>
      </c>
      <c r="B912" s="28" t="s">
        <v>1453</v>
      </c>
      <c r="C912" s="28" t="s">
        <v>1451</v>
      </c>
      <c r="D912" s="28" t="s">
        <v>1419</v>
      </c>
      <c r="E912" s="28" t="s">
        <v>211</v>
      </c>
      <c r="F912" s="28" t="s">
        <v>470</v>
      </c>
      <c r="G912" s="28" t="s">
        <v>1454</v>
      </c>
      <c r="H912" s="28">
        <v>6543487</v>
      </c>
      <c r="I912" s="28">
        <v>196466</v>
      </c>
      <c r="J912" s="28">
        <v>0.99</v>
      </c>
      <c r="K912" s="28">
        <v>0</v>
      </c>
      <c r="L912" s="28">
        <v>1</v>
      </c>
    </row>
    <row r="913" spans="1:12" ht="14.25" customHeight="1" x14ac:dyDescent="0.2">
      <c r="A913" s="28">
        <v>912</v>
      </c>
      <c r="B913" s="28" t="s">
        <v>1455</v>
      </c>
      <c r="C913" s="28" t="s">
        <v>1451</v>
      </c>
      <c r="D913" s="28" t="s">
        <v>1419</v>
      </c>
      <c r="E913" s="28" t="s">
        <v>211</v>
      </c>
      <c r="F913" s="28" t="s">
        <v>470</v>
      </c>
      <c r="G913" s="28" t="s">
        <v>1456</v>
      </c>
      <c r="H913" s="28">
        <v>9032835</v>
      </c>
      <c r="I913" s="28">
        <v>274729</v>
      </c>
      <c r="J913" s="28">
        <v>0.99</v>
      </c>
      <c r="K913" s="28">
        <v>25</v>
      </c>
      <c r="L913" s="28">
        <v>1</v>
      </c>
    </row>
    <row r="914" spans="1:12" ht="14.25" customHeight="1" x14ac:dyDescent="0.2">
      <c r="A914" s="28">
        <v>913</v>
      </c>
      <c r="B914" s="28" t="s">
        <v>1457</v>
      </c>
      <c r="C914" s="28" t="s">
        <v>1451</v>
      </c>
      <c r="D914" s="28" t="s">
        <v>1419</v>
      </c>
      <c r="E914" s="28" t="s">
        <v>211</v>
      </c>
      <c r="F914" s="28" t="s">
        <v>470</v>
      </c>
      <c r="G914" s="28" t="s">
        <v>1419</v>
      </c>
      <c r="H914" s="28">
        <v>10894406</v>
      </c>
      <c r="I914" s="28">
        <v>328724</v>
      </c>
      <c r="J914" s="28">
        <v>0.99</v>
      </c>
      <c r="K914" s="28">
        <v>96</v>
      </c>
      <c r="L914" s="28">
        <v>2</v>
      </c>
    </row>
    <row r="915" spans="1:12" ht="14.25" customHeight="1" x14ac:dyDescent="0.2">
      <c r="A915" s="28">
        <v>914</v>
      </c>
      <c r="B915" s="28" t="s">
        <v>1458</v>
      </c>
      <c r="C915" s="28" t="s">
        <v>1451</v>
      </c>
      <c r="D915" s="28" t="s">
        <v>1419</v>
      </c>
      <c r="E915" s="28" t="s">
        <v>211</v>
      </c>
      <c r="F915" s="28" t="s">
        <v>470</v>
      </c>
      <c r="G915" s="28" t="s">
        <v>1459</v>
      </c>
      <c r="H915" s="28">
        <v>7669922</v>
      </c>
      <c r="I915" s="28">
        <v>231836</v>
      </c>
      <c r="J915" s="28">
        <v>0.99</v>
      </c>
      <c r="K915" s="28">
        <v>23</v>
      </c>
      <c r="L915" s="28">
        <v>1</v>
      </c>
    </row>
    <row r="916" spans="1:12" ht="14.25" customHeight="1" x14ac:dyDescent="0.2">
      <c r="A916" s="28">
        <v>915</v>
      </c>
      <c r="B916" s="28" t="s">
        <v>1417</v>
      </c>
      <c r="C916" s="28" t="s">
        <v>1451</v>
      </c>
      <c r="D916" s="28" t="s">
        <v>1419</v>
      </c>
      <c r="E916" s="28" t="s">
        <v>211</v>
      </c>
      <c r="F916" s="28" t="s">
        <v>470</v>
      </c>
      <c r="G916" s="28" t="s">
        <v>1460</v>
      </c>
      <c r="H916" s="28">
        <v>9490542</v>
      </c>
      <c r="I916" s="28">
        <v>285387</v>
      </c>
      <c r="J916" s="28">
        <v>0.99</v>
      </c>
      <c r="K916" s="28">
        <v>83</v>
      </c>
      <c r="L916" s="28">
        <v>1</v>
      </c>
    </row>
    <row r="917" spans="1:12" ht="14.25" customHeight="1" x14ac:dyDescent="0.2">
      <c r="A917" s="28">
        <v>916</v>
      </c>
      <c r="B917" s="28" t="s">
        <v>1461</v>
      </c>
      <c r="C917" s="28" t="s">
        <v>1451</v>
      </c>
      <c r="D917" s="28" t="s">
        <v>1419</v>
      </c>
      <c r="E917" s="28" t="s">
        <v>211</v>
      </c>
      <c r="F917" s="28" t="s">
        <v>470</v>
      </c>
      <c r="G917" s="28" t="s">
        <v>1462</v>
      </c>
      <c r="H917" s="28">
        <v>12536275</v>
      </c>
      <c r="I917" s="28">
        <v>378984</v>
      </c>
      <c r="J917" s="28">
        <v>0.99</v>
      </c>
      <c r="K917" s="28">
        <v>41</v>
      </c>
      <c r="L917" s="28">
        <v>0</v>
      </c>
    </row>
    <row r="918" spans="1:12" ht="14.25" customHeight="1" x14ac:dyDescent="0.2">
      <c r="A918" s="28">
        <v>917</v>
      </c>
      <c r="B918" s="28" t="s">
        <v>1463</v>
      </c>
      <c r="C918" s="28" t="s">
        <v>1451</v>
      </c>
      <c r="D918" s="28" t="s">
        <v>1419</v>
      </c>
      <c r="E918" s="28" t="s">
        <v>211</v>
      </c>
      <c r="F918" s="28" t="s">
        <v>470</v>
      </c>
      <c r="G918" s="28" t="s">
        <v>1464</v>
      </c>
      <c r="H918" s="28">
        <v>7435192</v>
      </c>
      <c r="I918" s="28">
        <v>226429</v>
      </c>
      <c r="J918" s="28">
        <v>0.99</v>
      </c>
      <c r="K918" s="28">
        <v>48</v>
      </c>
      <c r="L918" s="28">
        <v>1</v>
      </c>
    </row>
    <row r="919" spans="1:12" ht="14.25" customHeight="1" x14ac:dyDescent="0.2">
      <c r="A919" s="28">
        <v>918</v>
      </c>
      <c r="B919" s="28" t="s">
        <v>1465</v>
      </c>
      <c r="C919" s="28" t="s">
        <v>1451</v>
      </c>
      <c r="D919" s="28" t="s">
        <v>1419</v>
      </c>
      <c r="E919" s="28" t="s">
        <v>211</v>
      </c>
      <c r="F919" s="28" t="s">
        <v>470</v>
      </c>
      <c r="G919" s="28" t="s">
        <v>790</v>
      </c>
      <c r="H919" s="28">
        <v>7412975</v>
      </c>
      <c r="I919" s="28">
        <v>222406</v>
      </c>
      <c r="J919" s="28">
        <v>0.99</v>
      </c>
      <c r="K919" s="28">
        <v>35</v>
      </c>
      <c r="L919" s="28">
        <v>1</v>
      </c>
    </row>
    <row r="920" spans="1:12" ht="14.25" customHeight="1" x14ac:dyDescent="0.2">
      <c r="A920" s="28">
        <v>919</v>
      </c>
      <c r="B920" s="28" t="s">
        <v>1466</v>
      </c>
      <c r="C920" s="28" t="s">
        <v>1451</v>
      </c>
      <c r="D920" s="28" t="s">
        <v>1419</v>
      </c>
      <c r="E920" s="28" t="s">
        <v>211</v>
      </c>
      <c r="F920" s="28" t="s">
        <v>470</v>
      </c>
      <c r="G920" s="28" t="s">
        <v>1467</v>
      </c>
      <c r="H920" s="28">
        <v>6724021</v>
      </c>
      <c r="I920" s="28">
        <v>203363</v>
      </c>
      <c r="J920" s="28">
        <v>0.99</v>
      </c>
      <c r="K920" s="28">
        <v>37</v>
      </c>
      <c r="L920" s="28">
        <v>1</v>
      </c>
    </row>
    <row r="921" spans="1:12" ht="14.25" customHeight="1" x14ac:dyDescent="0.2">
      <c r="A921" s="28">
        <v>920</v>
      </c>
      <c r="B921" s="28" t="s">
        <v>1468</v>
      </c>
      <c r="C921" s="28" t="s">
        <v>1451</v>
      </c>
      <c r="D921" s="28" t="s">
        <v>1419</v>
      </c>
      <c r="E921" s="28" t="s">
        <v>211</v>
      </c>
      <c r="F921" s="28" t="s">
        <v>470</v>
      </c>
      <c r="G921" s="28" t="s">
        <v>1464</v>
      </c>
      <c r="H921" s="28">
        <v>7096781</v>
      </c>
      <c r="I921" s="28">
        <v>216528</v>
      </c>
      <c r="J921" s="28">
        <v>0.99</v>
      </c>
      <c r="K921" s="28">
        <v>42</v>
      </c>
      <c r="L921" s="28">
        <v>0</v>
      </c>
    </row>
    <row r="922" spans="1:12" ht="14.25" customHeight="1" x14ac:dyDescent="0.2">
      <c r="A922" s="28">
        <v>921</v>
      </c>
      <c r="B922" s="28" t="s">
        <v>1469</v>
      </c>
      <c r="C922" s="28" t="s">
        <v>1451</v>
      </c>
      <c r="D922" s="28" t="s">
        <v>1419</v>
      </c>
      <c r="E922" s="28" t="s">
        <v>211</v>
      </c>
      <c r="F922" s="28" t="s">
        <v>470</v>
      </c>
      <c r="G922" s="28" t="s">
        <v>1470</v>
      </c>
      <c r="H922" s="28">
        <v>15780747</v>
      </c>
      <c r="I922" s="28">
        <v>472920</v>
      </c>
      <c r="J922" s="28">
        <v>0.99</v>
      </c>
      <c r="K922" s="28">
        <v>48</v>
      </c>
      <c r="L922" s="28">
        <v>1</v>
      </c>
    </row>
    <row r="923" spans="1:12" ht="14.25" customHeight="1" x14ac:dyDescent="0.2">
      <c r="A923" s="28">
        <v>922</v>
      </c>
      <c r="B923" s="28" t="s">
        <v>1471</v>
      </c>
      <c r="C923" s="28" t="s">
        <v>1451</v>
      </c>
      <c r="D923" s="28" t="s">
        <v>1419</v>
      </c>
      <c r="E923" s="28" t="s">
        <v>211</v>
      </c>
      <c r="F923" s="28" t="s">
        <v>470</v>
      </c>
      <c r="G923" s="28" t="s">
        <v>1472</v>
      </c>
      <c r="H923" s="28">
        <v>8407355</v>
      </c>
      <c r="I923" s="28">
        <v>251768</v>
      </c>
      <c r="J923" s="28">
        <v>0.99</v>
      </c>
      <c r="K923" s="28">
        <v>67</v>
      </c>
      <c r="L923" s="28">
        <v>0</v>
      </c>
    </row>
    <row r="924" spans="1:12" ht="14.25" customHeight="1" x14ac:dyDescent="0.2">
      <c r="A924" s="28">
        <v>923</v>
      </c>
      <c r="B924" s="28" t="s">
        <v>1473</v>
      </c>
      <c r="C924" s="28" t="s">
        <v>1474</v>
      </c>
      <c r="D924" s="28" t="s">
        <v>1475</v>
      </c>
      <c r="E924" s="28" t="s">
        <v>211</v>
      </c>
      <c r="F924" s="28" t="s">
        <v>348</v>
      </c>
      <c r="G924" s="28" t="s">
        <v>1476</v>
      </c>
      <c r="H924" s="28">
        <v>6656596</v>
      </c>
      <c r="I924" s="28">
        <v>204303</v>
      </c>
      <c r="J924" s="28">
        <v>0.99</v>
      </c>
      <c r="K924" s="28">
        <v>97</v>
      </c>
      <c r="L924" s="28">
        <v>0</v>
      </c>
    </row>
    <row r="925" spans="1:12" ht="14.25" customHeight="1" x14ac:dyDescent="0.2">
      <c r="A925" s="28">
        <v>924</v>
      </c>
      <c r="B925" s="28" t="s">
        <v>1477</v>
      </c>
      <c r="C925" s="28" t="s">
        <v>1474</v>
      </c>
      <c r="D925" s="28" t="s">
        <v>1475</v>
      </c>
      <c r="E925" s="28" t="s">
        <v>211</v>
      </c>
      <c r="F925" s="28" t="s">
        <v>348</v>
      </c>
      <c r="G925" s="28" t="s">
        <v>1478</v>
      </c>
      <c r="H925" s="28">
        <v>8861119</v>
      </c>
      <c r="I925" s="28">
        <v>270106</v>
      </c>
      <c r="J925" s="28">
        <v>0.99</v>
      </c>
      <c r="K925" s="28">
        <v>87</v>
      </c>
      <c r="L925" s="28">
        <v>1</v>
      </c>
    </row>
    <row r="926" spans="1:12" ht="14.25" customHeight="1" x14ac:dyDescent="0.2">
      <c r="A926" s="28">
        <v>925</v>
      </c>
      <c r="B926" s="28" t="s">
        <v>1479</v>
      </c>
      <c r="C926" s="28" t="s">
        <v>1474</v>
      </c>
      <c r="D926" s="28" t="s">
        <v>1475</v>
      </c>
      <c r="E926" s="28" t="s">
        <v>211</v>
      </c>
      <c r="F926" s="28" t="s">
        <v>348</v>
      </c>
      <c r="G926" s="28" t="s">
        <v>1480</v>
      </c>
      <c r="H926" s="28">
        <v>8221247</v>
      </c>
      <c r="I926" s="28">
        <v>251663</v>
      </c>
      <c r="J926" s="28">
        <v>0.99</v>
      </c>
      <c r="K926" s="28">
        <v>93</v>
      </c>
      <c r="L926" s="28">
        <v>2</v>
      </c>
    </row>
    <row r="927" spans="1:12" ht="14.25" customHeight="1" x14ac:dyDescent="0.2">
      <c r="A927" s="28">
        <v>926</v>
      </c>
      <c r="B927" s="28" t="s">
        <v>1481</v>
      </c>
      <c r="C927" s="28" t="s">
        <v>1474</v>
      </c>
      <c r="D927" s="28" t="s">
        <v>1475</v>
      </c>
      <c r="E927" s="28" t="s">
        <v>211</v>
      </c>
      <c r="F927" s="28" t="s">
        <v>348</v>
      </c>
      <c r="G927" s="28" t="s">
        <v>1482</v>
      </c>
      <c r="H927" s="28">
        <v>4225077</v>
      </c>
      <c r="I927" s="28">
        <v>128757</v>
      </c>
      <c r="J927" s="28">
        <v>0.99</v>
      </c>
      <c r="K927" s="28">
        <v>80</v>
      </c>
      <c r="L927" s="28">
        <v>1</v>
      </c>
    </row>
    <row r="928" spans="1:12" ht="14.25" customHeight="1" x14ac:dyDescent="0.2">
      <c r="A928" s="28">
        <v>927</v>
      </c>
      <c r="B928" s="28" t="s">
        <v>1483</v>
      </c>
      <c r="C928" s="28" t="s">
        <v>1474</v>
      </c>
      <c r="D928" s="28" t="s">
        <v>1475</v>
      </c>
      <c r="E928" s="28" t="s">
        <v>211</v>
      </c>
      <c r="F928" s="28" t="s">
        <v>348</v>
      </c>
      <c r="G928" s="28" t="s">
        <v>1484</v>
      </c>
      <c r="H928" s="28">
        <v>10753135</v>
      </c>
      <c r="I928" s="28">
        <v>326217</v>
      </c>
      <c r="J928" s="28">
        <v>0.99</v>
      </c>
      <c r="K928" s="28">
        <v>66</v>
      </c>
      <c r="L928" s="28">
        <v>1</v>
      </c>
    </row>
    <row r="929" spans="1:12" ht="14.25" customHeight="1" x14ac:dyDescent="0.2">
      <c r="A929" s="28">
        <v>928</v>
      </c>
      <c r="B929" s="28" t="s">
        <v>1485</v>
      </c>
      <c r="C929" s="28" t="s">
        <v>1474</v>
      </c>
      <c r="D929" s="28" t="s">
        <v>1475</v>
      </c>
      <c r="E929" s="28" t="s">
        <v>211</v>
      </c>
      <c r="F929" s="28" t="s">
        <v>348</v>
      </c>
      <c r="G929" s="28" t="s">
        <v>1486</v>
      </c>
      <c r="H929" s="28">
        <v>7505887</v>
      </c>
      <c r="I929" s="28">
        <v>228493</v>
      </c>
      <c r="J929" s="28">
        <v>0.99</v>
      </c>
      <c r="K929" s="28">
        <v>30</v>
      </c>
      <c r="L929" s="28">
        <v>1</v>
      </c>
    </row>
    <row r="930" spans="1:12" ht="14.25" customHeight="1" x14ac:dyDescent="0.2">
      <c r="A930" s="28">
        <v>929</v>
      </c>
      <c r="B930" s="28" t="s">
        <v>1487</v>
      </c>
      <c r="C930" s="28" t="s">
        <v>1474</v>
      </c>
      <c r="D930" s="28" t="s">
        <v>1475</v>
      </c>
      <c r="E930" s="28" t="s">
        <v>211</v>
      </c>
      <c r="F930" s="28" t="s">
        <v>348</v>
      </c>
      <c r="G930" s="28" t="s">
        <v>1488</v>
      </c>
      <c r="H930" s="28">
        <v>7093746</v>
      </c>
      <c r="I930" s="28">
        <v>217391</v>
      </c>
      <c r="J930" s="28">
        <v>0.99</v>
      </c>
      <c r="K930" s="28">
        <v>16</v>
      </c>
      <c r="L930" s="28">
        <v>1</v>
      </c>
    </row>
    <row r="931" spans="1:12" ht="14.25" customHeight="1" x14ac:dyDescent="0.2">
      <c r="A931" s="28">
        <v>930</v>
      </c>
      <c r="B931" s="28" t="s">
        <v>1489</v>
      </c>
      <c r="C931" s="28" t="s">
        <v>1474</v>
      </c>
      <c r="D931" s="28" t="s">
        <v>1475</v>
      </c>
      <c r="E931" s="28" t="s">
        <v>211</v>
      </c>
      <c r="F931" s="28" t="s">
        <v>348</v>
      </c>
      <c r="G931" s="28" t="s">
        <v>1484</v>
      </c>
      <c r="H931" s="28">
        <v>6887544</v>
      </c>
      <c r="I931" s="28">
        <v>209867</v>
      </c>
      <c r="J931" s="28">
        <v>0.99</v>
      </c>
      <c r="K931" s="28">
        <v>79</v>
      </c>
      <c r="L931" s="28">
        <v>2</v>
      </c>
    </row>
    <row r="932" spans="1:12" ht="14.25" customHeight="1" x14ac:dyDescent="0.2">
      <c r="A932" s="28">
        <v>931</v>
      </c>
      <c r="B932" s="28" t="s">
        <v>1490</v>
      </c>
      <c r="C932" s="28" t="s">
        <v>1474</v>
      </c>
      <c r="D932" s="28" t="s">
        <v>1475</v>
      </c>
      <c r="E932" s="28" t="s">
        <v>211</v>
      </c>
      <c r="F932" s="28" t="s">
        <v>348</v>
      </c>
      <c r="G932" s="28" t="s">
        <v>1482</v>
      </c>
      <c r="H932" s="28">
        <v>4643227</v>
      </c>
      <c r="I932" s="28">
        <v>140852</v>
      </c>
      <c r="J932" s="28">
        <v>0.99</v>
      </c>
      <c r="K932" s="28">
        <v>32</v>
      </c>
      <c r="L932" s="28">
        <v>1</v>
      </c>
    </row>
    <row r="933" spans="1:12" ht="14.25" customHeight="1" x14ac:dyDescent="0.2">
      <c r="A933" s="28">
        <v>932</v>
      </c>
      <c r="B933" s="28" t="s">
        <v>1491</v>
      </c>
      <c r="C933" s="28" t="s">
        <v>1474</v>
      </c>
      <c r="D933" s="28" t="s">
        <v>1475</v>
      </c>
      <c r="E933" s="28" t="s">
        <v>211</v>
      </c>
      <c r="F933" s="28" t="s">
        <v>348</v>
      </c>
      <c r="G933" s="28" t="s">
        <v>1488</v>
      </c>
      <c r="H933" s="28">
        <v>8436300</v>
      </c>
      <c r="I933" s="28">
        <v>257253</v>
      </c>
      <c r="J933" s="28">
        <v>0.99</v>
      </c>
      <c r="K933" s="28">
        <v>14</v>
      </c>
      <c r="L933" s="28">
        <v>1</v>
      </c>
    </row>
    <row r="934" spans="1:12" ht="14.25" customHeight="1" x14ac:dyDescent="0.2">
      <c r="A934" s="28">
        <v>933</v>
      </c>
      <c r="B934" s="28" t="s">
        <v>1492</v>
      </c>
      <c r="C934" s="28" t="s">
        <v>1474</v>
      </c>
      <c r="D934" s="28" t="s">
        <v>1475</v>
      </c>
      <c r="E934" s="28" t="s">
        <v>211</v>
      </c>
      <c r="F934" s="28" t="s">
        <v>348</v>
      </c>
      <c r="G934" s="28" t="s">
        <v>1482</v>
      </c>
      <c r="H934" s="28">
        <v>3898976</v>
      </c>
      <c r="I934" s="28">
        <v>119040</v>
      </c>
      <c r="J934" s="28">
        <v>0.99</v>
      </c>
      <c r="K934" s="28">
        <v>76</v>
      </c>
      <c r="L934" s="28">
        <v>1</v>
      </c>
    </row>
    <row r="935" spans="1:12" ht="14.25" customHeight="1" x14ac:dyDescent="0.2">
      <c r="A935" s="28">
        <v>934</v>
      </c>
      <c r="B935" s="28" t="s">
        <v>1493</v>
      </c>
      <c r="C935" s="28" t="s">
        <v>1474</v>
      </c>
      <c r="D935" s="28" t="s">
        <v>1475</v>
      </c>
      <c r="E935" s="28" t="s">
        <v>211</v>
      </c>
      <c r="F935" s="28" t="s">
        <v>348</v>
      </c>
      <c r="G935" s="28" t="s">
        <v>1480</v>
      </c>
      <c r="H935" s="28">
        <v>7497361</v>
      </c>
      <c r="I935" s="28">
        <v>232698</v>
      </c>
      <c r="J935" s="28">
        <v>0.99</v>
      </c>
      <c r="K935" s="28">
        <v>58</v>
      </c>
      <c r="L935" s="28">
        <v>1</v>
      </c>
    </row>
    <row r="936" spans="1:12" ht="14.25" customHeight="1" x14ac:dyDescent="0.2">
      <c r="A936" s="28">
        <v>935</v>
      </c>
      <c r="B936" s="28" t="s">
        <v>1494</v>
      </c>
      <c r="C936" s="28" t="s">
        <v>1495</v>
      </c>
      <c r="D936" s="28" t="s">
        <v>1475</v>
      </c>
      <c r="E936" s="28" t="s">
        <v>211</v>
      </c>
      <c r="F936" s="28" t="s">
        <v>348</v>
      </c>
      <c r="G936" s="28"/>
      <c r="H936" s="28">
        <v>7353567</v>
      </c>
      <c r="I936" s="28">
        <v>223921</v>
      </c>
      <c r="J936" s="28">
        <v>0.99</v>
      </c>
      <c r="K936" s="28">
        <v>50</v>
      </c>
      <c r="L936" s="28">
        <v>0</v>
      </c>
    </row>
    <row r="937" spans="1:12" ht="14.25" customHeight="1" x14ac:dyDescent="0.2">
      <c r="A937" s="28">
        <v>936</v>
      </c>
      <c r="B937" s="28" t="s">
        <v>1496</v>
      </c>
      <c r="C937" s="28" t="s">
        <v>1495</v>
      </c>
      <c r="D937" s="28" t="s">
        <v>1475</v>
      </c>
      <c r="E937" s="28" t="s">
        <v>211</v>
      </c>
      <c r="F937" s="28" t="s">
        <v>348</v>
      </c>
      <c r="G937" s="28"/>
      <c r="H937" s="28">
        <v>8747367</v>
      </c>
      <c r="I937" s="28">
        <v>267937</v>
      </c>
      <c r="J937" s="28">
        <v>0.99</v>
      </c>
      <c r="K937" s="28">
        <v>4</v>
      </c>
      <c r="L937" s="28">
        <v>2</v>
      </c>
    </row>
    <row r="938" spans="1:12" ht="14.25" customHeight="1" x14ac:dyDescent="0.2">
      <c r="A938" s="28">
        <v>937</v>
      </c>
      <c r="B938" s="28" t="s">
        <v>1497</v>
      </c>
      <c r="C938" s="28" t="s">
        <v>1495</v>
      </c>
      <c r="D938" s="28" t="s">
        <v>1475</v>
      </c>
      <c r="E938" s="28" t="s">
        <v>211</v>
      </c>
      <c r="F938" s="28" t="s">
        <v>348</v>
      </c>
      <c r="G938" s="28"/>
      <c r="H938" s="28">
        <v>8628841</v>
      </c>
      <c r="I938" s="28">
        <v>263235</v>
      </c>
      <c r="J938" s="28">
        <v>0.99</v>
      </c>
      <c r="K938" s="28">
        <v>10</v>
      </c>
      <c r="L938" s="28">
        <v>2</v>
      </c>
    </row>
    <row r="939" spans="1:12" ht="14.25" customHeight="1" x14ac:dyDescent="0.2">
      <c r="A939" s="28">
        <v>938</v>
      </c>
      <c r="B939" s="28" t="s">
        <v>1498</v>
      </c>
      <c r="C939" s="28" t="s">
        <v>1495</v>
      </c>
      <c r="D939" s="28" t="s">
        <v>1475</v>
      </c>
      <c r="E939" s="28" t="s">
        <v>211</v>
      </c>
      <c r="F939" s="28" t="s">
        <v>348</v>
      </c>
      <c r="G939" s="28"/>
      <c r="H939" s="28">
        <v>7288162</v>
      </c>
      <c r="I939" s="28">
        <v>223242</v>
      </c>
      <c r="J939" s="28">
        <v>0.99</v>
      </c>
      <c r="K939" s="28">
        <v>92</v>
      </c>
      <c r="L939" s="28">
        <v>1</v>
      </c>
    </row>
    <row r="940" spans="1:12" ht="14.25" customHeight="1" x14ac:dyDescent="0.2">
      <c r="A940" s="28">
        <v>939</v>
      </c>
      <c r="B940" s="28" t="s">
        <v>1499</v>
      </c>
      <c r="C940" s="28" t="s">
        <v>1495</v>
      </c>
      <c r="D940" s="28" t="s">
        <v>1475</v>
      </c>
      <c r="E940" s="28" t="s">
        <v>211</v>
      </c>
      <c r="F940" s="28" t="s">
        <v>348</v>
      </c>
      <c r="G940" s="28"/>
      <c r="H940" s="28">
        <v>10180103</v>
      </c>
      <c r="I940" s="28">
        <v>310831</v>
      </c>
      <c r="J940" s="28">
        <v>0.99</v>
      </c>
      <c r="K940" s="28">
        <v>99</v>
      </c>
      <c r="L940" s="28">
        <v>0</v>
      </c>
    </row>
    <row r="941" spans="1:12" ht="14.25" customHeight="1" x14ac:dyDescent="0.2">
      <c r="A941" s="28">
        <v>940</v>
      </c>
      <c r="B941" s="28" t="s">
        <v>1500</v>
      </c>
      <c r="C941" s="28" t="s">
        <v>1495</v>
      </c>
      <c r="D941" s="28" t="s">
        <v>1475</v>
      </c>
      <c r="E941" s="28" t="s">
        <v>211</v>
      </c>
      <c r="F941" s="28" t="s">
        <v>348</v>
      </c>
      <c r="G941" s="28"/>
      <c r="H941" s="28">
        <v>9010917</v>
      </c>
      <c r="I941" s="28">
        <v>273658</v>
      </c>
      <c r="J941" s="28">
        <v>0.99</v>
      </c>
      <c r="K941" s="28">
        <v>62</v>
      </c>
      <c r="L941" s="28">
        <v>1</v>
      </c>
    </row>
    <row r="942" spans="1:12" ht="14.25" customHeight="1" x14ac:dyDescent="0.2">
      <c r="A942" s="28">
        <v>941</v>
      </c>
      <c r="B942" s="28" t="s">
        <v>1501</v>
      </c>
      <c r="C942" s="28" t="s">
        <v>1495</v>
      </c>
      <c r="D942" s="28" t="s">
        <v>1475</v>
      </c>
      <c r="E942" s="28" t="s">
        <v>211</v>
      </c>
      <c r="F942" s="28" t="s">
        <v>348</v>
      </c>
      <c r="G942" s="28"/>
      <c r="H942" s="28">
        <v>7900683</v>
      </c>
      <c r="I942" s="28">
        <v>241371</v>
      </c>
      <c r="J942" s="28">
        <v>0.99</v>
      </c>
      <c r="K942" s="28">
        <v>35</v>
      </c>
      <c r="L942" s="28">
        <v>1</v>
      </c>
    </row>
    <row r="943" spans="1:12" ht="14.25" customHeight="1" x14ac:dyDescent="0.2">
      <c r="A943" s="28">
        <v>942</v>
      </c>
      <c r="B943" s="28" t="s">
        <v>1502</v>
      </c>
      <c r="C943" s="28" t="s">
        <v>1495</v>
      </c>
      <c r="D943" s="28" t="s">
        <v>1475</v>
      </c>
      <c r="E943" s="28" t="s">
        <v>211</v>
      </c>
      <c r="F943" s="28" t="s">
        <v>348</v>
      </c>
      <c r="G943" s="28"/>
      <c r="H943" s="28">
        <v>8853647</v>
      </c>
      <c r="I943" s="28">
        <v>270680</v>
      </c>
      <c r="J943" s="28">
        <v>0.99</v>
      </c>
      <c r="K943" s="28">
        <v>92</v>
      </c>
      <c r="L943" s="28">
        <v>1</v>
      </c>
    </row>
    <row r="944" spans="1:12" ht="14.25" customHeight="1" x14ac:dyDescent="0.2">
      <c r="A944" s="28">
        <v>943</v>
      </c>
      <c r="B944" s="28" t="s">
        <v>1503</v>
      </c>
      <c r="C944" s="28" t="s">
        <v>1495</v>
      </c>
      <c r="D944" s="28" t="s">
        <v>1475</v>
      </c>
      <c r="E944" s="28" t="s">
        <v>211</v>
      </c>
      <c r="F944" s="28" t="s">
        <v>348</v>
      </c>
      <c r="G944" s="28"/>
      <c r="H944" s="28">
        <v>7298027</v>
      </c>
      <c r="I944" s="28">
        <v>222432</v>
      </c>
      <c r="J944" s="28">
        <v>0.99</v>
      </c>
      <c r="K944" s="28">
        <v>31</v>
      </c>
      <c r="L944" s="28">
        <v>1</v>
      </c>
    </row>
    <row r="945" spans="1:12" ht="14.25" customHeight="1" x14ac:dyDescent="0.2">
      <c r="A945" s="28">
        <v>944</v>
      </c>
      <c r="B945" s="28" t="s">
        <v>1504</v>
      </c>
      <c r="C945" s="28" t="s">
        <v>1495</v>
      </c>
      <c r="D945" s="28" t="s">
        <v>1475</v>
      </c>
      <c r="E945" s="28" t="s">
        <v>211</v>
      </c>
      <c r="F945" s="28" t="s">
        <v>348</v>
      </c>
      <c r="G945" s="28"/>
      <c r="H945" s="28">
        <v>9733572</v>
      </c>
      <c r="I945" s="28">
        <v>297168</v>
      </c>
      <c r="J945" s="28">
        <v>0.99</v>
      </c>
      <c r="K945" s="28">
        <v>42</v>
      </c>
      <c r="L945" s="28">
        <v>1</v>
      </c>
    </row>
    <row r="946" spans="1:12" ht="14.25" customHeight="1" x14ac:dyDescent="0.2">
      <c r="A946" s="28">
        <v>945</v>
      </c>
      <c r="B946" s="28" t="s">
        <v>1505</v>
      </c>
      <c r="C946" s="28" t="s">
        <v>1495</v>
      </c>
      <c r="D946" s="28" t="s">
        <v>1475</v>
      </c>
      <c r="E946" s="28" t="s">
        <v>211</v>
      </c>
      <c r="F946" s="28" t="s">
        <v>348</v>
      </c>
      <c r="G946" s="28"/>
      <c r="H946" s="28">
        <v>9162435</v>
      </c>
      <c r="I946" s="28">
        <v>279144</v>
      </c>
      <c r="J946" s="28">
        <v>0.99</v>
      </c>
      <c r="K946" s="28">
        <v>5</v>
      </c>
      <c r="L946" s="28">
        <v>0</v>
      </c>
    </row>
    <row r="947" spans="1:12" ht="14.25" customHeight="1" x14ac:dyDescent="0.2">
      <c r="A947" s="28">
        <v>946</v>
      </c>
      <c r="B947" s="28" t="s">
        <v>1506</v>
      </c>
      <c r="C947" s="28" t="s">
        <v>1495</v>
      </c>
      <c r="D947" s="28" t="s">
        <v>1475</v>
      </c>
      <c r="E947" s="28" t="s">
        <v>211</v>
      </c>
      <c r="F947" s="28" t="s">
        <v>348</v>
      </c>
      <c r="G947" s="28"/>
      <c r="H947" s="28">
        <v>12926140</v>
      </c>
      <c r="I947" s="28">
        <v>398341</v>
      </c>
      <c r="J947" s="28">
        <v>0.99</v>
      </c>
      <c r="K947" s="28">
        <v>63</v>
      </c>
      <c r="L947" s="28">
        <v>0</v>
      </c>
    </row>
    <row r="948" spans="1:12" ht="14.25" customHeight="1" x14ac:dyDescent="0.2">
      <c r="A948" s="28">
        <v>947</v>
      </c>
      <c r="B948" s="28" t="s">
        <v>1507</v>
      </c>
      <c r="C948" s="28" t="s">
        <v>1495</v>
      </c>
      <c r="D948" s="28" t="s">
        <v>1475</v>
      </c>
      <c r="E948" s="28" t="s">
        <v>211</v>
      </c>
      <c r="F948" s="28" t="s">
        <v>348</v>
      </c>
      <c r="G948" s="28"/>
      <c r="H948" s="28">
        <v>8242626</v>
      </c>
      <c r="I948" s="28">
        <v>251924</v>
      </c>
      <c r="J948" s="28">
        <v>0.99</v>
      </c>
      <c r="K948" s="28">
        <v>36</v>
      </c>
      <c r="L948" s="28">
        <v>1</v>
      </c>
    </row>
    <row r="949" spans="1:12" ht="14.25" customHeight="1" x14ac:dyDescent="0.2">
      <c r="A949" s="28">
        <v>948</v>
      </c>
      <c r="B949" s="28" t="s">
        <v>1508</v>
      </c>
      <c r="C949" s="28" t="s">
        <v>1495</v>
      </c>
      <c r="D949" s="28" t="s">
        <v>1475</v>
      </c>
      <c r="E949" s="28" t="s">
        <v>211</v>
      </c>
      <c r="F949" s="28" t="s">
        <v>348</v>
      </c>
      <c r="G949" s="28"/>
      <c r="H949" s="28">
        <v>6073008</v>
      </c>
      <c r="I949" s="28">
        <v>185835</v>
      </c>
      <c r="J949" s="28">
        <v>0.99</v>
      </c>
      <c r="K949" s="28">
        <v>20</v>
      </c>
      <c r="L949" s="28">
        <v>2</v>
      </c>
    </row>
    <row r="950" spans="1:12" ht="14.25" customHeight="1" x14ac:dyDescent="0.2">
      <c r="A950" s="28">
        <v>949</v>
      </c>
      <c r="B950" s="28" t="s">
        <v>1509</v>
      </c>
      <c r="C950" s="28" t="s">
        <v>1510</v>
      </c>
      <c r="D950" s="28" t="s">
        <v>1475</v>
      </c>
      <c r="E950" s="28" t="s">
        <v>211</v>
      </c>
      <c r="F950" s="28" t="s">
        <v>212</v>
      </c>
      <c r="G950" s="28" t="s">
        <v>1511</v>
      </c>
      <c r="H950" s="28">
        <v>4524972</v>
      </c>
      <c r="I950" s="28">
        <v>137482</v>
      </c>
      <c r="J950" s="28">
        <v>0.99</v>
      </c>
      <c r="K950" s="28">
        <v>63</v>
      </c>
      <c r="L950" s="28">
        <v>1</v>
      </c>
    </row>
    <row r="951" spans="1:12" ht="14.25" customHeight="1" x14ac:dyDescent="0.2">
      <c r="A951" s="28">
        <v>950</v>
      </c>
      <c r="B951" s="28" t="s">
        <v>1512</v>
      </c>
      <c r="C951" s="28" t="s">
        <v>1510</v>
      </c>
      <c r="D951" s="28" t="s">
        <v>1475</v>
      </c>
      <c r="E951" s="28" t="s">
        <v>211</v>
      </c>
      <c r="F951" s="28" t="s">
        <v>212</v>
      </c>
      <c r="G951" s="28" t="s">
        <v>1511</v>
      </c>
      <c r="H951" s="28">
        <v>8808812</v>
      </c>
      <c r="I951" s="28">
        <v>269400</v>
      </c>
      <c r="J951" s="28">
        <v>0.99</v>
      </c>
      <c r="K951" s="28">
        <v>73</v>
      </c>
      <c r="L951" s="28">
        <v>0</v>
      </c>
    </row>
    <row r="952" spans="1:12" ht="14.25" customHeight="1" x14ac:dyDescent="0.2">
      <c r="A952" s="28">
        <v>951</v>
      </c>
      <c r="B952" s="28" t="s">
        <v>1513</v>
      </c>
      <c r="C952" s="28" t="s">
        <v>1510</v>
      </c>
      <c r="D952" s="28" t="s">
        <v>1475</v>
      </c>
      <c r="E952" s="28" t="s">
        <v>211</v>
      </c>
      <c r="F952" s="28" t="s">
        <v>212</v>
      </c>
      <c r="G952" s="28" t="s">
        <v>1514</v>
      </c>
      <c r="H952" s="28">
        <v>9626136</v>
      </c>
      <c r="I952" s="28">
        <v>293590</v>
      </c>
      <c r="J952" s="28">
        <v>0.99</v>
      </c>
      <c r="K952" s="28">
        <v>69</v>
      </c>
      <c r="L952" s="28">
        <v>0</v>
      </c>
    </row>
    <row r="953" spans="1:12" ht="14.25" customHeight="1" x14ac:dyDescent="0.2">
      <c r="A953" s="28">
        <v>952</v>
      </c>
      <c r="B953" s="28" t="s">
        <v>1515</v>
      </c>
      <c r="C953" s="28" t="s">
        <v>1510</v>
      </c>
      <c r="D953" s="28" t="s">
        <v>1475</v>
      </c>
      <c r="E953" s="28" t="s">
        <v>211</v>
      </c>
      <c r="F953" s="28" t="s">
        <v>212</v>
      </c>
      <c r="G953" s="28" t="s">
        <v>1511</v>
      </c>
      <c r="H953" s="28">
        <v>6908609</v>
      </c>
      <c r="I953" s="28">
        <v>209319</v>
      </c>
      <c r="J953" s="28">
        <v>0.99</v>
      </c>
      <c r="K953" s="28">
        <v>34</v>
      </c>
      <c r="L953" s="28">
        <v>1</v>
      </c>
    </row>
    <row r="954" spans="1:12" ht="14.25" customHeight="1" x14ac:dyDescent="0.2">
      <c r="A954" s="28">
        <v>953</v>
      </c>
      <c r="B954" s="28" t="s">
        <v>1516</v>
      </c>
      <c r="C954" s="28" t="s">
        <v>1510</v>
      </c>
      <c r="D954" s="28" t="s">
        <v>1475</v>
      </c>
      <c r="E954" s="28" t="s">
        <v>211</v>
      </c>
      <c r="F954" s="28" t="s">
        <v>212</v>
      </c>
      <c r="G954" s="28" t="s">
        <v>1511</v>
      </c>
      <c r="H954" s="28">
        <v>6747658</v>
      </c>
      <c r="I954" s="28">
        <v>203807</v>
      </c>
      <c r="J954" s="28">
        <v>0.99</v>
      </c>
      <c r="K954" s="28">
        <v>98</v>
      </c>
      <c r="L954" s="28">
        <v>1</v>
      </c>
    </row>
    <row r="955" spans="1:12" ht="14.25" customHeight="1" x14ac:dyDescent="0.2">
      <c r="A955" s="28">
        <v>954</v>
      </c>
      <c r="B955" s="28" t="s">
        <v>1517</v>
      </c>
      <c r="C955" s="28" t="s">
        <v>1510</v>
      </c>
      <c r="D955" s="28" t="s">
        <v>1475</v>
      </c>
      <c r="E955" s="28" t="s">
        <v>211</v>
      </c>
      <c r="F955" s="28" t="s">
        <v>212</v>
      </c>
      <c r="G955" s="28" t="s">
        <v>1514</v>
      </c>
      <c r="H955" s="28">
        <v>7388369</v>
      </c>
      <c r="I955" s="28">
        <v>222902</v>
      </c>
      <c r="J955" s="28">
        <v>0.99</v>
      </c>
      <c r="K955" s="28">
        <v>77</v>
      </c>
      <c r="L955" s="28">
        <v>1</v>
      </c>
    </row>
    <row r="956" spans="1:12" ht="14.25" customHeight="1" x14ac:dyDescent="0.2">
      <c r="A956" s="28">
        <v>955</v>
      </c>
      <c r="B956" s="28" t="s">
        <v>1518</v>
      </c>
      <c r="C956" s="28" t="s">
        <v>1510</v>
      </c>
      <c r="D956" s="28" t="s">
        <v>1475</v>
      </c>
      <c r="E956" s="28" t="s">
        <v>211</v>
      </c>
      <c r="F956" s="28" t="s">
        <v>212</v>
      </c>
      <c r="G956" s="28" t="s">
        <v>1514</v>
      </c>
      <c r="H956" s="28">
        <v>8029054</v>
      </c>
      <c r="I956" s="28">
        <v>242102</v>
      </c>
      <c r="J956" s="28">
        <v>0.99</v>
      </c>
      <c r="K956" s="28">
        <v>53</v>
      </c>
      <c r="L956" s="28">
        <v>0</v>
      </c>
    </row>
    <row r="957" spans="1:12" ht="14.25" customHeight="1" x14ac:dyDescent="0.2">
      <c r="A957" s="28">
        <v>956</v>
      </c>
      <c r="B957" s="28" t="s">
        <v>1519</v>
      </c>
      <c r="C957" s="28" t="s">
        <v>1510</v>
      </c>
      <c r="D957" s="28" t="s">
        <v>1475</v>
      </c>
      <c r="E957" s="28" t="s">
        <v>211</v>
      </c>
      <c r="F957" s="28" t="s">
        <v>212</v>
      </c>
      <c r="G957" s="28" t="s">
        <v>1511</v>
      </c>
      <c r="H957" s="28">
        <v>6224997</v>
      </c>
      <c r="I957" s="28">
        <v>186435</v>
      </c>
      <c r="J957" s="28">
        <v>0.99</v>
      </c>
      <c r="K957" s="28">
        <v>55</v>
      </c>
      <c r="L957" s="28">
        <v>1</v>
      </c>
    </row>
    <row r="958" spans="1:12" ht="14.25" customHeight="1" x14ac:dyDescent="0.2">
      <c r="A958" s="28">
        <v>957</v>
      </c>
      <c r="B958" s="28" t="s">
        <v>1520</v>
      </c>
      <c r="C958" s="28" t="s">
        <v>1510</v>
      </c>
      <c r="D958" s="28" t="s">
        <v>1475</v>
      </c>
      <c r="E958" s="28" t="s">
        <v>211</v>
      </c>
      <c r="F958" s="28" t="s">
        <v>212</v>
      </c>
      <c r="G958" s="28" t="s">
        <v>1511</v>
      </c>
      <c r="H958" s="28">
        <v>6109259</v>
      </c>
      <c r="I958" s="28">
        <v>185129</v>
      </c>
      <c r="J958" s="28">
        <v>0.99</v>
      </c>
      <c r="K958" s="28">
        <v>40</v>
      </c>
      <c r="L958" s="28">
        <v>0</v>
      </c>
    </row>
    <row r="959" spans="1:12" ht="14.25" customHeight="1" x14ac:dyDescent="0.2">
      <c r="A959" s="28">
        <v>958</v>
      </c>
      <c r="B959" s="28" t="s">
        <v>1521</v>
      </c>
      <c r="C959" s="28" t="s">
        <v>1510</v>
      </c>
      <c r="D959" s="28" t="s">
        <v>1475</v>
      </c>
      <c r="E959" s="28" t="s">
        <v>211</v>
      </c>
      <c r="F959" s="28" t="s">
        <v>212</v>
      </c>
      <c r="G959" s="28" t="s">
        <v>1514</v>
      </c>
      <c r="H959" s="28">
        <v>9779971</v>
      </c>
      <c r="I959" s="28">
        <v>298997</v>
      </c>
      <c r="J959" s="28">
        <v>0.99</v>
      </c>
      <c r="K959" s="28">
        <v>14</v>
      </c>
      <c r="L959" s="28">
        <v>1</v>
      </c>
    </row>
    <row r="960" spans="1:12" ht="14.25" customHeight="1" x14ac:dyDescent="0.2">
      <c r="A960" s="28">
        <v>959</v>
      </c>
      <c r="B960" s="28" t="s">
        <v>1522</v>
      </c>
      <c r="C960" s="28" t="s">
        <v>1510</v>
      </c>
      <c r="D960" s="28" t="s">
        <v>1475</v>
      </c>
      <c r="E960" s="28" t="s">
        <v>211</v>
      </c>
      <c r="F960" s="28" t="s">
        <v>212</v>
      </c>
      <c r="G960" s="28" t="s">
        <v>1514</v>
      </c>
      <c r="H960" s="28">
        <v>13163733</v>
      </c>
      <c r="I960" s="28">
        <v>395859</v>
      </c>
      <c r="J960" s="28">
        <v>0.99</v>
      </c>
      <c r="K960" s="28">
        <v>45</v>
      </c>
      <c r="L960" s="28">
        <v>1</v>
      </c>
    </row>
    <row r="961" spans="1:12" ht="14.25" customHeight="1" x14ac:dyDescent="0.2">
      <c r="A961" s="28">
        <v>960</v>
      </c>
      <c r="B961" s="28" t="s">
        <v>1523</v>
      </c>
      <c r="C961" s="28" t="s">
        <v>1510</v>
      </c>
      <c r="D961" s="28" t="s">
        <v>1475</v>
      </c>
      <c r="E961" s="28" t="s">
        <v>211</v>
      </c>
      <c r="F961" s="28" t="s">
        <v>212</v>
      </c>
      <c r="G961" s="28" t="s">
        <v>1511</v>
      </c>
      <c r="H961" s="28">
        <v>5203430</v>
      </c>
      <c r="I961" s="28">
        <v>158275</v>
      </c>
      <c r="J961" s="28">
        <v>0.99</v>
      </c>
      <c r="K961" s="28">
        <v>86</v>
      </c>
      <c r="L961" s="28">
        <v>2</v>
      </c>
    </row>
    <row r="962" spans="1:12" ht="14.25" customHeight="1" x14ac:dyDescent="0.2">
      <c r="A962" s="28">
        <v>961</v>
      </c>
      <c r="B962" s="28" t="s">
        <v>1524</v>
      </c>
      <c r="C962" s="28" t="s">
        <v>1510</v>
      </c>
      <c r="D962" s="28" t="s">
        <v>1475</v>
      </c>
      <c r="E962" s="28" t="s">
        <v>211</v>
      </c>
      <c r="F962" s="28" t="s">
        <v>212</v>
      </c>
      <c r="G962" s="28" t="s">
        <v>1511</v>
      </c>
      <c r="H962" s="28">
        <v>8736776</v>
      </c>
      <c r="I962" s="28">
        <v>267833</v>
      </c>
      <c r="J962" s="28">
        <v>0.99</v>
      </c>
      <c r="K962" s="28">
        <v>62</v>
      </c>
      <c r="L962" s="28">
        <v>0</v>
      </c>
    </row>
    <row r="963" spans="1:12" ht="14.25" customHeight="1" x14ac:dyDescent="0.2">
      <c r="A963" s="28">
        <v>962</v>
      </c>
      <c r="B963" s="28" t="s">
        <v>1525</v>
      </c>
      <c r="C963" s="28" t="s">
        <v>1510</v>
      </c>
      <c r="D963" s="28" t="s">
        <v>1475</v>
      </c>
      <c r="E963" s="28" t="s">
        <v>211</v>
      </c>
      <c r="F963" s="28" t="s">
        <v>212</v>
      </c>
      <c r="G963" s="28" t="s">
        <v>1511</v>
      </c>
      <c r="H963" s="28">
        <v>11031254</v>
      </c>
      <c r="I963" s="28">
        <v>336666</v>
      </c>
      <c r="J963" s="28">
        <v>0.99</v>
      </c>
      <c r="K963" s="28">
        <v>98</v>
      </c>
      <c r="L963" s="28">
        <v>0</v>
      </c>
    </row>
    <row r="964" spans="1:12" ht="14.25" customHeight="1" x14ac:dyDescent="0.2">
      <c r="A964" s="28">
        <v>963</v>
      </c>
      <c r="B964" s="28" t="s">
        <v>1526</v>
      </c>
      <c r="C964" s="28" t="s">
        <v>1510</v>
      </c>
      <c r="D964" s="28" t="s">
        <v>1475</v>
      </c>
      <c r="E964" s="28" t="s">
        <v>211</v>
      </c>
      <c r="F964" s="28" t="s">
        <v>212</v>
      </c>
      <c r="G964" s="28" t="s">
        <v>1511</v>
      </c>
      <c r="H964" s="28">
        <v>5929427</v>
      </c>
      <c r="I964" s="28">
        <v>181995</v>
      </c>
      <c r="J964" s="28">
        <v>0.99</v>
      </c>
      <c r="K964" s="28">
        <v>95</v>
      </c>
      <c r="L964" s="28">
        <v>0</v>
      </c>
    </row>
    <row r="965" spans="1:12" ht="14.25" customHeight="1" x14ac:dyDescent="0.2">
      <c r="A965" s="28">
        <v>964</v>
      </c>
      <c r="B965" s="28" t="s">
        <v>1527</v>
      </c>
      <c r="C965" s="28" t="s">
        <v>1528</v>
      </c>
      <c r="D965" s="28" t="s">
        <v>1475</v>
      </c>
      <c r="E965" s="28" t="s">
        <v>211</v>
      </c>
      <c r="F965" s="28" t="s">
        <v>348</v>
      </c>
      <c r="G965" s="28" t="s">
        <v>1475</v>
      </c>
      <c r="H965" s="28">
        <v>6587802</v>
      </c>
      <c r="I965" s="28">
        <v>202527</v>
      </c>
      <c r="J965" s="28">
        <v>0.99</v>
      </c>
      <c r="K965" s="28">
        <v>80</v>
      </c>
      <c r="L965" s="28">
        <v>1</v>
      </c>
    </row>
    <row r="966" spans="1:12" ht="14.25" customHeight="1" x14ac:dyDescent="0.2">
      <c r="A966" s="28">
        <v>965</v>
      </c>
      <c r="B966" s="28" t="s">
        <v>1529</v>
      </c>
      <c r="C966" s="28" t="s">
        <v>1528</v>
      </c>
      <c r="D966" s="28" t="s">
        <v>1475</v>
      </c>
      <c r="E966" s="28" t="s">
        <v>211</v>
      </c>
      <c r="F966" s="28" t="s">
        <v>348</v>
      </c>
      <c r="G966" s="28" t="s">
        <v>1475</v>
      </c>
      <c r="H966" s="28">
        <v>9631296</v>
      </c>
      <c r="I966" s="28">
        <v>294008</v>
      </c>
      <c r="J966" s="28">
        <v>0.99</v>
      </c>
      <c r="K966" s="28">
        <v>37</v>
      </c>
      <c r="L966" s="28">
        <v>1</v>
      </c>
    </row>
    <row r="967" spans="1:12" ht="14.25" customHeight="1" x14ac:dyDescent="0.2">
      <c r="A967" s="28">
        <v>966</v>
      </c>
      <c r="B967" s="28" t="s">
        <v>1530</v>
      </c>
      <c r="C967" s="28" t="s">
        <v>1528</v>
      </c>
      <c r="D967" s="28" t="s">
        <v>1475</v>
      </c>
      <c r="E967" s="28" t="s">
        <v>211</v>
      </c>
      <c r="F967" s="28" t="s">
        <v>348</v>
      </c>
      <c r="G967" s="28" t="s">
        <v>1475</v>
      </c>
      <c r="H967" s="28">
        <v>10333123</v>
      </c>
      <c r="I967" s="28">
        <v>316055</v>
      </c>
      <c r="J967" s="28">
        <v>0.99</v>
      </c>
      <c r="K967" s="28">
        <v>17</v>
      </c>
      <c r="L967" s="28">
        <v>1</v>
      </c>
    </row>
    <row r="968" spans="1:12" ht="14.25" customHeight="1" x14ac:dyDescent="0.2">
      <c r="A968" s="28">
        <v>967</v>
      </c>
      <c r="B968" s="28" t="s">
        <v>1531</v>
      </c>
      <c r="C968" s="28" t="s">
        <v>1528</v>
      </c>
      <c r="D968" s="28" t="s">
        <v>1475</v>
      </c>
      <c r="E968" s="28" t="s">
        <v>211</v>
      </c>
      <c r="F968" s="28" t="s">
        <v>348</v>
      </c>
      <c r="G968" s="28" t="s">
        <v>1475</v>
      </c>
      <c r="H968" s="28">
        <v>4823036</v>
      </c>
      <c r="I968" s="28">
        <v>147226</v>
      </c>
      <c r="J968" s="28">
        <v>0.99</v>
      </c>
      <c r="K968" s="28">
        <v>16</v>
      </c>
      <c r="L968" s="28">
        <v>1</v>
      </c>
    </row>
    <row r="969" spans="1:12" ht="14.25" customHeight="1" x14ac:dyDescent="0.2">
      <c r="A969" s="28">
        <v>968</v>
      </c>
      <c r="B969" s="28" t="s">
        <v>1532</v>
      </c>
      <c r="C969" s="28" t="s">
        <v>1528</v>
      </c>
      <c r="D969" s="28" t="s">
        <v>1475</v>
      </c>
      <c r="E969" s="28" t="s">
        <v>211</v>
      </c>
      <c r="F969" s="28" t="s">
        <v>348</v>
      </c>
      <c r="G969" s="28" t="s">
        <v>1475</v>
      </c>
      <c r="H969" s="28">
        <v>11835367</v>
      </c>
      <c r="I969" s="28">
        <v>360881</v>
      </c>
      <c r="J969" s="28">
        <v>0.99</v>
      </c>
      <c r="K969" s="28">
        <v>5</v>
      </c>
      <c r="L969" s="28">
        <v>0</v>
      </c>
    </row>
    <row r="970" spans="1:12" ht="14.25" customHeight="1" x14ac:dyDescent="0.2">
      <c r="A970" s="28">
        <v>969</v>
      </c>
      <c r="B970" s="28" t="s">
        <v>1528</v>
      </c>
      <c r="C970" s="28" t="s">
        <v>1528</v>
      </c>
      <c r="D970" s="28" t="s">
        <v>1475</v>
      </c>
      <c r="E970" s="28" t="s">
        <v>211</v>
      </c>
      <c r="F970" s="28" t="s">
        <v>348</v>
      </c>
      <c r="G970" s="28" t="s">
        <v>1475</v>
      </c>
      <c r="H970" s="28">
        <v>16233080</v>
      </c>
      <c r="I970" s="28">
        <v>493635</v>
      </c>
      <c r="J970" s="28">
        <v>0.99</v>
      </c>
      <c r="K970" s="28">
        <v>0</v>
      </c>
      <c r="L970" s="28">
        <v>0</v>
      </c>
    </row>
    <row r="971" spans="1:12" ht="14.25" customHeight="1" x14ac:dyDescent="0.2">
      <c r="A971" s="28">
        <v>970</v>
      </c>
      <c r="B971" s="28" t="s">
        <v>1533</v>
      </c>
      <c r="C971" s="28" t="s">
        <v>1528</v>
      </c>
      <c r="D971" s="28" t="s">
        <v>1475</v>
      </c>
      <c r="E971" s="28" t="s">
        <v>211</v>
      </c>
      <c r="F971" s="28" t="s">
        <v>348</v>
      </c>
      <c r="G971" s="28" t="s">
        <v>1475</v>
      </c>
      <c r="H971" s="28">
        <v>7634387</v>
      </c>
      <c r="I971" s="28">
        <v>231993</v>
      </c>
      <c r="J971" s="28">
        <v>0.99</v>
      </c>
      <c r="K971" s="28">
        <v>63</v>
      </c>
      <c r="L971" s="28">
        <v>1</v>
      </c>
    </row>
    <row r="972" spans="1:12" ht="14.25" customHeight="1" x14ac:dyDescent="0.2">
      <c r="A972" s="28">
        <v>971</v>
      </c>
      <c r="B972" s="28" t="s">
        <v>1534</v>
      </c>
      <c r="C972" s="28" t="s">
        <v>1528</v>
      </c>
      <c r="D972" s="28" t="s">
        <v>1475</v>
      </c>
      <c r="E972" s="28" t="s">
        <v>211</v>
      </c>
      <c r="F972" s="28" t="s">
        <v>348</v>
      </c>
      <c r="G972" s="28" t="s">
        <v>1475</v>
      </c>
      <c r="H972" s="28">
        <v>7355898</v>
      </c>
      <c r="I972" s="28">
        <v>223764</v>
      </c>
      <c r="J972" s="28">
        <v>0.99</v>
      </c>
      <c r="K972" s="28">
        <v>82</v>
      </c>
      <c r="L972" s="28">
        <v>1</v>
      </c>
    </row>
    <row r="973" spans="1:12" ht="14.25" customHeight="1" x14ac:dyDescent="0.2">
      <c r="A973" s="28">
        <v>972</v>
      </c>
      <c r="B973" s="28" t="s">
        <v>1535</v>
      </c>
      <c r="C973" s="28" t="s">
        <v>1528</v>
      </c>
      <c r="D973" s="28" t="s">
        <v>1475</v>
      </c>
      <c r="E973" s="28" t="s">
        <v>211</v>
      </c>
      <c r="F973" s="28" t="s">
        <v>348</v>
      </c>
      <c r="G973" s="28" t="s">
        <v>1475</v>
      </c>
      <c r="H973" s="28">
        <v>11174250</v>
      </c>
      <c r="I973" s="28">
        <v>340532</v>
      </c>
      <c r="J973" s="28">
        <v>0.99</v>
      </c>
      <c r="K973" s="28">
        <v>74</v>
      </c>
      <c r="L973" s="28">
        <v>1</v>
      </c>
    </row>
    <row r="974" spans="1:12" ht="14.25" customHeight="1" x14ac:dyDescent="0.2">
      <c r="A974" s="28">
        <v>973</v>
      </c>
      <c r="B974" s="28" t="s">
        <v>1536</v>
      </c>
      <c r="C974" s="28" t="s">
        <v>1528</v>
      </c>
      <c r="D974" s="28" t="s">
        <v>1475</v>
      </c>
      <c r="E974" s="28" t="s">
        <v>211</v>
      </c>
      <c r="F974" s="28" t="s">
        <v>348</v>
      </c>
      <c r="G974" s="28" t="s">
        <v>426</v>
      </c>
      <c r="H974" s="28">
        <v>15267802</v>
      </c>
      <c r="I974" s="28">
        <v>464770</v>
      </c>
      <c r="J974" s="28">
        <v>0.99</v>
      </c>
      <c r="K974" s="28">
        <v>31</v>
      </c>
      <c r="L974" s="28">
        <v>0</v>
      </c>
    </row>
    <row r="975" spans="1:12" ht="14.25" customHeight="1" x14ac:dyDescent="0.2">
      <c r="A975" s="28">
        <v>974</v>
      </c>
      <c r="B975" s="28" t="s">
        <v>1537</v>
      </c>
      <c r="C975" s="28" t="s">
        <v>1528</v>
      </c>
      <c r="D975" s="28" t="s">
        <v>1475</v>
      </c>
      <c r="E975" s="28" t="s">
        <v>211</v>
      </c>
      <c r="F975" s="28" t="s">
        <v>348</v>
      </c>
      <c r="G975" s="28" t="s">
        <v>1475</v>
      </c>
      <c r="H975" s="28">
        <v>8235607</v>
      </c>
      <c r="I975" s="28">
        <v>250357</v>
      </c>
      <c r="J975" s="28">
        <v>0.99</v>
      </c>
      <c r="K975" s="28">
        <v>97</v>
      </c>
      <c r="L975" s="28">
        <v>0</v>
      </c>
    </row>
    <row r="976" spans="1:12" ht="14.25" customHeight="1" x14ac:dyDescent="0.2">
      <c r="A976" s="28">
        <v>975</v>
      </c>
      <c r="B976" s="28" t="s">
        <v>1538</v>
      </c>
      <c r="C976" s="28" t="s">
        <v>1538</v>
      </c>
      <c r="D976" s="28" t="s">
        <v>1539</v>
      </c>
      <c r="E976" s="28" t="s">
        <v>211</v>
      </c>
      <c r="F976" s="28" t="s">
        <v>490</v>
      </c>
      <c r="G976" s="28"/>
      <c r="H976" s="28">
        <v>1095012</v>
      </c>
      <c r="I976" s="28">
        <v>33619</v>
      </c>
      <c r="J976" s="28">
        <v>0.99</v>
      </c>
      <c r="K976" s="28">
        <v>34</v>
      </c>
      <c r="L976" s="28">
        <v>0</v>
      </c>
    </row>
    <row r="977" spans="1:12" ht="14.25" customHeight="1" x14ac:dyDescent="0.2">
      <c r="A977" s="28">
        <v>976</v>
      </c>
      <c r="B977" s="28" t="s">
        <v>1540</v>
      </c>
      <c r="C977" s="28" t="s">
        <v>1538</v>
      </c>
      <c r="D977" s="28" t="s">
        <v>1539</v>
      </c>
      <c r="E977" s="28" t="s">
        <v>211</v>
      </c>
      <c r="F977" s="28" t="s">
        <v>490</v>
      </c>
      <c r="G977" s="28"/>
      <c r="H977" s="28">
        <v>7921313</v>
      </c>
      <c r="I977" s="28">
        <v>237165</v>
      </c>
      <c r="J977" s="28">
        <v>0.99</v>
      </c>
      <c r="K977" s="28">
        <v>63</v>
      </c>
      <c r="L977" s="28">
        <v>2</v>
      </c>
    </row>
    <row r="978" spans="1:12" ht="14.25" customHeight="1" x14ac:dyDescent="0.2">
      <c r="A978" s="28">
        <v>977</v>
      </c>
      <c r="B978" s="28" t="s">
        <v>1541</v>
      </c>
      <c r="C978" s="28" t="s">
        <v>1538</v>
      </c>
      <c r="D978" s="28" t="s">
        <v>1539</v>
      </c>
      <c r="E978" s="28" t="s">
        <v>211</v>
      </c>
      <c r="F978" s="28" t="s">
        <v>490</v>
      </c>
      <c r="G978" s="28"/>
      <c r="H978" s="28">
        <v>8897778</v>
      </c>
      <c r="I978" s="28">
        <v>269557</v>
      </c>
      <c r="J978" s="28">
        <v>0.99</v>
      </c>
      <c r="K978" s="28">
        <v>49</v>
      </c>
      <c r="L978" s="28">
        <v>1</v>
      </c>
    </row>
    <row r="979" spans="1:12" ht="14.25" customHeight="1" x14ac:dyDescent="0.2">
      <c r="A979" s="28">
        <v>978</v>
      </c>
      <c r="B979" s="28" t="s">
        <v>1542</v>
      </c>
      <c r="C979" s="28" t="s">
        <v>1538</v>
      </c>
      <c r="D979" s="28" t="s">
        <v>1539</v>
      </c>
      <c r="E979" s="28" t="s">
        <v>211</v>
      </c>
      <c r="F979" s="28" t="s">
        <v>490</v>
      </c>
      <c r="G979" s="28"/>
      <c r="H979" s="28">
        <v>7365321</v>
      </c>
      <c r="I979" s="28">
        <v>222066</v>
      </c>
      <c r="J979" s="28">
        <v>0.99</v>
      </c>
      <c r="K979" s="28">
        <v>31</v>
      </c>
      <c r="L979" s="28">
        <v>0</v>
      </c>
    </row>
    <row r="980" spans="1:12" ht="14.25" customHeight="1" x14ac:dyDescent="0.2">
      <c r="A980" s="28">
        <v>979</v>
      </c>
      <c r="B980" s="28" t="s">
        <v>1543</v>
      </c>
      <c r="C980" s="28" t="s">
        <v>1538</v>
      </c>
      <c r="D980" s="28" t="s">
        <v>1539</v>
      </c>
      <c r="E980" s="28" t="s">
        <v>211</v>
      </c>
      <c r="F980" s="28" t="s">
        <v>490</v>
      </c>
      <c r="G980" s="28"/>
      <c r="H980" s="28">
        <v>7460829</v>
      </c>
      <c r="I980" s="28">
        <v>222197</v>
      </c>
      <c r="J980" s="28">
        <v>0.99</v>
      </c>
      <c r="K980" s="28">
        <v>30</v>
      </c>
      <c r="L980" s="28">
        <v>0</v>
      </c>
    </row>
    <row r="981" spans="1:12" ht="14.25" customHeight="1" x14ac:dyDescent="0.2">
      <c r="A981" s="28">
        <v>980</v>
      </c>
      <c r="B981" s="28" t="s">
        <v>1544</v>
      </c>
      <c r="C981" s="28" t="s">
        <v>1538</v>
      </c>
      <c r="D981" s="28" t="s">
        <v>1539</v>
      </c>
      <c r="E981" s="28" t="s">
        <v>211</v>
      </c>
      <c r="F981" s="28" t="s">
        <v>490</v>
      </c>
      <c r="G981" s="28"/>
      <c r="H981" s="28">
        <v>5588756</v>
      </c>
      <c r="I981" s="28">
        <v>169273</v>
      </c>
      <c r="J981" s="28">
        <v>0.99</v>
      </c>
      <c r="K981" s="28">
        <v>49</v>
      </c>
      <c r="L981" s="28">
        <v>0</v>
      </c>
    </row>
    <row r="982" spans="1:12" ht="14.25" customHeight="1" x14ac:dyDescent="0.2">
      <c r="A982" s="28">
        <v>981</v>
      </c>
      <c r="B982" s="28" t="s">
        <v>1545</v>
      </c>
      <c r="C982" s="28" t="s">
        <v>1538</v>
      </c>
      <c r="D982" s="28" t="s">
        <v>1539</v>
      </c>
      <c r="E982" s="28" t="s">
        <v>211</v>
      </c>
      <c r="F982" s="28" t="s">
        <v>490</v>
      </c>
      <c r="G982" s="28"/>
      <c r="H982" s="28">
        <v>4781949</v>
      </c>
      <c r="I982" s="28">
        <v>143673</v>
      </c>
      <c r="J982" s="28">
        <v>0.99</v>
      </c>
      <c r="K982" s="28">
        <v>69</v>
      </c>
      <c r="L982" s="28">
        <v>1</v>
      </c>
    </row>
    <row r="983" spans="1:12" ht="14.25" customHeight="1" x14ac:dyDescent="0.2">
      <c r="A983" s="28">
        <v>982</v>
      </c>
      <c r="B983" s="28" t="s">
        <v>1546</v>
      </c>
      <c r="C983" s="28" t="s">
        <v>1538</v>
      </c>
      <c r="D983" s="28" t="s">
        <v>1539</v>
      </c>
      <c r="E983" s="28" t="s">
        <v>211</v>
      </c>
      <c r="F983" s="28" t="s">
        <v>490</v>
      </c>
      <c r="G983" s="28"/>
      <c r="H983" s="28">
        <v>11844320</v>
      </c>
      <c r="I983" s="28">
        <v>355030</v>
      </c>
      <c r="J983" s="28">
        <v>0.99</v>
      </c>
      <c r="K983" s="28">
        <v>19</v>
      </c>
      <c r="L983" s="28">
        <v>1</v>
      </c>
    </row>
    <row r="984" spans="1:12" ht="14.25" customHeight="1" x14ac:dyDescent="0.2">
      <c r="A984" s="28">
        <v>983</v>
      </c>
      <c r="B984" s="28" t="s">
        <v>1547</v>
      </c>
      <c r="C984" s="28" t="s">
        <v>1538</v>
      </c>
      <c r="D984" s="28" t="s">
        <v>1539</v>
      </c>
      <c r="E984" s="28" t="s">
        <v>211</v>
      </c>
      <c r="F984" s="28" t="s">
        <v>490</v>
      </c>
      <c r="G984" s="28"/>
      <c r="H984" s="28">
        <v>3923789</v>
      </c>
      <c r="I984" s="28">
        <v>116767</v>
      </c>
      <c r="J984" s="28">
        <v>0.99</v>
      </c>
      <c r="K984" s="28">
        <v>70</v>
      </c>
      <c r="L984" s="28">
        <v>1</v>
      </c>
    </row>
    <row r="985" spans="1:12" ht="14.25" customHeight="1" x14ac:dyDescent="0.2">
      <c r="A985" s="28">
        <v>984</v>
      </c>
      <c r="B985" s="28" t="s">
        <v>1548</v>
      </c>
      <c r="C985" s="28" t="s">
        <v>1538</v>
      </c>
      <c r="D985" s="28" t="s">
        <v>1539</v>
      </c>
      <c r="E985" s="28" t="s">
        <v>211</v>
      </c>
      <c r="F985" s="28" t="s">
        <v>490</v>
      </c>
      <c r="G985" s="28"/>
      <c r="H985" s="28">
        <v>7711669</v>
      </c>
      <c r="I985" s="28">
        <v>231915</v>
      </c>
      <c r="J985" s="28">
        <v>0.99</v>
      </c>
      <c r="K985" s="28">
        <v>30</v>
      </c>
      <c r="L985" s="28">
        <v>0</v>
      </c>
    </row>
    <row r="986" spans="1:12" ht="14.25" customHeight="1" x14ac:dyDescent="0.2">
      <c r="A986" s="28">
        <v>985</v>
      </c>
      <c r="B986" s="28" t="s">
        <v>1549</v>
      </c>
      <c r="C986" s="28" t="s">
        <v>1538</v>
      </c>
      <c r="D986" s="28" t="s">
        <v>1539</v>
      </c>
      <c r="E986" s="28" t="s">
        <v>211</v>
      </c>
      <c r="F986" s="28" t="s">
        <v>490</v>
      </c>
      <c r="G986" s="28"/>
      <c r="H986" s="28">
        <v>7056323</v>
      </c>
      <c r="I986" s="28">
        <v>213760</v>
      </c>
      <c r="J986" s="28">
        <v>0.99</v>
      </c>
      <c r="K986" s="28">
        <v>82</v>
      </c>
      <c r="L986" s="28">
        <v>1</v>
      </c>
    </row>
    <row r="987" spans="1:12" ht="14.25" customHeight="1" x14ac:dyDescent="0.2">
      <c r="A987" s="28">
        <v>986</v>
      </c>
      <c r="B987" s="28" t="s">
        <v>1550</v>
      </c>
      <c r="C987" s="28" t="s">
        <v>1538</v>
      </c>
      <c r="D987" s="28" t="s">
        <v>1539</v>
      </c>
      <c r="E987" s="28" t="s">
        <v>211</v>
      </c>
      <c r="F987" s="28" t="s">
        <v>490</v>
      </c>
      <c r="G987" s="28"/>
      <c r="H987" s="28">
        <v>9003882</v>
      </c>
      <c r="I987" s="28">
        <v>271072</v>
      </c>
      <c r="J987" s="28">
        <v>0.99</v>
      </c>
      <c r="K987" s="28">
        <v>63</v>
      </c>
      <c r="L987" s="28">
        <v>0</v>
      </c>
    </row>
    <row r="988" spans="1:12" ht="14.25" customHeight="1" x14ac:dyDescent="0.2">
      <c r="A988" s="28">
        <v>987</v>
      </c>
      <c r="B988" s="28" t="s">
        <v>1551</v>
      </c>
      <c r="C988" s="28" t="s">
        <v>1538</v>
      </c>
      <c r="D988" s="28" t="s">
        <v>1539</v>
      </c>
      <c r="E988" s="28" t="s">
        <v>211</v>
      </c>
      <c r="F988" s="28" t="s">
        <v>490</v>
      </c>
      <c r="G988" s="28"/>
      <c r="H988" s="28">
        <v>6039502</v>
      </c>
      <c r="I988" s="28">
        <v>181838</v>
      </c>
      <c r="J988" s="28">
        <v>0.99</v>
      </c>
      <c r="K988" s="28">
        <v>12</v>
      </c>
      <c r="L988" s="28">
        <v>0</v>
      </c>
    </row>
    <row r="989" spans="1:12" ht="14.25" customHeight="1" x14ac:dyDescent="0.2">
      <c r="A989" s="28">
        <v>988</v>
      </c>
      <c r="B989" s="28" t="s">
        <v>1552</v>
      </c>
      <c r="C989" s="28" t="s">
        <v>1538</v>
      </c>
      <c r="D989" s="28" t="s">
        <v>1539</v>
      </c>
      <c r="E989" s="28" t="s">
        <v>211</v>
      </c>
      <c r="F989" s="28" t="s">
        <v>490</v>
      </c>
      <c r="G989" s="28"/>
      <c r="H989" s="28">
        <v>5853561</v>
      </c>
      <c r="I989" s="28">
        <v>174524</v>
      </c>
      <c r="J989" s="28">
        <v>0.99</v>
      </c>
      <c r="K989" s="28">
        <v>27</v>
      </c>
      <c r="L989" s="28">
        <v>1</v>
      </c>
    </row>
    <row r="990" spans="1:12" ht="14.25" customHeight="1" x14ac:dyDescent="0.2">
      <c r="A990" s="28">
        <v>989</v>
      </c>
      <c r="B990" s="28" t="s">
        <v>1553</v>
      </c>
      <c r="C990" s="28" t="s">
        <v>1554</v>
      </c>
      <c r="D990" s="28" t="s">
        <v>1555</v>
      </c>
      <c r="E990" s="28" t="s">
        <v>211</v>
      </c>
      <c r="F990" s="28" t="s">
        <v>212</v>
      </c>
      <c r="G990" s="28" t="s">
        <v>1556</v>
      </c>
      <c r="H990" s="28">
        <v>7468463</v>
      </c>
      <c r="I990" s="28">
        <v>230191</v>
      </c>
      <c r="J990" s="28">
        <v>0.99</v>
      </c>
      <c r="K990" s="28">
        <v>95</v>
      </c>
      <c r="L990" s="28">
        <v>1</v>
      </c>
    </row>
    <row r="991" spans="1:12" ht="14.25" customHeight="1" x14ac:dyDescent="0.2">
      <c r="A991" s="28">
        <v>990</v>
      </c>
      <c r="B991" s="28" t="s">
        <v>1557</v>
      </c>
      <c r="C991" s="28" t="s">
        <v>1554</v>
      </c>
      <c r="D991" s="28" t="s">
        <v>1555</v>
      </c>
      <c r="E991" s="28" t="s">
        <v>211</v>
      </c>
      <c r="F991" s="28" t="s">
        <v>212</v>
      </c>
      <c r="G991" s="28" t="s">
        <v>1556</v>
      </c>
      <c r="H991" s="28">
        <v>6421400</v>
      </c>
      <c r="I991" s="28">
        <v>196675</v>
      </c>
      <c r="J991" s="28">
        <v>0.99</v>
      </c>
      <c r="K991" s="28">
        <v>82</v>
      </c>
      <c r="L991" s="28">
        <v>1</v>
      </c>
    </row>
    <row r="992" spans="1:12" ht="14.25" customHeight="1" x14ac:dyDescent="0.2">
      <c r="A992" s="28">
        <v>991</v>
      </c>
      <c r="B992" s="28" t="s">
        <v>1558</v>
      </c>
      <c r="C992" s="28" t="s">
        <v>1554</v>
      </c>
      <c r="D992" s="28" t="s">
        <v>1555</v>
      </c>
      <c r="E992" s="28" t="s">
        <v>211</v>
      </c>
      <c r="F992" s="28" t="s">
        <v>212</v>
      </c>
      <c r="G992" s="28" t="s">
        <v>1556</v>
      </c>
      <c r="H992" s="28">
        <v>8363467</v>
      </c>
      <c r="I992" s="28">
        <v>255712</v>
      </c>
      <c r="J992" s="28">
        <v>0.99</v>
      </c>
      <c r="K992" s="28">
        <v>27</v>
      </c>
      <c r="L992" s="28">
        <v>0</v>
      </c>
    </row>
    <row r="993" spans="1:12" ht="14.25" customHeight="1" x14ac:dyDescent="0.2">
      <c r="A993" s="28">
        <v>992</v>
      </c>
      <c r="B993" s="28" t="s">
        <v>1559</v>
      </c>
      <c r="C993" s="28" t="s">
        <v>1554</v>
      </c>
      <c r="D993" s="28" t="s">
        <v>1555</v>
      </c>
      <c r="E993" s="28" t="s">
        <v>211</v>
      </c>
      <c r="F993" s="28" t="s">
        <v>212</v>
      </c>
      <c r="G993" s="28" t="s">
        <v>1556</v>
      </c>
      <c r="H993" s="28">
        <v>8232342</v>
      </c>
      <c r="I993" s="28">
        <v>252186</v>
      </c>
      <c r="J993" s="28">
        <v>0.99</v>
      </c>
      <c r="K993" s="28">
        <v>74</v>
      </c>
      <c r="L993" s="28">
        <v>0</v>
      </c>
    </row>
    <row r="994" spans="1:12" ht="14.25" customHeight="1" x14ac:dyDescent="0.2">
      <c r="A994" s="28">
        <v>993</v>
      </c>
      <c r="B994" s="28" t="s">
        <v>1560</v>
      </c>
      <c r="C994" s="28" t="s">
        <v>1554</v>
      </c>
      <c r="D994" s="28" t="s">
        <v>1555</v>
      </c>
      <c r="E994" s="28" t="s">
        <v>211</v>
      </c>
      <c r="F994" s="28" t="s">
        <v>212</v>
      </c>
      <c r="G994" s="28" t="s">
        <v>1556</v>
      </c>
      <c r="H994" s="28">
        <v>3819255</v>
      </c>
      <c r="I994" s="28">
        <v>117080</v>
      </c>
      <c r="J994" s="28">
        <v>0.99</v>
      </c>
      <c r="K994" s="28">
        <v>56</v>
      </c>
      <c r="L994" s="28">
        <v>0</v>
      </c>
    </row>
    <row r="995" spans="1:12" ht="14.25" customHeight="1" x14ac:dyDescent="0.2">
      <c r="A995" s="28">
        <v>994</v>
      </c>
      <c r="B995" s="28" t="s">
        <v>1561</v>
      </c>
      <c r="C995" s="28" t="s">
        <v>1554</v>
      </c>
      <c r="D995" s="28" t="s">
        <v>1555</v>
      </c>
      <c r="E995" s="28" t="s">
        <v>211</v>
      </c>
      <c r="F995" s="28" t="s">
        <v>212</v>
      </c>
      <c r="G995" s="28" t="s">
        <v>1556</v>
      </c>
      <c r="H995" s="28">
        <v>6496742</v>
      </c>
      <c r="I995" s="28">
        <v>199523</v>
      </c>
      <c r="J995" s="28">
        <v>0.99</v>
      </c>
      <c r="K995" s="28">
        <v>25</v>
      </c>
      <c r="L995" s="28">
        <v>2</v>
      </c>
    </row>
    <row r="996" spans="1:12" ht="14.25" customHeight="1" x14ac:dyDescent="0.2">
      <c r="A996" s="28">
        <v>995</v>
      </c>
      <c r="B996" s="28" t="s">
        <v>1562</v>
      </c>
      <c r="C996" s="28" t="s">
        <v>1554</v>
      </c>
      <c r="D996" s="28" t="s">
        <v>1555</v>
      </c>
      <c r="E996" s="28" t="s">
        <v>211</v>
      </c>
      <c r="F996" s="28" t="s">
        <v>212</v>
      </c>
      <c r="G996" s="28" t="s">
        <v>1556</v>
      </c>
      <c r="H996" s="28">
        <v>9109340</v>
      </c>
      <c r="I996" s="28">
        <v>278700</v>
      </c>
      <c r="J996" s="28">
        <v>0.99</v>
      </c>
      <c r="K996" s="28">
        <v>58</v>
      </c>
      <c r="L996" s="28">
        <v>1</v>
      </c>
    </row>
    <row r="997" spans="1:12" ht="14.25" customHeight="1" x14ac:dyDescent="0.2">
      <c r="A997" s="28">
        <v>996</v>
      </c>
      <c r="B997" s="28" t="s">
        <v>1563</v>
      </c>
      <c r="C997" s="28" t="s">
        <v>1554</v>
      </c>
      <c r="D997" s="28" t="s">
        <v>1555</v>
      </c>
      <c r="E997" s="28" t="s">
        <v>211</v>
      </c>
      <c r="F997" s="28" t="s">
        <v>212</v>
      </c>
      <c r="G997" s="28" t="s">
        <v>1556</v>
      </c>
      <c r="H997" s="28">
        <v>9416186</v>
      </c>
      <c r="I997" s="28">
        <v>288731</v>
      </c>
      <c r="J997" s="28">
        <v>0.99</v>
      </c>
      <c r="K997" s="28">
        <v>4</v>
      </c>
      <c r="L997" s="28">
        <v>0</v>
      </c>
    </row>
    <row r="998" spans="1:12" ht="14.25" customHeight="1" x14ac:dyDescent="0.2">
      <c r="A998" s="28">
        <v>997</v>
      </c>
      <c r="B998" s="28" t="s">
        <v>1564</v>
      </c>
      <c r="C998" s="28" t="s">
        <v>1554</v>
      </c>
      <c r="D998" s="28" t="s">
        <v>1555</v>
      </c>
      <c r="E998" s="28" t="s">
        <v>211</v>
      </c>
      <c r="F998" s="28" t="s">
        <v>212</v>
      </c>
      <c r="G998" s="28" t="s">
        <v>1556</v>
      </c>
      <c r="H998" s="28">
        <v>7735473</v>
      </c>
      <c r="I998" s="28">
        <v>238419</v>
      </c>
      <c r="J998" s="28">
        <v>0.99</v>
      </c>
      <c r="K998" s="28">
        <v>45</v>
      </c>
      <c r="L998" s="28">
        <v>0</v>
      </c>
    </row>
    <row r="999" spans="1:12" ht="14.25" customHeight="1" x14ac:dyDescent="0.2">
      <c r="A999" s="28">
        <v>998</v>
      </c>
      <c r="B999" s="28" t="s">
        <v>1565</v>
      </c>
      <c r="C999" s="28" t="s">
        <v>1554</v>
      </c>
      <c r="D999" s="28" t="s">
        <v>1555</v>
      </c>
      <c r="E999" s="28" t="s">
        <v>211</v>
      </c>
      <c r="F999" s="28" t="s">
        <v>212</v>
      </c>
      <c r="G999" s="28" t="s">
        <v>1556</v>
      </c>
      <c r="H999" s="28">
        <v>11395296</v>
      </c>
      <c r="I999" s="28">
        <v>352078</v>
      </c>
      <c r="J999" s="28">
        <v>0.99</v>
      </c>
      <c r="K999" s="28">
        <v>69</v>
      </c>
      <c r="L999" s="28">
        <v>0</v>
      </c>
    </row>
    <row r="1000" spans="1:12" ht="14.25" customHeight="1" x14ac:dyDescent="0.2">
      <c r="A1000" s="28">
        <v>999</v>
      </c>
      <c r="B1000" s="28" t="s">
        <v>1566</v>
      </c>
      <c r="C1000" s="28" t="s">
        <v>1567</v>
      </c>
      <c r="D1000" s="28" t="s">
        <v>1555</v>
      </c>
      <c r="E1000" s="28" t="s">
        <v>211</v>
      </c>
      <c r="F1000" s="28" t="s">
        <v>212</v>
      </c>
      <c r="G1000" s="28" t="s">
        <v>1568</v>
      </c>
      <c r="H1000" s="28">
        <v>10323157</v>
      </c>
      <c r="I1000" s="28">
        <v>313182</v>
      </c>
      <c r="J1000" s="28">
        <v>0.99</v>
      </c>
      <c r="K1000" s="28">
        <v>24</v>
      </c>
      <c r="L1000" s="28">
        <v>1</v>
      </c>
    </row>
    <row r="1001" spans="1:12" ht="14.25" customHeight="1" x14ac:dyDescent="0.2">
      <c r="A1001" s="28">
        <v>1000</v>
      </c>
      <c r="B1001" s="28" t="s">
        <v>1569</v>
      </c>
      <c r="C1001" s="28" t="s">
        <v>1567</v>
      </c>
      <c r="D1001" s="28" t="s">
        <v>1555</v>
      </c>
      <c r="E1001" s="28" t="s">
        <v>211</v>
      </c>
      <c r="F1001" s="28" t="s">
        <v>212</v>
      </c>
      <c r="G1001" s="28" t="s">
        <v>1568</v>
      </c>
      <c r="H1001" s="28">
        <v>9929799</v>
      </c>
      <c r="I1001" s="28">
        <v>302994</v>
      </c>
      <c r="J1001" s="28">
        <v>0.99</v>
      </c>
      <c r="K1001" s="28">
        <v>64</v>
      </c>
      <c r="L1001" s="28">
        <v>1</v>
      </c>
    </row>
    <row r="1002" spans="1:12" ht="14.25" customHeight="1" x14ac:dyDescent="0.2">
      <c r="A1002" s="28">
        <v>1001</v>
      </c>
      <c r="B1002" s="28" t="s">
        <v>1570</v>
      </c>
      <c r="C1002" s="28" t="s">
        <v>1567</v>
      </c>
      <c r="D1002" s="28" t="s">
        <v>1555</v>
      </c>
      <c r="E1002" s="28" t="s">
        <v>211</v>
      </c>
      <c r="F1002" s="28" t="s">
        <v>212</v>
      </c>
      <c r="G1002" s="28" t="s">
        <v>1568</v>
      </c>
      <c r="H1002" s="28">
        <v>6877994</v>
      </c>
      <c r="I1002" s="28">
        <v>209684</v>
      </c>
      <c r="J1002" s="28">
        <v>0.99</v>
      </c>
      <c r="K1002" s="28">
        <v>78</v>
      </c>
      <c r="L1002" s="28">
        <v>0</v>
      </c>
    </row>
    <row r="1003" spans="1:12" ht="14.25" customHeight="1" x14ac:dyDescent="0.2">
      <c r="A1003" s="28">
        <v>1002</v>
      </c>
      <c r="B1003" s="28" t="s">
        <v>1571</v>
      </c>
      <c r="C1003" s="28" t="s">
        <v>1567</v>
      </c>
      <c r="D1003" s="28" t="s">
        <v>1555</v>
      </c>
      <c r="E1003" s="28" t="s">
        <v>211</v>
      </c>
      <c r="F1003" s="28" t="s">
        <v>212</v>
      </c>
      <c r="G1003" s="28" t="s">
        <v>1568</v>
      </c>
      <c r="H1003" s="28">
        <v>8752670</v>
      </c>
      <c r="I1003" s="28">
        <v>265848</v>
      </c>
      <c r="J1003" s="28">
        <v>0.99</v>
      </c>
      <c r="K1003" s="28">
        <v>97</v>
      </c>
      <c r="L1003" s="28">
        <v>0</v>
      </c>
    </row>
    <row r="1004" spans="1:12" ht="14.25" customHeight="1" x14ac:dyDescent="0.2">
      <c r="A1004" s="28">
        <v>1003</v>
      </c>
      <c r="B1004" s="28" t="s">
        <v>1572</v>
      </c>
      <c r="C1004" s="28" t="s">
        <v>1567</v>
      </c>
      <c r="D1004" s="28" t="s">
        <v>1555</v>
      </c>
      <c r="E1004" s="28" t="s">
        <v>211</v>
      </c>
      <c r="F1004" s="28" t="s">
        <v>212</v>
      </c>
      <c r="G1004" s="28" t="s">
        <v>1568</v>
      </c>
      <c r="H1004" s="28">
        <v>6355088</v>
      </c>
      <c r="I1004" s="28">
        <v>193280</v>
      </c>
      <c r="J1004" s="28">
        <v>0.99</v>
      </c>
      <c r="K1004" s="28">
        <v>87</v>
      </c>
      <c r="L1004" s="28">
        <v>1</v>
      </c>
    </row>
    <row r="1005" spans="1:12" ht="14.25" customHeight="1" x14ac:dyDescent="0.2">
      <c r="A1005" s="28">
        <v>1004</v>
      </c>
      <c r="B1005" s="28" t="s">
        <v>1573</v>
      </c>
      <c r="C1005" s="28" t="s">
        <v>1567</v>
      </c>
      <c r="D1005" s="28" t="s">
        <v>1555</v>
      </c>
      <c r="E1005" s="28" t="s">
        <v>211</v>
      </c>
      <c r="F1005" s="28" t="s">
        <v>212</v>
      </c>
      <c r="G1005" s="28" t="s">
        <v>1568</v>
      </c>
      <c r="H1005" s="28">
        <v>10428382</v>
      </c>
      <c r="I1005" s="28">
        <v>316264</v>
      </c>
      <c r="J1005" s="28">
        <v>0.99</v>
      </c>
      <c r="K1005" s="28">
        <v>28</v>
      </c>
      <c r="L1005" s="28">
        <v>1</v>
      </c>
    </row>
    <row r="1006" spans="1:12" ht="14.25" customHeight="1" x14ac:dyDescent="0.2">
      <c r="A1006" s="28">
        <v>1005</v>
      </c>
      <c r="B1006" s="28" t="s">
        <v>1574</v>
      </c>
      <c r="C1006" s="28" t="s">
        <v>1567</v>
      </c>
      <c r="D1006" s="28" t="s">
        <v>1555</v>
      </c>
      <c r="E1006" s="28" t="s">
        <v>211</v>
      </c>
      <c r="F1006" s="28" t="s">
        <v>212</v>
      </c>
      <c r="G1006" s="28" t="s">
        <v>1568</v>
      </c>
      <c r="H1006" s="28">
        <v>9071997</v>
      </c>
      <c r="I1006" s="28">
        <v>271908</v>
      </c>
      <c r="J1006" s="28">
        <v>0.99</v>
      </c>
      <c r="K1006" s="28">
        <v>67</v>
      </c>
      <c r="L1006" s="28">
        <v>0</v>
      </c>
    </row>
    <row r="1007" spans="1:12" ht="14.25" customHeight="1" x14ac:dyDescent="0.2">
      <c r="A1007" s="28">
        <v>1006</v>
      </c>
      <c r="B1007" s="28" t="s">
        <v>1575</v>
      </c>
      <c r="C1007" s="28" t="s">
        <v>1567</v>
      </c>
      <c r="D1007" s="28" t="s">
        <v>1555</v>
      </c>
      <c r="E1007" s="28" t="s">
        <v>211</v>
      </c>
      <c r="F1007" s="28" t="s">
        <v>212</v>
      </c>
      <c r="G1007" s="28" t="s">
        <v>1568</v>
      </c>
      <c r="H1007" s="28">
        <v>7494639</v>
      </c>
      <c r="I1007" s="28">
        <v>229198</v>
      </c>
      <c r="J1007" s="28">
        <v>0.99</v>
      </c>
      <c r="K1007" s="28">
        <v>20</v>
      </c>
      <c r="L1007" s="28">
        <v>1</v>
      </c>
    </row>
    <row r="1008" spans="1:12" ht="14.25" customHeight="1" x14ac:dyDescent="0.2">
      <c r="A1008" s="28">
        <v>1007</v>
      </c>
      <c r="B1008" s="28" t="s">
        <v>1576</v>
      </c>
      <c r="C1008" s="28" t="s">
        <v>1567</v>
      </c>
      <c r="D1008" s="28" t="s">
        <v>1555</v>
      </c>
      <c r="E1008" s="28" t="s">
        <v>211</v>
      </c>
      <c r="F1008" s="28" t="s">
        <v>212</v>
      </c>
      <c r="G1008" s="28" t="s">
        <v>1568</v>
      </c>
      <c r="H1008" s="28">
        <v>6596617</v>
      </c>
      <c r="I1008" s="28">
        <v>200724</v>
      </c>
      <c r="J1008" s="28">
        <v>0.99</v>
      </c>
      <c r="K1008" s="28">
        <v>71</v>
      </c>
      <c r="L1008" s="28">
        <v>0</v>
      </c>
    </row>
    <row r="1009" spans="1:12" ht="14.25" customHeight="1" x14ac:dyDescent="0.2">
      <c r="A1009" s="28">
        <v>1008</v>
      </c>
      <c r="B1009" s="28" t="s">
        <v>1577</v>
      </c>
      <c r="C1009" s="28" t="s">
        <v>1567</v>
      </c>
      <c r="D1009" s="28" t="s">
        <v>1555</v>
      </c>
      <c r="E1009" s="28" t="s">
        <v>211</v>
      </c>
      <c r="F1009" s="28" t="s">
        <v>212</v>
      </c>
      <c r="G1009" s="28" t="s">
        <v>1568</v>
      </c>
      <c r="H1009" s="28">
        <v>9721373</v>
      </c>
      <c r="I1009" s="28">
        <v>293276</v>
      </c>
      <c r="J1009" s="28">
        <v>0.99</v>
      </c>
      <c r="K1009" s="28">
        <v>22</v>
      </c>
      <c r="L1009" s="28">
        <v>1</v>
      </c>
    </row>
    <row r="1010" spans="1:12" ht="14.25" customHeight="1" x14ac:dyDescent="0.2">
      <c r="A1010" s="28">
        <v>1009</v>
      </c>
      <c r="B1010" s="28" t="s">
        <v>1578</v>
      </c>
      <c r="C1010" s="28" t="s">
        <v>1579</v>
      </c>
      <c r="D1010" s="28" t="s">
        <v>1555</v>
      </c>
      <c r="E1010" s="28" t="s">
        <v>211</v>
      </c>
      <c r="F1010" s="28" t="s">
        <v>348</v>
      </c>
      <c r="G1010" s="28" t="s">
        <v>1555</v>
      </c>
      <c r="H1010" s="28">
        <v>8665545</v>
      </c>
      <c r="I1010" s="28">
        <v>263653</v>
      </c>
      <c r="J1010" s="28">
        <v>0.99</v>
      </c>
      <c r="K1010" s="28">
        <v>1</v>
      </c>
      <c r="L1010" s="28">
        <v>0</v>
      </c>
    </row>
    <row r="1011" spans="1:12" ht="14.25" customHeight="1" x14ac:dyDescent="0.2">
      <c r="A1011" s="28">
        <v>1010</v>
      </c>
      <c r="B1011" s="28" t="s">
        <v>1580</v>
      </c>
      <c r="C1011" s="28" t="s">
        <v>1579</v>
      </c>
      <c r="D1011" s="28" t="s">
        <v>1555</v>
      </c>
      <c r="E1011" s="28" t="s">
        <v>211</v>
      </c>
      <c r="F1011" s="28" t="s">
        <v>348</v>
      </c>
      <c r="G1011" s="28" t="s">
        <v>1555</v>
      </c>
      <c r="H1011" s="28">
        <v>8847196</v>
      </c>
      <c r="I1011" s="28">
        <v>268120</v>
      </c>
      <c r="J1011" s="28">
        <v>0.99</v>
      </c>
      <c r="K1011" s="28">
        <v>39</v>
      </c>
      <c r="L1011" s="28">
        <v>0</v>
      </c>
    </row>
    <row r="1012" spans="1:12" ht="14.25" customHeight="1" x14ac:dyDescent="0.2">
      <c r="A1012" s="28">
        <v>1011</v>
      </c>
      <c r="B1012" s="28" t="s">
        <v>1581</v>
      </c>
      <c r="C1012" s="28" t="s">
        <v>1579</v>
      </c>
      <c r="D1012" s="28" t="s">
        <v>1555</v>
      </c>
      <c r="E1012" s="28" t="s">
        <v>211</v>
      </c>
      <c r="F1012" s="28" t="s">
        <v>348</v>
      </c>
      <c r="G1012" s="28" t="s">
        <v>1555</v>
      </c>
      <c r="H1012" s="28">
        <v>9729292</v>
      </c>
      <c r="I1012" s="28">
        <v>298057</v>
      </c>
      <c r="J1012" s="28">
        <v>0.99</v>
      </c>
      <c r="K1012" s="28">
        <v>58</v>
      </c>
      <c r="L1012" s="28">
        <v>0</v>
      </c>
    </row>
    <row r="1013" spans="1:12" ht="14.25" customHeight="1" x14ac:dyDescent="0.2">
      <c r="A1013" s="28">
        <v>1012</v>
      </c>
      <c r="B1013" s="28" t="s">
        <v>1582</v>
      </c>
      <c r="C1013" s="28" t="s">
        <v>1579</v>
      </c>
      <c r="D1013" s="28" t="s">
        <v>1555</v>
      </c>
      <c r="E1013" s="28" t="s">
        <v>211</v>
      </c>
      <c r="F1013" s="28" t="s">
        <v>348</v>
      </c>
      <c r="G1013" s="28" t="s">
        <v>1555</v>
      </c>
      <c r="H1013" s="28">
        <v>8624691</v>
      </c>
      <c r="I1013" s="28">
        <v>266370</v>
      </c>
      <c r="J1013" s="28">
        <v>0.99</v>
      </c>
      <c r="K1013" s="28">
        <v>53</v>
      </c>
      <c r="L1013" s="28">
        <v>2</v>
      </c>
    </row>
    <row r="1014" spans="1:12" ht="14.25" customHeight="1" x14ac:dyDescent="0.2">
      <c r="A1014" s="28">
        <v>1013</v>
      </c>
      <c r="B1014" s="28" t="s">
        <v>1583</v>
      </c>
      <c r="C1014" s="28" t="s">
        <v>1579</v>
      </c>
      <c r="D1014" s="28" t="s">
        <v>1555</v>
      </c>
      <c r="E1014" s="28" t="s">
        <v>211</v>
      </c>
      <c r="F1014" s="28" t="s">
        <v>348</v>
      </c>
      <c r="G1014" s="28" t="s">
        <v>1555</v>
      </c>
      <c r="H1014" s="28">
        <v>8919111</v>
      </c>
      <c r="I1014" s="28">
        <v>273528</v>
      </c>
      <c r="J1014" s="28">
        <v>0.99</v>
      </c>
      <c r="K1014" s="28">
        <v>32</v>
      </c>
      <c r="L1014" s="28">
        <v>1</v>
      </c>
    </row>
    <row r="1015" spans="1:12" ht="14.25" customHeight="1" x14ac:dyDescent="0.2">
      <c r="A1015" s="28">
        <v>1014</v>
      </c>
      <c r="B1015" s="28" t="s">
        <v>1584</v>
      </c>
      <c r="C1015" s="28" t="s">
        <v>1579</v>
      </c>
      <c r="D1015" s="28" t="s">
        <v>1555</v>
      </c>
      <c r="E1015" s="28" t="s">
        <v>211</v>
      </c>
      <c r="F1015" s="28" t="s">
        <v>348</v>
      </c>
      <c r="G1015" s="28" t="s">
        <v>1555</v>
      </c>
      <c r="H1015" s="28">
        <v>10094743</v>
      </c>
      <c r="I1015" s="28">
        <v>311353</v>
      </c>
      <c r="J1015" s="28">
        <v>0.99</v>
      </c>
      <c r="K1015" s="28">
        <v>1</v>
      </c>
      <c r="L1015" s="28">
        <v>0</v>
      </c>
    </row>
    <row r="1016" spans="1:12" ht="14.25" customHeight="1" x14ac:dyDescent="0.2">
      <c r="A1016" s="28">
        <v>1015</v>
      </c>
      <c r="B1016" s="28" t="s">
        <v>1585</v>
      </c>
      <c r="C1016" s="28" t="s">
        <v>1579</v>
      </c>
      <c r="D1016" s="28" t="s">
        <v>1555</v>
      </c>
      <c r="E1016" s="28" t="s">
        <v>211</v>
      </c>
      <c r="F1016" s="28" t="s">
        <v>348</v>
      </c>
      <c r="G1016" s="28" t="s">
        <v>1555</v>
      </c>
      <c r="H1016" s="28">
        <v>10026371</v>
      </c>
      <c r="I1016" s="28">
        <v>306442</v>
      </c>
      <c r="J1016" s="28">
        <v>0.99</v>
      </c>
      <c r="K1016" s="28">
        <v>4</v>
      </c>
      <c r="L1016" s="28">
        <v>0</v>
      </c>
    </row>
    <row r="1017" spans="1:12" ht="14.25" customHeight="1" x14ac:dyDescent="0.2">
      <c r="A1017" s="28">
        <v>1016</v>
      </c>
      <c r="B1017" s="28" t="s">
        <v>1586</v>
      </c>
      <c r="C1017" s="28" t="s">
        <v>1579</v>
      </c>
      <c r="D1017" s="28" t="s">
        <v>1555</v>
      </c>
      <c r="E1017" s="28" t="s">
        <v>211</v>
      </c>
      <c r="F1017" s="28" t="s">
        <v>348</v>
      </c>
      <c r="G1017" s="28" t="s">
        <v>1555</v>
      </c>
      <c r="H1017" s="28">
        <v>9022628</v>
      </c>
      <c r="I1017" s="28">
        <v>277185</v>
      </c>
      <c r="J1017" s="28">
        <v>0.99</v>
      </c>
      <c r="K1017" s="28">
        <v>55</v>
      </c>
      <c r="L1017" s="28">
        <v>0</v>
      </c>
    </row>
    <row r="1018" spans="1:12" ht="14.25" customHeight="1" x14ac:dyDescent="0.2">
      <c r="A1018" s="28">
        <v>1017</v>
      </c>
      <c r="B1018" s="28" t="s">
        <v>1587</v>
      </c>
      <c r="C1018" s="28" t="s">
        <v>1579</v>
      </c>
      <c r="D1018" s="28" t="s">
        <v>1555</v>
      </c>
      <c r="E1018" s="28" t="s">
        <v>211</v>
      </c>
      <c r="F1018" s="28" t="s">
        <v>348</v>
      </c>
      <c r="G1018" s="28" t="s">
        <v>1555</v>
      </c>
      <c r="H1018" s="28">
        <v>8793187</v>
      </c>
      <c r="I1018" s="28">
        <v>270550</v>
      </c>
      <c r="J1018" s="28">
        <v>0.99</v>
      </c>
      <c r="K1018" s="28">
        <v>51</v>
      </c>
      <c r="L1018" s="28">
        <v>1</v>
      </c>
    </row>
    <row r="1019" spans="1:12" ht="14.25" customHeight="1" x14ac:dyDescent="0.2">
      <c r="A1019" s="28">
        <v>1018</v>
      </c>
      <c r="B1019" s="28" t="s">
        <v>1588</v>
      </c>
      <c r="C1019" s="28" t="s">
        <v>1579</v>
      </c>
      <c r="D1019" s="28" t="s">
        <v>1555</v>
      </c>
      <c r="E1019" s="28" t="s">
        <v>211</v>
      </c>
      <c r="F1019" s="28" t="s">
        <v>348</v>
      </c>
      <c r="G1019" s="28" t="s">
        <v>1555</v>
      </c>
      <c r="H1019" s="28">
        <v>9678073</v>
      </c>
      <c r="I1019" s="28">
        <v>298396</v>
      </c>
      <c r="J1019" s="28">
        <v>0.99</v>
      </c>
      <c r="K1019" s="28">
        <v>71</v>
      </c>
      <c r="L1019" s="28">
        <v>1</v>
      </c>
    </row>
    <row r="1020" spans="1:12" ht="14.25" customHeight="1" x14ac:dyDescent="0.2">
      <c r="A1020" s="28">
        <v>1019</v>
      </c>
      <c r="B1020" s="28" t="s">
        <v>1589</v>
      </c>
      <c r="C1020" s="28" t="s">
        <v>1579</v>
      </c>
      <c r="D1020" s="28" t="s">
        <v>1555</v>
      </c>
      <c r="E1020" s="28" t="s">
        <v>211</v>
      </c>
      <c r="F1020" s="28" t="s">
        <v>348</v>
      </c>
      <c r="G1020" s="28" t="s">
        <v>1555</v>
      </c>
      <c r="H1020" s="28">
        <v>15371980</v>
      </c>
      <c r="I1020" s="28">
        <v>469968</v>
      </c>
      <c r="J1020" s="28">
        <v>0.99</v>
      </c>
      <c r="K1020" s="28">
        <v>67</v>
      </c>
      <c r="L1020" s="28">
        <v>0</v>
      </c>
    </row>
    <row r="1021" spans="1:12" ht="14.25" customHeight="1" x14ac:dyDescent="0.2">
      <c r="A1021" s="28">
        <v>1020</v>
      </c>
      <c r="B1021" s="28" t="s">
        <v>1590</v>
      </c>
      <c r="C1021" s="28" t="s">
        <v>1591</v>
      </c>
      <c r="D1021" s="28" t="s">
        <v>1555</v>
      </c>
      <c r="E1021" s="28" t="s">
        <v>211</v>
      </c>
      <c r="F1021" s="28" t="s">
        <v>212</v>
      </c>
      <c r="G1021" s="28" t="s">
        <v>1592</v>
      </c>
      <c r="H1021" s="28">
        <v>2702572</v>
      </c>
      <c r="I1021" s="28">
        <v>83487</v>
      </c>
      <c r="J1021" s="28">
        <v>0.99</v>
      </c>
      <c r="K1021" s="28">
        <v>84</v>
      </c>
      <c r="L1021" s="28">
        <v>0</v>
      </c>
    </row>
    <row r="1022" spans="1:12" ht="14.25" customHeight="1" x14ac:dyDescent="0.2">
      <c r="A1022" s="28">
        <v>1021</v>
      </c>
      <c r="B1022" s="28" t="s">
        <v>1593</v>
      </c>
      <c r="C1022" s="28" t="s">
        <v>1591</v>
      </c>
      <c r="D1022" s="28" t="s">
        <v>1555</v>
      </c>
      <c r="E1022" s="28" t="s">
        <v>211</v>
      </c>
      <c r="F1022" s="28" t="s">
        <v>212</v>
      </c>
      <c r="G1022" s="28" t="s">
        <v>1592</v>
      </c>
      <c r="H1022" s="28">
        <v>7527531</v>
      </c>
      <c r="I1022" s="28">
        <v>231523</v>
      </c>
      <c r="J1022" s="28">
        <v>0.99</v>
      </c>
      <c r="K1022" s="28">
        <v>95</v>
      </c>
      <c r="L1022" s="28">
        <v>1</v>
      </c>
    </row>
    <row r="1023" spans="1:12" ht="14.25" customHeight="1" x14ac:dyDescent="0.2">
      <c r="A1023" s="28">
        <v>1022</v>
      </c>
      <c r="B1023" s="28" t="s">
        <v>1594</v>
      </c>
      <c r="C1023" s="28" t="s">
        <v>1591</v>
      </c>
      <c r="D1023" s="28" t="s">
        <v>1555</v>
      </c>
      <c r="E1023" s="28" t="s">
        <v>211</v>
      </c>
      <c r="F1023" s="28" t="s">
        <v>212</v>
      </c>
      <c r="G1023" s="28" t="s">
        <v>1592</v>
      </c>
      <c r="H1023" s="28">
        <v>8079480</v>
      </c>
      <c r="I1023" s="28">
        <v>248528</v>
      </c>
      <c r="J1023" s="28">
        <v>0.99</v>
      </c>
      <c r="K1023" s="28">
        <v>14</v>
      </c>
      <c r="L1023" s="28">
        <v>1</v>
      </c>
    </row>
    <row r="1024" spans="1:12" ht="14.25" customHeight="1" x14ac:dyDescent="0.2">
      <c r="A1024" s="28">
        <v>1023</v>
      </c>
      <c r="B1024" s="28" t="s">
        <v>1595</v>
      </c>
      <c r="C1024" s="28" t="s">
        <v>1591</v>
      </c>
      <c r="D1024" s="28" t="s">
        <v>1555</v>
      </c>
      <c r="E1024" s="28" t="s">
        <v>211</v>
      </c>
      <c r="F1024" s="28" t="s">
        <v>212</v>
      </c>
      <c r="G1024" s="28" t="s">
        <v>1592</v>
      </c>
      <c r="H1024" s="28">
        <v>6973746</v>
      </c>
      <c r="I1024" s="28">
        <v>213446</v>
      </c>
      <c r="J1024" s="28">
        <v>0.99</v>
      </c>
      <c r="K1024" s="28">
        <v>4</v>
      </c>
      <c r="L1024" s="28">
        <v>0</v>
      </c>
    </row>
    <row r="1025" spans="1:12" ht="14.25" customHeight="1" x14ac:dyDescent="0.2">
      <c r="A1025" s="28">
        <v>1024</v>
      </c>
      <c r="B1025" s="28" t="s">
        <v>1596</v>
      </c>
      <c r="C1025" s="28" t="s">
        <v>1591</v>
      </c>
      <c r="D1025" s="28" t="s">
        <v>1555</v>
      </c>
      <c r="E1025" s="28" t="s">
        <v>211</v>
      </c>
      <c r="F1025" s="28" t="s">
        <v>212</v>
      </c>
      <c r="G1025" s="28" t="s">
        <v>1592</v>
      </c>
      <c r="H1025" s="28">
        <v>4950667</v>
      </c>
      <c r="I1025" s="28">
        <v>152163</v>
      </c>
      <c r="J1025" s="28">
        <v>0.99</v>
      </c>
      <c r="K1025" s="28">
        <v>99</v>
      </c>
      <c r="L1025" s="28">
        <v>0</v>
      </c>
    </row>
    <row r="1026" spans="1:12" ht="14.25" customHeight="1" x14ac:dyDescent="0.2">
      <c r="A1026" s="28">
        <v>1025</v>
      </c>
      <c r="B1026" s="28" t="s">
        <v>1597</v>
      </c>
      <c r="C1026" s="28" t="s">
        <v>1591</v>
      </c>
      <c r="D1026" s="28" t="s">
        <v>1555</v>
      </c>
      <c r="E1026" s="28" t="s">
        <v>211</v>
      </c>
      <c r="F1026" s="28" t="s">
        <v>212</v>
      </c>
      <c r="G1026" s="28" t="s">
        <v>1592</v>
      </c>
      <c r="H1026" s="28">
        <v>4406227</v>
      </c>
      <c r="I1026" s="28">
        <v>135732</v>
      </c>
      <c r="J1026" s="28">
        <v>0.99</v>
      </c>
      <c r="K1026" s="28">
        <v>88</v>
      </c>
      <c r="L1026" s="28">
        <v>0</v>
      </c>
    </row>
    <row r="1027" spans="1:12" ht="14.25" customHeight="1" x14ac:dyDescent="0.2">
      <c r="A1027" s="28">
        <v>1026</v>
      </c>
      <c r="B1027" s="28" t="s">
        <v>1598</v>
      </c>
      <c r="C1027" s="28" t="s">
        <v>1591</v>
      </c>
      <c r="D1027" s="28" t="s">
        <v>1555</v>
      </c>
      <c r="E1027" s="28" t="s">
        <v>211</v>
      </c>
      <c r="F1027" s="28" t="s">
        <v>212</v>
      </c>
      <c r="G1027" s="28" t="s">
        <v>1592</v>
      </c>
      <c r="H1027" s="28">
        <v>8472365</v>
      </c>
      <c r="I1027" s="28">
        <v>260101</v>
      </c>
      <c r="J1027" s="28">
        <v>0.99</v>
      </c>
      <c r="K1027" s="28">
        <v>37</v>
      </c>
      <c r="L1027" s="28">
        <v>1</v>
      </c>
    </row>
    <row r="1028" spans="1:12" ht="14.25" customHeight="1" x14ac:dyDescent="0.2">
      <c r="A1028" s="28">
        <v>1027</v>
      </c>
      <c r="B1028" s="28" t="s">
        <v>1599</v>
      </c>
      <c r="C1028" s="28" t="s">
        <v>1591</v>
      </c>
      <c r="D1028" s="28" t="s">
        <v>1555</v>
      </c>
      <c r="E1028" s="28" t="s">
        <v>211</v>
      </c>
      <c r="F1028" s="28" t="s">
        <v>212</v>
      </c>
      <c r="G1028" s="28" t="s">
        <v>1592</v>
      </c>
      <c r="H1028" s="28">
        <v>4888173</v>
      </c>
      <c r="I1028" s="28">
        <v>146782</v>
      </c>
      <c r="J1028" s="28">
        <v>0.99</v>
      </c>
      <c r="K1028" s="28">
        <v>90</v>
      </c>
      <c r="L1028" s="28">
        <v>1</v>
      </c>
    </row>
    <row r="1029" spans="1:12" ht="14.25" customHeight="1" x14ac:dyDescent="0.2">
      <c r="A1029" s="28">
        <v>1028</v>
      </c>
      <c r="B1029" s="28" t="s">
        <v>1600</v>
      </c>
      <c r="C1029" s="28" t="s">
        <v>1591</v>
      </c>
      <c r="D1029" s="28" t="s">
        <v>1555</v>
      </c>
      <c r="E1029" s="28" t="s">
        <v>211</v>
      </c>
      <c r="F1029" s="28" t="s">
        <v>212</v>
      </c>
      <c r="G1029" s="28" t="s">
        <v>1601</v>
      </c>
      <c r="H1029" s="28">
        <v>5169280</v>
      </c>
      <c r="I1029" s="28">
        <v>157387</v>
      </c>
      <c r="J1029" s="28">
        <v>0.99</v>
      </c>
      <c r="K1029" s="28">
        <v>47</v>
      </c>
      <c r="L1029" s="28">
        <v>0</v>
      </c>
    </row>
    <row r="1030" spans="1:12" ht="14.25" customHeight="1" x14ac:dyDescent="0.2">
      <c r="A1030" s="28">
        <v>1029</v>
      </c>
      <c r="B1030" s="28" t="s">
        <v>1602</v>
      </c>
      <c r="C1030" s="28" t="s">
        <v>1591</v>
      </c>
      <c r="D1030" s="28" t="s">
        <v>1555</v>
      </c>
      <c r="E1030" s="28" t="s">
        <v>211</v>
      </c>
      <c r="F1030" s="28" t="s">
        <v>212</v>
      </c>
      <c r="G1030" s="28" t="s">
        <v>1592</v>
      </c>
      <c r="H1030" s="28">
        <v>9344875</v>
      </c>
      <c r="I1030" s="28">
        <v>289306</v>
      </c>
      <c r="J1030" s="28">
        <v>0.99</v>
      </c>
      <c r="K1030" s="28">
        <v>76</v>
      </c>
      <c r="L1030" s="28">
        <v>0</v>
      </c>
    </row>
    <row r="1031" spans="1:12" ht="14.25" customHeight="1" x14ac:dyDescent="0.2">
      <c r="A1031" s="28">
        <v>1030</v>
      </c>
      <c r="B1031" s="28" t="s">
        <v>1603</v>
      </c>
      <c r="C1031" s="28" t="s">
        <v>1591</v>
      </c>
      <c r="D1031" s="28" t="s">
        <v>1555</v>
      </c>
      <c r="E1031" s="28" t="s">
        <v>211</v>
      </c>
      <c r="F1031" s="28" t="s">
        <v>212</v>
      </c>
      <c r="G1031" s="28" t="s">
        <v>1601</v>
      </c>
      <c r="H1031" s="28">
        <v>8270816</v>
      </c>
      <c r="I1031" s="28">
        <v>250749</v>
      </c>
      <c r="J1031" s="28">
        <v>0.99</v>
      </c>
      <c r="K1031" s="28">
        <v>80</v>
      </c>
      <c r="L1031" s="28">
        <v>1</v>
      </c>
    </row>
    <row r="1032" spans="1:12" ht="14.25" customHeight="1" x14ac:dyDescent="0.2">
      <c r="A1032" s="28">
        <v>1031</v>
      </c>
      <c r="B1032" s="28" t="s">
        <v>1604</v>
      </c>
      <c r="C1032" s="28" t="s">
        <v>1591</v>
      </c>
      <c r="D1032" s="28" t="s">
        <v>1555</v>
      </c>
      <c r="E1032" s="28" t="s">
        <v>211</v>
      </c>
      <c r="F1032" s="28" t="s">
        <v>212</v>
      </c>
      <c r="G1032" s="28" t="s">
        <v>1601</v>
      </c>
      <c r="H1032" s="28">
        <v>9898992</v>
      </c>
      <c r="I1032" s="28">
        <v>303856</v>
      </c>
      <c r="J1032" s="28">
        <v>0.99</v>
      </c>
      <c r="K1032" s="28">
        <v>45</v>
      </c>
      <c r="L1032" s="28">
        <v>1</v>
      </c>
    </row>
    <row r="1033" spans="1:12" ht="14.25" customHeight="1" x14ac:dyDescent="0.2">
      <c r="A1033" s="28">
        <v>1032</v>
      </c>
      <c r="B1033" s="28" t="s">
        <v>1605</v>
      </c>
      <c r="C1033" s="28" t="s">
        <v>1591</v>
      </c>
      <c r="D1033" s="28" t="s">
        <v>1555</v>
      </c>
      <c r="E1033" s="28" t="s">
        <v>211</v>
      </c>
      <c r="F1033" s="28" t="s">
        <v>212</v>
      </c>
      <c r="G1033" s="28" t="s">
        <v>1592</v>
      </c>
      <c r="H1033" s="28">
        <v>11205664</v>
      </c>
      <c r="I1033" s="28">
        <v>342230</v>
      </c>
      <c r="J1033" s="28">
        <v>0.99</v>
      </c>
      <c r="K1033" s="28">
        <v>97</v>
      </c>
      <c r="L1033" s="28">
        <v>0</v>
      </c>
    </row>
    <row r="1034" spans="1:12" ht="14.25" customHeight="1" x14ac:dyDescent="0.2">
      <c r="A1034" s="28">
        <v>1033</v>
      </c>
      <c r="B1034" s="28" t="s">
        <v>1606</v>
      </c>
      <c r="C1034" s="28" t="s">
        <v>1607</v>
      </c>
      <c r="D1034" s="28" t="s">
        <v>1608</v>
      </c>
      <c r="E1034" s="28" t="s">
        <v>211</v>
      </c>
      <c r="F1034" s="28" t="s">
        <v>1609</v>
      </c>
      <c r="G1034" s="28" t="s">
        <v>1610</v>
      </c>
      <c r="H1034" s="28">
        <v>8928684</v>
      </c>
      <c r="I1034" s="28">
        <v>275879</v>
      </c>
      <c r="J1034" s="28">
        <v>0.99</v>
      </c>
      <c r="K1034" s="28">
        <v>30</v>
      </c>
      <c r="L1034" s="28">
        <v>0</v>
      </c>
    </row>
    <row r="1035" spans="1:12" ht="14.25" customHeight="1" x14ac:dyDescent="0.2">
      <c r="A1035" s="28">
        <v>1034</v>
      </c>
      <c r="B1035" s="28" t="s">
        <v>1611</v>
      </c>
      <c r="C1035" s="28" t="s">
        <v>1607</v>
      </c>
      <c r="D1035" s="28" t="s">
        <v>1608</v>
      </c>
      <c r="E1035" s="28" t="s">
        <v>211</v>
      </c>
      <c r="F1035" s="28" t="s">
        <v>1609</v>
      </c>
      <c r="G1035" s="28" t="s">
        <v>1612</v>
      </c>
      <c r="H1035" s="28">
        <v>5055295</v>
      </c>
      <c r="I1035" s="28">
        <v>155794</v>
      </c>
      <c r="J1035" s="28">
        <v>0.99</v>
      </c>
      <c r="K1035" s="28">
        <v>14</v>
      </c>
      <c r="L1035" s="28">
        <v>0</v>
      </c>
    </row>
    <row r="1036" spans="1:12" ht="14.25" customHeight="1" x14ac:dyDescent="0.2">
      <c r="A1036" s="28">
        <v>1035</v>
      </c>
      <c r="B1036" s="28" t="s">
        <v>1613</v>
      </c>
      <c r="C1036" s="28" t="s">
        <v>1607</v>
      </c>
      <c r="D1036" s="28" t="s">
        <v>1608</v>
      </c>
      <c r="E1036" s="28" t="s">
        <v>211</v>
      </c>
      <c r="F1036" s="28" t="s">
        <v>1609</v>
      </c>
      <c r="G1036" s="28" t="s">
        <v>1614</v>
      </c>
      <c r="H1036" s="28">
        <v>6707993</v>
      </c>
      <c r="I1036" s="28">
        <v>206001</v>
      </c>
      <c r="J1036" s="28">
        <v>0.99</v>
      </c>
      <c r="K1036" s="28">
        <v>49</v>
      </c>
      <c r="L1036" s="28">
        <v>1</v>
      </c>
    </row>
    <row r="1037" spans="1:12" ht="14.25" customHeight="1" x14ac:dyDescent="0.2">
      <c r="A1037" s="28">
        <v>1036</v>
      </c>
      <c r="B1037" s="28" t="s">
        <v>1615</v>
      </c>
      <c r="C1037" s="28" t="s">
        <v>1607</v>
      </c>
      <c r="D1037" s="28" t="s">
        <v>1608</v>
      </c>
      <c r="E1037" s="28" t="s">
        <v>211</v>
      </c>
      <c r="F1037" s="28" t="s">
        <v>1609</v>
      </c>
      <c r="G1037" s="28" t="s">
        <v>1616</v>
      </c>
      <c r="H1037" s="28">
        <v>6332441</v>
      </c>
      <c r="I1037" s="28">
        <v>194429</v>
      </c>
      <c r="J1037" s="28">
        <v>0.99</v>
      </c>
      <c r="K1037" s="28">
        <v>13</v>
      </c>
      <c r="L1037" s="28">
        <v>1</v>
      </c>
    </row>
    <row r="1038" spans="1:12" ht="14.25" customHeight="1" x14ac:dyDescent="0.2">
      <c r="A1038" s="28">
        <v>1037</v>
      </c>
      <c r="B1038" s="28" t="s">
        <v>1617</v>
      </c>
      <c r="C1038" s="28" t="s">
        <v>1607</v>
      </c>
      <c r="D1038" s="28" t="s">
        <v>1608</v>
      </c>
      <c r="E1038" s="28" t="s">
        <v>211</v>
      </c>
      <c r="F1038" s="28" t="s">
        <v>1609</v>
      </c>
      <c r="G1038" s="28" t="s">
        <v>1618</v>
      </c>
      <c r="H1038" s="28">
        <v>5210643</v>
      </c>
      <c r="I1038" s="28">
        <v>158615</v>
      </c>
      <c r="J1038" s="28">
        <v>0.99</v>
      </c>
      <c r="K1038" s="28">
        <v>38</v>
      </c>
      <c r="L1038" s="28">
        <v>0</v>
      </c>
    </row>
    <row r="1039" spans="1:12" ht="14.25" customHeight="1" x14ac:dyDescent="0.2">
      <c r="A1039" s="28">
        <v>1038</v>
      </c>
      <c r="B1039" s="28" t="s">
        <v>1619</v>
      </c>
      <c r="C1039" s="28" t="s">
        <v>1607</v>
      </c>
      <c r="D1039" s="28" t="s">
        <v>1608</v>
      </c>
      <c r="E1039" s="28" t="s">
        <v>211</v>
      </c>
      <c r="F1039" s="28" t="s">
        <v>1609</v>
      </c>
      <c r="G1039" s="28" t="s">
        <v>1620</v>
      </c>
      <c r="H1039" s="28">
        <v>6395808</v>
      </c>
      <c r="I1039" s="28">
        <v>198922</v>
      </c>
      <c r="J1039" s="28">
        <v>0.99</v>
      </c>
      <c r="K1039" s="28">
        <v>59</v>
      </c>
      <c r="L1039" s="28">
        <v>0</v>
      </c>
    </row>
    <row r="1040" spans="1:12" ht="14.25" customHeight="1" x14ac:dyDescent="0.2">
      <c r="A1040" s="28">
        <v>1039</v>
      </c>
      <c r="B1040" s="28" t="s">
        <v>1621</v>
      </c>
      <c r="C1040" s="28" t="s">
        <v>1607</v>
      </c>
      <c r="D1040" s="28" t="s">
        <v>1608</v>
      </c>
      <c r="E1040" s="28" t="s">
        <v>211</v>
      </c>
      <c r="F1040" s="28" t="s">
        <v>1609</v>
      </c>
      <c r="G1040" s="28" t="s">
        <v>1622</v>
      </c>
      <c r="H1040" s="28">
        <v>4913383</v>
      </c>
      <c r="I1040" s="28">
        <v>149995</v>
      </c>
      <c r="J1040" s="28">
        <v>0.99</v>
      </c>
      <c r="K1040" s="28">
        <v>23</v>
      </c>
      <c r="L1040" s="28">
        <v>1</v>
      </c>
    </row>
    <row r="1041" spans="1:12" ht="14.25" customHeight="1" x14ac:dyDescent="0.2">
      <c r="A1041" s="28">
        <v>1040</v>
      </c>
      <c r="B1041" s="28" t="s">
        <v>1623</v>
      </c>
      <c r="C1041" s="28" t="s">
        <v>1607</v>
      </c>
      <c r="D1041" s="28" t="s">
        <v>1608</v>
      </c>
      <c r="E1041" s="28" t="s">
        <v>211</v>
      </c>
      <c r="F1041" s="28" t="s">
        <v>1609</v>
      </c>
      <c r="G1041" s="28" t="s">
        <v>1624</v>
      </c>
      <c r="H1041" s="28">
        <v>5693242</v>
      </c>
      <c r="I1041" s="28">
        <v>174994</v>
      </c>
      <c r="J1041" s="28">
        <v>0.99</v>
      </c>
      <c r="K1041" s="28">
        <v>16</v>
      </c>
      <c r="L1041" s="28">
        <v>1</v>
      </c>
    </row>
    <row r="1042" spans="1:12" ht="14.25" customHeight="1" x14ac:dyDescent="0.2">
      <c r="A1042" s="28">
        <v>1041</v>
      </c>
      <c r="B1042" s="28" t="s">
        <v>1625</v>
      </c>
      <c r="C1042" s="28" t="s">
        <v>1607</v>
      </c>
      <c r="D1042" s="28" t="s">
        <v>1608</v>
      </c>
      <c r="E1042" s="28" t="s">
        <v>211</v>
      </c>
      <c r="F1042" s="28" t="s">
        <v>1609</v>
      </c>
      <c r="G1042" s="28" t="s">
        <v>1626</v>
      </c>
      <c r="H1042" s="28">
        <v>5557537</v>
      </c>
      <c r="I1042" s="28">
        <v>171154</v>
      </c>
      <c r="J1042" s="28">
        <v>0.99</v>
      </c>
      <c r="K1042" s="28">
        <v>18</v>
      </c>
      <c r="L1042" s="28">
        <v>0</v>
      </c>
    </row>
    <row r="1043" spans="1:12" ht="14.25" customHeight="1" x14ac:dyDescent="0.2">
      <c r="A1043" s="28">
        <v>1042</v>
      </c>
      <c r="B1043" s="28" t="s">
        <v>1627</v>
      </c>
      <c r="C1043" s="28" t="s">
        <v>1607</v>
      </c>
      <c r="D1043" s="28" t="s">
        <v>1608</v>
      </c>
      <c r="E1043" s="28" t="s">
        <v>211</v>
      </c>
      <c r="F1043" s="28" t="s">
        <v>1609</v>
      </c>
      <c r="G1043" s="28" t="s">
        <v>1628</v>
      </c>
      <c r="H1043" s="28">
        <v>2930596</v>
      </c>
      <c r="I1043" s="28">
        <v>89730</v>
      </c>
      <c r="J1043" s="28">
        <v>0.99</v>
      </c>
      <c r="K1043" s="28">
        <v>91</v>
      </c>
      <c r="L1043" s="28">
        <v>0</v>
      </c>
    </row>
    <row r="1044" spans="1:12" ht="14.25" customHeight="1" x14ac:dyDescent="0.2">
      <c r="A1044" s="28">
        <v>1043</v>
      </c>
      <c r="B1044" s="28" t="s">
        <v>1629</v>
      </c>
      <c r="C1044" s="28" t="s">
        <v>1607</v>
      </c>
      <c r="D1044" s="28" t="s">
        <v>1608</v>
      </c>
      <c r="E1044" s="28" t="s">
        <v>211</v>
      </c>
      <c r="F1044" s="28" t="s">
        <v>1609</v>
      </c>
      <c r="G1044" s="28" t="s">
        <v>1630</v>
      </c>
      <c r="H1044" s="28">
        <v>5240043</v>
      </c>
      <c r="I1044" s="28">
        <v>161227</v>
      </c>
      <c r="J1044" s="28">
        <v>0.99</v>
      </c>
      <c r="K1044" s="28">
        <v>5</v>
      </c>
      <c r="L1044" s="28">
        <v>0</v>
      </c>
    </row>
    <row r="1045" spans="1:12" ht="14.25" customHeight="1" x14ac:dyDescent="0.2">
      <c r="A1045" s="28">
        <v>1044</v>
      </c>
      <c r="B1045" s="28" t="s">
        <v>1631</v>
      </c>
      <c r="C1045" s="28" t="s">
        <v>1607</v>
      </c>
      <c r="D1045" s="28" t="s">
        <v>1608</v>
      </c>
      <c r="E1045" s="28" t="s">
        <v>211</v>
      </c>
      <c r="F1045" s="28" t="s">
        <v>1609</v>
      </c>
      <c r="G1045" s="28" t="s">
        <v>1628</v>
      </c>
      <c r="H1045" s="28">
        <v>6119915</v>
      </c>
      <c r="I1045" s="28">
        <v>188499</v>
      </c>
      <c r="J1045" s="28">
        <v>0.99</v>
      </c>
      <c r="K1045" s="28">
        <v>83</v>
      </c>
      <c r="L1045" s="28">
        <v>1</v>
      </c>
    </row>
    <row r="1046" spans="1:12" ht="14.25" customHeight="1" x14ac:dyDescent="0.2">
      <c r="A1046" s="28">
        <v>1045</v>
      </c>
      <c r="B1046" s="28" t="s">
        <v>1632</v>
      </c>
      <c r="C1046" s="28" t="s">
        <v>1607</v>
      </c>
      <c r="D1046" s="28" t="s">
        <v>1608</v>
      </c>
      <c r="E1046" s="28" t="s">
        <v>211</v>
      </c>
      <c r="F1046" s="28" t="s">
        <v>1609</v>
      </c>
      <c r="G1046" s="28" t="s">
        <v>1633</v>
      </c>
      <c r="H1046" s="28">
        <v>4856954</v>
      </c>
      <c r="I1046" s="28">
        <v>149263</v>
      </c>
      <c r="J1046" s="28">
        <v>0.99</v>
      </c>
      <c r="K1046" s="28">
        <v>80</v>
      </c>
      <c r="L1046" s="28">
        <v>1</v>
      </c>
    </row>
    <row r="1047" spans="1:12" ht="14.25" customHeight="1" x14ac:dyDescent="0.2">
      <c r="A1047" s="28">
        <v>1046</v>
      </c>
      <c r="B1047" s="28" t="s">
        <v>1634</v>
      </c>
      <c r="C1047" s="28" t="s">
        <v>1607</v>
      </c>
      <c r="D1047" s="28" t="s">
        <v>1608</v>
      </c>
      <c r="E1047" s="28" t="s">
        <v>211</v>
      </c>
      <c r="F1047" s="28" t="s">
        <v>1609</v>
      </c>
      <c r="G1047" s="28" t="s">
        <v>1616</v>
      </c>
      <c r="H1047" s="28">
        <v>6883787</v>
      </c>
      <c r="I1047" s="28">
        <v>210808</v>
      </c>
      <c r="J1047" s="28">
        <v>0.99</v>
      </c>
      <c r="K1047" s="28">
        <v>76</v>
      </c>
      <c r="L1047" s="28">
        <v>0</v>
      </c>
    </row>
    <row r="1048" spans="1:12" ht="14.25" customHeight="1" x14ac:dyDescent="0.2">
      <c r="A1048" s="28">
        <v>1047</v>
      </c>
      <c r="B1048" s="28" t="s">
        <v>1635</v>
      </c>
      <c r="C1048" s="28" t="s">
        <v>1607</v>
      </c>
      <c r="D1048" s="28" t="s">
        <v>1608</v>
      </c>
      <c r="E1048" s="28" t="s">
        <v>211</v>
      </c>
      <c r="F1048" s="28" t="s">
        <v>1609</v>
      </c>
      <c r="G1048" s="28" t="s">
        <v>1636</v>
      </c>
      <c r="H1048" s="28">
        <v>5633730</v>
      </c>
      <c r="I1048" s="28">
        <v>173583</v>
      </c>
      <c r="J1048" s="28">
        <v>0.99</v>
      </c>
      <c r="K1048" s="28">
        <v>5</v>
      </c>
      <c r="L1048" s="28">
        <v>0</v>
      </c>
    </row>
    <row r="1049" spans="1:12" ht="14.25" customHeight="1" x14ac:dyDescent="0.2">
      <c r="A1049" s="28">
        <v>1048</v>
      </c>
      <c r="B1049" s="28" t="s">
        <v>1637</v>
      </c>
      <c r="C1049" s="28" t="s">
        <v>1607</v>
      </c>
      <c r="D1049" s="28" t="s">
        <v>1608</v>
      </c>
      <c r="E1049" s="28" t="s">
        <v>211</v>
      </c>
      <c r="F1049" s="28" t="s">
        <v>1609</v>
      </c>
      <c r="G1049" s="28" t="s">
        <v>1638</v>
      </c>
      <c r="H1049" s="28">
        <v>8554066</v>
      </c>
      <c r="I1049" s="28">
        <v>266605</v>
      </c>
      <c r="J1049" s="28">
        <v>0.99</v>
      </c>
      <c r="K1049" s="28">
        <v>45</v>
      </c>
      <c r="L1049" s="28">
        <v>1</v>
      </c>
    </row>
    <row r="1050" spans="1:12" ht="14.25" customHeight="1" x14ac:dyDescent="0.2">
      <c r="A1050" s="28">
        <v>1049</v>
      </c>
      <c r="B1050" s="28" t="s">
        <v>1639</v>
      </c>
      <c r="C1050" s="28" t="s">
        <v>1607</v>
      </c>
      <c r="D1050" s="28" t="s">
        <v>1608</v>
      </c>
      <c r="E1050" s="28" t="s">
        <v>211</v>
      </c>
      <c r="F1050" s="28" t="s">
        <v>1609</v>
      </c>
      <c r="G1050" s="28" t="s">
        <v>1628</v>
      </c>
      <c r="H1050" s="28">
        <v>6231029</v>
      </c>
      <c r="I1050" s="28">
        <v>190458</v>
      </c>
      <c r="J1050" s="28">
        <v>0.99</v>
      </c>
      <c r="K1050" s="28">
        <v>96</v>
      </c>
      <c r="L1050" s="28">
        <v>1</v>
      </c>
    </row>
    <row r="1051" spans="1:12" ht="14.25" customHeight="1" x14ac:dyDescent="0.2">
      <c r="A1051" s="28">
        <v>1050</v>
      </c>
      <c r="B1051" s="28" t="s">
        <v>1640</v>
      </c>
      <c r="C1051" s="28" t="s">
        <v>1607</v>
      </c>
      <c r="D1051" s="28" t="s">
        <v>1608</v>
      </c>
      <c r="E1051" s="28" t="s">
        <v>211</v>
      </c>
      <c r="F1051" s="28" t="s">
        <v>1609</v>
      </c>
      <c r="G1051" s="28" t="s">
        <v>1641</v>
      </c>
      <c r="H1051" s="28">
        <v>6095727</v>
      </c>
      <c r="I1051" s="28">
        <v>187010</v>
      </c>
      <c r="J1051" s="28">
        <v>0.99</v>
      </c>
      <c r="K1051" s="28">
        <v>25</v>
      </c>
      <c r="L1051" s="28">
        <v>0</v>
      </c>
    </row>
    <row r="1052" spans="1:12" ht="14.25" customHeight="1" x14ac:dyDescent="0.2">
      <c r="A1052" s="28">
        <v>1051</v>
      </c>
      <c r="B1052" s="28" t="s">
        <v>1642</v>
      </c>
      <c r="C1052" s="28" t="s">
        <v>1607</v>
      </c>
      <c r="D1052" s="28" t="s">
        <v>1608</v>
      </c>
      <c r="E1052" s="28" t="s">
        <v>211</v>
      </c>
      <c r="F1052" s="28" t="s">
        <v>1609</v>
      </c>
      <c r="G1052" s="28" t="s">
        <v>1643</v>
      </c>
      <c r="H1052" s="28">
        <v>6410674</v>
      </c>
      <c r="I1052" s="28">
        <v>193750</v>
      </c>
      <c r="J1052" s="28">
        <v>0.99</v>
      </c>
      <c r="K1052" s="28">
        <v>75</v>
      </c>
      <c r="L1052" s="28">
        <v>0</v>
      </c>
    </row>
    <row r="1053" spans="1:12" ht="14.25" customHeight="1" x14ac:dyDescent="0.2">
      <c r="A1053" s="28">
        <v>1052</v>
      </c>
      <c r="B1053" s="28" t="s">
        <v>1644</v>
      </c>
      <c r="C1053" s="28" t="s">
        <v>1607</v>
      </c>
      <c r="D1053" s="28" t="s">
        <v>1608</v>
      </c>
      <c r="E1053" s="28" t="s">
        <v>211</v>
      </c>
      <c r="F1053" s="28" t="s">
        <v>1609</v>
      </c>
      <c r="G1053" s="28" t="s">
        <v>1645</v>
      </c>
      <c r="H1053" s="28">
        <v>5987372</v>
      </c>
      <c r="I1053" s="28">
        <v>184111</v>
      </c>
      <c r="J1053" s="28">
        <v>0.99</v>
      </c>
      <c r="K1053" s="28">
        <v>95</v>
      </c>
      <c r="L1053" s="28">
        <v>0</v>
      </c>
    </row>
    <row r="1054" spans="1:12" ht="14.25" customHeight="1" x14ac:dyDescent="0.2">
      <c r="A1054" s="28">
        <v>1053</v>
      </c>
      <c r="B1054" s="28" t="s">
        <v>1646</v>
      </c>
      <c r="C1054" s="28" t="s">
        <v>1607</v>
      </c>
      <c r="D1054" s="28" t="s">
        <v>1608</v>
      </c>
      <c r="E1054" s="28" t="s">
        <v>211</v>
      </c>
      <c r="F1054" s="28" t="s">
        <v>1609</v>
      </c>
      <c r="G1054" s="28" t="s">
        <v>1647</v>
      </c>
      <c r="H1054" s="28">
        <v>5548581</v>
      </c>
      <c r="I1054" s="28">
        <v>169900</v>
      </c>
      <c r="J1054" s="28">
        <v>0.99</v>
      </c>
      <c r="K1054" s="28">
        <v>87</v>
      </c>
      <c r="L1054" s="28">
        <v>1</v>
      </c>
    </row>
    <row r="1055" spans="1:12" ht="14.25" customHeight="1" x14ac:dyDescent="0.2">
      <c r="A1055" s="28">
        <v>1054</v>
      </c>
      <c r="B1055" s="28" t="s">
        <v>1648</v>
      </c>
      <c r="C1055" s="28" t="s">
        <v>1607</v>
      </c>
      <c r="D1055" s="28" t="s">
        <v>1608</v>
      </c>
      <c r="E1055" s="28" t="s">
        <v>211</v>
      </c>
      <c r="F1055" s="28" t="s">
        <v>1609</v>
      </c>
      <c r="G1055" s="28" t="s">
        <v>1649</v>
      </c>
      <c r="H1055" s="28">
        <v>9541052</v>
      </c>
      <c r="I1055" s="28">
        <v>292075</v>
      </c>
      <c r="J1055" s="28">
        <v>0.99</v>
      </c>
      <c r="K1055" s="28">
        <v>13</v>
      </c>
      <c r="L1055" s="28">
        <v>1</v>
      </c>
    </row>
    <row r="1056" spans="1:12" ht="14.25" customHeight="1" x14ac:dyDescent="0.2">
      <c r="A1056" s="28">
        <v>1055</v>
      </c>
      <c r="B1056" s="28" t="s">
        <v>1650</v>
      </c>
      <c r="C1056" s="28" t="s">
        <v>1607</v>
      </c>
      <c r="D1056" s="28" t="s">
        <v>1608</v>
      </c>
      <c r="E1056" s="28" t="s">
        <v>211</v>
      </c>
      <c r="F1056" s="28" t="s">
        <v>1609</v>
      </c>
      <c r="G1056" s="28" t="s">
        <v>1651</v>
      </c>
      <c r="H1056" s="28">
        <v>6645365</v>
      </c>
      <c r="I1056" s="28">
        <v>203964</v>
      </c>
      <c r="J1056" s="28">
        <v>0.99</v>
      </c>
      <c r="K1056" s="28">
        <v>87</v>
      </c>
      <c r="L1056" s="28">
        <v>0</v>
      </c>
    </row>
    <row r="1057" spans="1:12" ht="14.25" customHeight="1" x14ac:dyDescent="0.2">
      <c r="A1057" s="28">
        <v>1056</v>
      </c>
      <c r="B1057" s="28" t="s">
        <v>1652</v>
      </c>
      <c r="C1057" s="28" t="s">
        <v>1607</v>
      </c>
      <c r="D1057" s="28" t="s">
        <v>1608</v>
      </c>
      <c r="E1057" s="28" t="s">
        <v>211</v>
      </c>
      <c r="F1057" s="28" t="s">
        <v>1609</v>
      </c>
      <c r="G1057" s="28" t="s">
        <v>1653</v>
      </c>
      <c r="H1057" s="28">
        <v>6378511</v>
      </c>
      <c r="I1057" s="28">
        <v>193175</v>
      </c>
      <c r="J1057" s="28">
        <v>0.99</v>
      </c>
      <c r="K1057" s="28">
        <v>70</v>
      </c>
      <c r="L1057" s="28">
        <v>0</v>
      </c>
    </row>
    <row r="1058" spans="1:12" ht="14.25" customHeight="1" x14ac:dyDescent="0.2">
      <c r="A1058" s="28">
        <v>1057</v>
      </c>
      <c r="B1058" s="28" t="s">
        <v>1654</v>
      </c>
      <c r="C1058" s="28" t="s">
        <v>1655</v>
      </c>
      <c r="D1058" s="28" t="s">
        <v>1656</v>
      </c>
      <c r="E1058" s="28" t="s">
        <v>211</v>
      </c>
      <c r="F1058" s="28" t="s">
        <v>490</v>
      </c>
      <c r="G1058" s="28"/>
      <c r="H1058" s="28">
        <v>5840027</v>
      </c>
      <c r="I1058" s="28">
        <v>179252</v>
      </c>
      <c r="J1058" s="28">
        <v>0.99</v>
      </c>
      <c r="K1058" s="28">
        <v>27</v>
      </c>
      <c r="L1058" s="28">
        <v>1</v>
      </c>
    </row>
    <row r="1059" spans="1:12" ht="14.25" customHeight="1" x14ac:dyDescent="0.2">
      <c r="A1059" s="28">
        <v>1058</v>
      </c>
      <c r="B1059" s="28" t="s">
        <v>1657</v>
      </c>
      <c r="C1059" s="28" t="s">
        <v>1655</v>
      </c>
      <c r="D1059" s="28" t="s">
        <v>1656</v>
      </c>
      <c r="E1059" s="28" t="s">
        <v>211</v>
      </c>
      <c r="F1059" s="28" t="s">
        <v>490</v>
      </c>
      <c r="G1059" s="28"/>
      <c r="H1059" s="28">
        <v>7680421</v>
      </c>
      <c r="I1059" s="28">
        <v>229537</v>
      </c>
      <c r="J1059" s="28">
        <v>0.99</v>
      </c>
      <c r="K1059" s="28">
        <v>94</v>
      </c>
      <c r="L1059" s="28">
        <v>1</v>
      </c>
    </row>
    <row r="1060" spans="1:12" ht="14.25" customHeight="1" x14ac:dyDescent="0.2">
      <c r="A1060" s="28">
        <v>1059</v>
      </c>
      <c r="B1060" s="28" t="s">
        <v>1658</v>
      </c>
      <c r="C1060" s="28" t="s">
        <v>1655</v>
      </c>
      <c r="D1060" s="28" t="s">
        <v>1656</v>
      </c>
      <c r="E1060" s="28" t="s">
        <v>211</v>
      </c>
      <c r="F1060" s="28" t="s">
        <v>490</v>
      </c>
      <c r="G1060" s="28"/>
      <c r="H1060" s="28">
        <v>7866165</v>
      </c>
      <c r="I1060" s="28">
        <v>237191</v>
      </c>
      <c r="J1060" s="28">
        <v>0.99</v>
      </c>
      <c r="K1060" s="28">
        <v>88</v>
      </c>
      <c r="L1060" s="28">
        <v>0</v>
      </c>
    </row>
    <row r="1061" spans="1:12" ht="14.25" customHeight="1" x14ac:dyDescent="0.2">
      <c r="A1061" s="28">
        <v>1060</v>
      </c>
      <c r="B1061" s="28" t="s">
        <v>1659</v>
      </c>
      <c r="C1061" s="28" t="s">
        <v>1655</v>
      </c>
      <c r="D1061" s="28" t="s">
        <v>1656</v>
      </c>
      <c r="E1061" s="28" t="s">
        <v>211</v>
      </c>
      <c r="F1061" s="28" t="s">
        <v>490</v>
      </c>
      <c r="G1061" s="28"/>
      <c r="H1061" s="28">
        <v>7920510</v>
      </c>
      <c r="I1061" s="28">
        <v>236617</v>
      </c>
      <c r="J1061" s="28">
        <v>0.99</v>
      </c>
      <c r="K1061" s="28">
        <v>43</v>
      </c>
      <c r="L1061" s="28">
        <v>0</v>
      </c>
    </row>
    <row r="1062" spans="1:12" ht="14.25" customHeight="1" x14ac:dyDescent="0.2">
      <c r="A1062" s="28">
        <v>1061</v>
      </c>
      <c r="B1062" s="28" t="s">
        <v>1660</v>
      </c>
      <c r="C1062" s="28" t="s">
        <v>1655</v>
      </c>
      <c r="D1062" s="28" t="s">
        <v>1656</v>
      </c>
      <c r="E1062" s="28" t="s">
        <v>211</v>
      </c>
      <c r="F1062" s="28" t="s">
        <v>490</v>
      </c>
      <c r="G1062" s="28"/>
      <c r="H1062" s="28">
        <v>10567404</v>
      </c>
      <c r="I1062" s="28">
        <v>321332</v>
      </c>
      <c r="J1062" s="28">
        <v>0.99</v>
      </c>
      <c r="K1062" s="28">
        <v>73</v>
      </c>
      <c r="L1062" s="28">
        <v>0</v>
      </c>
    </row>
    <row r="1063" spans="1:12" ht="14.25" customHeight="1" x14ac:dyDescent="0.2">
      <c r="A1063" s="28">
        <v>1062</v>
      </c>
      <c r="B1063" s="28" t="s">
        <v>1661</v>
      </c>
      <c r="C1063" s="28" t="s">
        <v>1655</v>
      </c>
      <c r="D1063" s="28" t="s">
        <v>1656</v>
      </c>
      <c r="E1063" s="28" t="s">
        <v>211</v>
      </c>
      <c r="F1063" s="28" t="s">
        <v>490</v>
      </c>
      <c r="G1063" s="28"/>
      <c r="H1063" s="28">
        <v>10030604</v>
      </c>
      <c r="I1063" s="28">
        <v>301113</v>
      </c>
      <c r="J1063" s="28">
        <v>0.99</v>
      </c>
      <c r="K1063" s="28">
        <v>76</v>
      </c>
      <c r="L1063" s="28">
        <v>1</v>
      </c>
    </row>
    <row r="1064" spans="1:12" ht="14.25" customHeight="1" x14ac:dyDescent="0.2">
      <c r="A1064" s="28">
        <v>1063</v>
      </c>
      <c r="B1064" s="28" t="s">
        <v>1662</v>
      </c>
      <c r="C1064" s="28" t="s">
        <v>1655</v>
      </c>
      <c r="D1064" s="28" t="s">
        <v>1656</v>
      </c>
      <c r="E1064" s="28" t="s">
        <v>211</v>
      </c>
      <c r="F1064" s="28" t="s">
        <v>490</v>
      </c>
      <c r="G1064" s="28"/>
      <c r="H1064" s="28">
        <v>8084475</v>
      </c>
      <c r="I1064" s="28">
        <v>244453</v>
      </c>
      <c r="J1064" s="28">
        <v>0.99</v>
      </c>
      <c r="K1064" s="28">
        <v>0</v>
      </c>
      <c r="L1064" s="28">
        <v>1</v>
      </c>
    </row>
    <row r="1065" spans="1:12" ht="14.25" customHeight="1" x14ac:dyDescent="0.2">
      <c r="A1065" s="28">
        <v>1064</v>
      </c>
      <c r="B1065" s="28" t="s">
        <v>1663</v>
      </c>
      <c r="C1065" s="28" t="s">
        <v>1655</v>
      </c>
      <c r="D1065" s="28" t="s">
        <v>1656</v>
      </c>
      <c r="E1065" s="28" t="s">
        <v>211</v>
      </c>
      <c r="F1065" s="28" t="s">
        <v>490</v>
      </c>
      <c r="G1065" s="28"/>
      <c r="H1065" s="28">
        <v>7347172</v>
      </c>
      <c r="I1065" s="28">
        <v>221727</v>
      </c>
      <c r="J1065" s="28">
        <v>0.99</v>
      </c>
      <c r="K1065" s="28">
        <v>54</v>
      </c>
      <c r="L1065" s="28">
        <v>0</v>
      </c>
    </row>
    <row r="1066" spans="1:12" ht="14.25" customHeight="1" x14ac:dyDescent="0.2">
      <c r="A1066" s="28">
        <v>1065</v>
      </c>
      <c r="B1066" s="28" t="s">
        <v>1664</v>
      </c>
      <c r="C1066" s="28" t="s">
        <v>1655</v>
      </c>
      <c r="D1066" s="28" t="s">
        <v>1656</v>
      </c>
      <c r="E1066" s="28" t="s">
        <v>211</v>
      </c>
      <c r="F1066" s="28" t="s">
        <v>490</v>
      </c>
      <c r="G1066" s="28" t="s">
        <v>1665</v>
      </c>
      <c r="H1066" s="28">
        <v>10603717</v>
      </c>
      <c r="I1066" s="28">
        <v>322821</v>
      </c>
      <c r="J1066" s="28">
        <v>0.99</v>
      </c>
      <c r="K1066" s="28">
        <v>95</v>
      </c>
      <c r="L1066" s="28">
        <v>0</v>
      </c>
    </row>
    <row r="1067" spans="1:12" ht="14.25" customHeight="1" x14ac:dyDescent="0.2">
      <c r="A1067" s="28">
        <v>1066</v>
      </c>
      <c r="B1067" s="28" t="s">
        <v>1666</v>
      </c>
      <c r="C1067" s="28" t="s">
        <v>1655</v>
      </c>
      <c r="D1067" s="28" t="s">
        <v>1656</v>
      </c>
      <c r="E1067" s="28" t="s">
        <v>211</v>
      </c>
      <c r="F1067" s="28" t="s">
        <v>490</v>
      </c>
      <c r="G1067" s="28"/>
      <c r="H1067" s="28">
        <v>10833935</v>
      </c>
      <c r="I1067" s="28">
        <v>324597</v>
      </c>
      <c r="J1067" s="28">
        <v>0.99</v>
      </c>
      <c r="K1067" s="28">
        <v>53</v>
      </c>
      <c r="L1067" s="28">
        <v>1</v>
      </c>
    </row>
    <row r="1068" spans="1:12" ht="14.25" customHeight="1" x14ac:dyDescent="0.2">
      <c r="A1068" s="28">
        <v>1067</v>
      </c>
      <c r="B1068" s="28" t="s">
        <v>1667</v>
      </c>
      <c r="C1068" s="28" t="s">
        <v>1655</v>
      </c>
      <c r="D1068" s="28" t="s">
        <v>1656</v>
      </c>
      <c r="E1068" s="28" t="s">
        <v>211</v>
      </c>
      <c r="F1068" s="28" t="s">
        <v>490</v>
      </c>
      <c r="G1068" s="28"/>
      <c r="H1068" s="28">
        <v>8216625</v>
      </c>
      <c r="I1068" s="28">
        <v>248528</v>
      </c>
      <c r="J1068" s="28">
        <v>0.99</v>
      </c>
      <c r="K1068" s="28">
        <v>64</v>
      </c>
      <c r="L1068" s="28">
        <v>1</v>
      </c>
    </row>
    <row r="1069" spans="1:12" ht="14.25" customHeight="1" x14ac:dyDescent="0.2">
      <c r="A1069" s="28">
        <v>1068</v>
      </c>
      <c r="B1069" s="28" t="s">
        <v>1668</v>
      </c>
      <c r="C1069" s="28" t="s">
        <v>1655</v>
      </c>
      <c r="D1069" s="28" t="s">
        <v>1656</v>
      </c>
      <c r="E1069" s="28" t="s">
        <v>211</v>
      </c>
      <c r="F1069" s="28" t="s">
        <v>490</v>
      </c>
      <c r="G1069" s="28"/>
      <c r="H1069" s="28">
        <v>7041077</v>
      </c>
      <c r="I1069" s="28">
        <v>213498</v>
      </c>
      <c r="J1069" s="28">
        <v>0.99</v>
      </c>
      <c r="K1069" s="28">
        <v>54</v>
      </c>
      <c r="L1069" s="28">
        <v>0</v>
      </c>
    </row>
    <row r="1070" spans="1:12" ht="14.25" customHeight="1" x14ac:dyDescent="0.2">
      <c r="A1070" s="28">
        <v>1069</v>
      </c>
      <c r="B1070" s="28" t="s">
        <v>1669</v>
      </c>
      <c r="C1070" s="28" t="s">
        <v>1655</v>
      </c>
      <c r="D1070" s="28" t="s">
        <v>1656</v>
      </c>
      <c r="E1070" s="28" t="s">
        <v>211</v>
      </c>
      <c r="F1070" s="28" t="s">
        <v>490</v>
      </c>
      <c r="G1070" s="28"/>
      <c r="H1070" s="28">
        <v>17533664</v>
      </c>
      <c r="I1070" s="28">
        <v>526132</v>
      </c>
      <c r="J1070" s="28">
        <v>0.99</v>
      </c>
      <c r="K1070" s="28">
        <v>82</v>
      </c>
      <c r="L1070" s="28">
        <v>0</v>
      </c>
    </row>
    <row r="1071" spans="1:12" ht="14.25" customHeight="1" x14ac:dyDescent="0.2">
      <c r="A1071" s="28">
        <v>1070</v>
      </c>
      <c r="B1071" s="28" t="s">
        <v>1670</v>
      </c>
      <c r="C1071" s="28" t="s">
        <v>1655</v>
      </c>
      <c r="D1071" s="28" t="s">
        <v>1656</v>
      </c>
      <c r="E1071" s="28" t="s">
        <v>211</v>
      </c>
      <c r="F1071" s="28" t="s">
        <v>490</v>
      </c>
      <c r="G1071" s="28"/>
      <c r="H1071" s="28">
        <v>6390885</v>
      </c>
      <c r="I1071" s="28">
        <v>191634</v>
      </c>
      <c r="J1071" s="28">
        <v>0.99</v>
      </c>
      <c r="K1071" s="28">
        <v>7</v>
      </c>
      <c r="L1071" s="28">
        <v>0</v>
      </c>
    </row>
    <row r="1072" spans="1:12" ht="14.25" customHeight="1" x14ac:dyDescent="0.2">
      <c r="A1072" s="28">
        <v>1071</v>
      </c>
      <c r="B1072" s="28" t="s">
        <v>1671</v>
      </c>
      <c r="C1072" s="28" t="s">
        <v>1655</v>
      </c>
      <c r="D1072" s="28" t="s">
        <v>1656</v>
      </c>
      <c r="E1072" s="28" t="s">
        <v>211</v>
      </c>
      <c r="F1072" s="28" t="s">
        <v>490</v>
      </c>
      <c r="G1072" s="28"/>
      <c r="H1072" s="28">
        <v>2439206</v>
      </c>
      <c r="I1072" s="28">
        <v>74919</v>
      </c>
      <c r="J1072" s="28">
        <v>0.99</v>
      </c>
      <c r="K1072" s="28">
        <v>99</v>
      </c>
      <c r="L1072" s="28">
        <v>1</v>
      </c>
    </row>
    <row r="1073" spans="1:12" ht="14.25" customHeight="1" x14ac:dyDescent="0.2">
      <c r="A1073" s="28">
        <v>1072</v>
      </c>
      <c r="B1073" s="28" t="s">
        <v>1672</v>
      </c>
      <c r="C1073" s="28" t="s">
        <v>1655</v>
      </c>
      <c r="D1073" s="28" t="s">
        <v>1656</v>
      </c>
      <c r="E1073" s="28" t="s">
        <v>211</v>
      </c>
      <c r="F1073" s="28" t="s">
        <v>490</v>
      </c>
      <c r="G1073" s="28"/>
      <c r="H1073" s="28">
        <v>9584317</v>
      </c>
      <c r="I1073" s="28">
        <v>292493</v>
      </c>
      <c r="J1073" s="28">
        <v>0.99</v>
      </c>
      <c r="K1073" s="28">
        <v>9</v>
      </c>
      <c r="L1073" s="28">
        <v>1</v>
      </c>
    </row>
    <row r="1074" spans="1:12" ht="14.25" customHeight="1" x14ac:dyDescent="0.2">
      <c r="A1074" s="28">
        <v>1073</v>
      </c>
      <c r="B1074" s="28" t="s">
        <v>1673</v>
      </c>
      <c r="C1074" s="28" t="s">
        <v>1674</v>
      </c>
      <c r="D1074" s="28" t="s">
        <v>499</v>
      </c>
      <c r="E1074" s="28" t="s">
        <v>211</v>
      </c>
      <c r="F1074" s="28" t="s">
        <v>708</v>
      </c>
      <c r="G1074" s="28"/>
      <c r="H1074" s="28">
        <v>7469735</v>
      </c>
      <c r="I1074" s="28">
        <v>219454</v>
      </c>
      <c r="J1074" s="28">
        <v>0.99</v>
      </c>
      <c r="K1074" s="28">
        <v>38</v>
      </c>
      <c r="L1074" s="28">
        <v>0</v>
      </c>
    </row>
    <row r="1075" spans="1:12" ht="14.25" customHeight="1" x14ac:dyDescent="0.2">
      <c r="A1075" s="28">
        <v>1074</v>
      </c>
      <c r="B1075" s="28" t="s">
        <v>1675</v>
      </c>
      <c r="C1075" s="28" t="s">
        <v>1674</v>
      </c>
      <c r="D1075" s="28" t="s">
        <v>499</v>
      </c>
      <c r="E1075" s="28" t="s">
        <v>211</v>
      </c>
      <c r="F1075" s="28" t="s">
        <v>708</v>
      </c>
      <c r="G1075" s="28"/>
      <c r="H1075" s="28">
        <v>8393047</v>
      </c>
      <c r="I1075" s="28">
        <v>247928</v>
      </c>
      <c r="J1075" s="28">
        <v>0.99</v>
      </c>
      <c r="K1075" s="28">
        <v>49</v>
      </c>
      <c r="L1075" s="28">
        <v>0</v>
      </c>
    </row>
    <row r="1076" spans="1:12" ht="14.25" customHeight="1" x14ac:dyDescent="0.2">
      <c r="A1076" s="28">
        <v>1075</v>
      </c>
      <c r="B1076" s="28" t="s">
        <v>1676</v>
      </c>
      <c r="C1076" s="28" t="s">
        <v>1674</v>
      </c>
      <c r="D1076" s="28" t="s">
        <v>499</v>
      </c>
      <c r="E1076" s="28" t="s">
        <v>211</v>
      </c>
      <c r="F1076" s="28" t="s">
        <v>708</v>
      </c>
      <c r="G1076" s="28" t="s">
        <v>1677</v>
      </c>
      <c r="H1076" s="28">
        <v>8660617</v>
      </c>
      <c r="I1076" s="28">
        <v>261041</v>
      </c>
      <c r="J1076" s="28">
        <v>0.99</v>
      </c>
      <c r="K1076" s="28">
        <v>74</v>
      </c>
      <c r="L1076" s="28">
        <v>1</v>
      </c>
    </row>
    <row r="1077" spans="1:12" ht="14.25" customHeight="1" x14ac:dyDescent="0.2">
      <c r="A1077" s="28">
        <v>1076</v>
      </c>
      <c r="B1077" s="28" t="s">
        <v>1678</v>
      </c>
      <c r="C1077" s="28" t="s">
        <v>1674</v>
      </c>
      <c r="D1077" s="28" t="s">
        <v>499</v>
      </c>
      <c r="E1077" s="28" t="s">
        <v>211</v>
      </c>
      <c r="F1077" s="28" t="s">
        <v>708</v>
      </c>
      <c r="G1077" s="28" t="s">
        <v>1679</v>
      </c>
      <c r="H1077" s="28">
        <v>7349779</v>
      </c>
      <c r="I1077" s="28">
        <v>222275</v>
      </c>
      <c r="J1077" s="28">
        <v>0.99</v>
      </c>
      <c r="K1077" s="28">
        <v>51</v>
      </c>
      <c r="L1077" s="28">
        <v>1</v>
      </c>
    </row>
    <row r="1078" spans="1:12" ht="14.25" customHeight="1" x14ac:dyDescent="0.2">
      <c r="A1078" s="28">
        <v>1077</v>
      </c>
      <c r="B1078" s="28" t="s">
        <v>1680</v>
      </c>
      <c r="C1078" s="28" t="s">
        <v>1674</v>
      </c>
      <c r="D1078" s="28" t="s">
        <v>499</v>
      </c>
      <c r="E1078" s="28" t="s">
        <v>211</v>
      </c>
      <c r="F1078" s="28" t="s">
        <v>708</v>
      </c>
      <c r="G1078" s="28" t="s">
        <v>1681</v>
      </c>
      <c r="H1078" s="28">
        <v>6638563</v>
      </c>
      <c r="I1078" s="28">
        <v>200437</v>
      </c>
      <c r="J1078" s="28">
        <v>0.99</v>
      </c>
      <c r="K1078" s="28">
        <v>16</v>
      </c>
      <c r="L1078" s="28">
        <v>0</v>
      </c>
    </row>
    <row r="1079" spans="1:12" ht="14.25" customHeight="1" x14ac:dyDescent="0.2">
      <c r="A1079" s="28">
        <v>1078</v>
      </c>
      <c r="B1079" s="28" t="s">
        <v>1682</v>
      </c>
      <c r="C1079" s="28" t="s">
        <v>1674</v>
      </c>
      <c r="D1079" s="28" t="s">
        <v>499</v>
      </c>
      <c r="E1079" s="28" t="s">
        <v>211</v>
      </c>
      <c r="F1079" s="28" t="s">
        <v>708</v>
      </c>
      <c r="G1079" s="28" t="s">
        <v>1679</v>
      </c>
      <c r="H1079" s="28">
        <v>7387183</v>
      </c>
      <c r="I1079" s="28">
        <v>217051</v>
      </c>
      <c r="J1079" s="28">
        <v>0.99</v>
      </c>
      <c r="K1079" s="28">
        <v>83</v>
      </c>
      <c r="L1079" s="28">
        <v>0</v>
      </c>
    </row>
    <row r="1080" spans="1:12" ht="14.25" customHeight="1" x14ac:dyDescent="0.2">
      <c r="A1080" s="28">
        <v>1079</v>
      </c>
      <c r="B1080" s="28" t="s">
        <v>1683</v>
      </c>
      <c r="C1080" s="28" t="s">
        <v>1674</v>
      </c>
      <c r="D1080" s="28" t="s">
        <v>499</v>
      </c>
      <c r="E1080" s="28" t="s">
        <v>211</v>
      </c>
      <c r="F1080" s="28" t="s">
        <v>708</v>
      </c>
      <c r="G1080" s="28" t="s">
        <v>1679</v>
      </c>
      <c r="H1080" s="28">
        <v>6937472</v>
      </c>
      <c r="I1080" s="28">
        <v>204695</v>
      </c>
      <c r="J1080" s="28">
        <v>0.99</v>
      </c>
      <c r="K1080" s="28">
        <v>39</v>
      </c>
      <c r="L1080" s="28">
        <v>0</v>
      </c>
    </row>
    <row r="1081" spans="1:12" ht="14.25" customHeight="1" x14ac:dyDescent="0.2">
      <c r="A1081" s="28">
        <v>1080</v>
      </c>
      <c r="B1081" s="28" t="s">
        <v>1684</v>
      </c>
      <c r="C1081" s="28" t="s">
        <v>1674</v>
      </c>
      <c r="D1081" s="28" t="s">
        <v>499</v>
      </c>
      <c r="E1081" s="28" t="s">
        <v>211</v>
      </c>
      <c r="F1081" s="28" t="s">
        <v>708</v>
      </c>
      <c r="G1081" s="28" t="s">
        <v>1679</v>
      </c>
      <c r="H1081" s="28">
        <v>6625000</v>
      </c>
      <c r="I1081" s="28">
        <v>199653</v>
      </c>
      <c r="J1081" s="28">
        <v>0.99</v>
      </c>
      <c r="K1081" s="28">
        <v>46</v>
      </c>
      <c r="L1081" s="28">
        <v>1</v>
      </c>
    </row>
    <row r="1082" spans="1:12" ht="14.25" customHeight="1" x14ac:dyDescent="0.2">
      <c r="A1082" s="28">
        <v>1081</v>
      </c>
      <c r="B1082" s="28" t="s">
        <v>1685</v>
      </c>
      <c r="C1082" s="28" t="s">
        <v>1674</v>
      </c>
      <c r="D1082" s="28" t="s">
        <v>499</v>
      </c>
      <c r="E1082" s="28" t="s">
        <v>211</v>
      </c>
      <c r="F1082" s="28" t="s">
        <v>708</v>
      </c>
      <c r="G1082" s="28" t="s">
        <v>1686</v>
      </c>
      <c r="H1082" s="28">
        <v>6340649</v>
      </c>
      <c r="I1082" s="28">
        <v>191660</v>
      </c>
      <c r="J1082" s="28">
        <v>0.99</v>
      </c>
      <c r="K1082" s="28">
        <v>94</v>
      </c>
      <c r="L1082" s="28">
        <v>1</v>
      </c>
    </row>
    <row r="1083" spans="1:12" ht="14.25" customHeight="1" x14ac:dyDescent="0.2">
      <c r="A1083" s="28">
        <v>1082</v>
      </c>
      <c r="B1083" s="28" t="s">
        <v>1687</v>
      </c>
      <c r="C1083" s="28" t="s">
        <v>1674</v>
      </c>
      <c r="D1083" s="28" t="s">
        <v>499</v>
      </c>
      <c r="E1083" s="28" t="s">
        <v>211</v>
      </c>
      <c r="F1083" s="28" t="s">
        <v>708</v>
      </c>
      <c r="G1083" s="28" t="s">
        <v>1688</v>
      </c>
      <c r="H1083" s="28">
        <v>9098093</v>
      </c>
      <c r="I1083" s="28">
        <v>271020</v>
      </c>
      <c r="J1083" s="28">
        <v>0.99</v>
      </c>
      <c r="K1083" s="28">
        <v>30</v>
      </c>
      <c r="L1083" s="28">
        <v>0</v>
      </c>
    </row>
    <row r="1084" spans="1:12" ht="14.25" customHeight="1" x14ac:dyDescent="0.2">
      <c r="A1084" s="28">
        <v>1083</v>
      </c>
      <c r="B1084" s="28" t="s">
        <v>1689</v>
      </c>
      <c r="C1084" s="28" t="s">
        <v>1674</v>
      </c>
      <c r="D1084" s="28" t="s">
        <v>499</v>
      </c>
      <c r="E1084" s="28" t="s">
        <v>211</v>
      </c>
      <c r="F1084" s="28" t="s">
        <v>708</v>
      </c>
      <c r="G1084" s="28" t="s">
        <v>499</v>
      </c>
      <c r="H1084" s="28">
        <v>4888292</v>
      </c>
      <c r="I1084" s="28">
        <v>148636</v>
      </c>
      <c r="J1084" s="28">
        <v>0.99</v>
      </c>
      <c r="K1084" s="28">
        <v>62</v>
      </c>
      <c r="L1084" s="28">
        <v>0</v>
      </c>
    </row>
    <row r="1085" spans="1:12" ht="14.25" customHeight="1" x14ac:dyDescent="0.2">
      <c r="A1085" s="28">
        <v>1084</v>
      </c>
      <c r="B1085" s="28" t="s">
        <v>1690</v>
      </c>
      <c r="C1085" s="28" t="s">
        <v>1674</v>
      </c>
      <c r="D1085" s="28" t="s">
        <v>499</v>
      </c>
      <c r="E1085" s="28" t="s">
        <v>211</v>
      </c>
      <c r="F1085" s="28" t="s">
        <v>708</v>
      </c>
      <c r="G1085" s="28" t="s">
        <v>499</v>
      </c>
      <c r="H1085" s="28">
        <v>6899062</v>
      </c>
      <c r="I1085" s="28">
        <v>209136</v>
      </c>
      <c r="J1085" s="28">
        <v>0.99</v>
      </c>
      <c r="K1085" s="28">
        <v>10</v>
      </c>
      <c r="L1085" s="28">
        <v>0</v>
      </c>
    </row>
    <row r="1086" spans="1:12" ht="14.25" customHeight="1" x14ac:dyDescent="0.2">
      <c r="A1086" s="28">
        <v>1085</v>
      </c>
      <c r="B1086" s="28" t="s">
        <v>1691</v>
      </c>
      <c r="C1086" s="28" t="s">
        <v>1674</v>
      </c>
      <c r="D1086" s="28" t="s">
        <v>499</v>
      </c>
      <c r="E1086" s="28" t="s">
        <v>211</v>
      </c>
      <c r="F1086" s="28" t="s">
        <v>708</v>
      </c>
      <c r="G1086" s="28" t="s">
        <v>1692</v>
      </c>
      <c r="H1086" s="28">
        <v>8518290</v>
      </c>
      <c r="I1086" s="28">
        <v>260963</v>
      </c>
      <c r="J1086" s="28">
        <v>0.99</v>
      </c>
      <c r="K1086" s="28">
        <v>84</v>
      </c>
      <c r="L1086" s="28">
        <v>1</v>
      </c>
    </row>
    <row r="1087" spans="1:12" ht="14.25" customHeight="1" x14ac:dyDescent="0.2">
      <c r="A1087" s="28">
        <v>1086</v>
      </c>
      <c r="B1087" s="28" t="s">
        <v>1693</v>
      </c>
      <c r="C1087" s="28" t="s">
        <v>1674</v>
      </c>
      <c r="D1087" s="28" t="s">
        <v>499</v>
      </c>
      <c r="E1087" s="28" t="s">
        <v>211</v>
      </c>
      <c r="F1087" s="28" t="s">
        <v>708</v>
      </c>
      <c r="G1087" s="28" t="s">
        <v>499</v>
      </c>
      <c r="H1087" s="28">
        <v>1039615</v>
      </c>
      <c r="I1087" s="28">
        <v>32287</v>
      </c>
      <c r="J1087" s="28">
        <v>0.99</v>
      </c>
      <c r="K1087" s="28">
        <v>46</v>
      </c>
      <c r="L1087" s="28">
        <v>0</v>
      </c>
    </row>
    <row r="1088" spans="1:12" ht="14.25" customHeight="1" x14ac:dyDescent="0.2">
      <c r="A1088" s="28">
        <v>1087</v>
      </c>
      <c r="B1088" s="28" t="s">
        <v>1694</v>
      </c>
      <c r="C1088" s="28" t="s">
        <v>1695</v>
      </c>
      <c r="D1088" s="28" t="s">
        <v>499</v>
      </c>
      <c r="E1088" s="28" t="s">
        <v>211</v>
      </c>
      <c r="F1088" s="28" t="s">
        <v>490</v>
      </c>
      <c r="G1088" s="28"/>
      <c r="H1088" s="28">
        <v>5227579</v>
      </c>
      <c r="I1088" s="28">
        <v>154096</v>
      </c>
      <c r="J1088" s="28">
        <v>0.99</v>
      </c>
      <c r="K1088" s="28">
        <v>37</v>
      </c>
      <c r="L1088" s="28">
        <v>0</v>
      </c>
    </row>
    <row r="1089" spans="1:12" ht="14.25" customHeight="1" x14ac:dyDescent="0.2">
      <c r="A1089" s="28">
        <v>1088</v>
      </c>
      <c r="B1089" s="28" t="s">
        <v>1696</v>
      </c>
      <c r="C1089" s="28" t="s">
        <v>1695</v>
      </c>
      <c r="D1089" s="28" t="s">
        <v>499</v>
      </c>
      <c r="E1089" s="28" t="s">
        <v>211</v>
      </c>
      <c r="F1089" s="28" t="s">
        <v>490</v>
      </c>
      <c r="G1089" s="28"/>
      <c r="H1089" s="28">
        <v>8026622</v>
      </c>
      <c r="I1089" s="28">
        <v>238315</v>
      </c>
      <c r="J1089" s="28">
        <v>0.99</v>
      </c>
      <c r="K1089" s="28">
        <v>35</v>
      </c>
      <c r="L1089" s="28">
        <v>0</v>
      </c>
    </row>
    <row r="1090" spans="1:12" ht="14.25" customHeight="1" x14ac:dyDescent="0.2">
      <c r="A1090" s="28">
        <v>1089</v>
      </c>
      <c r="B1090" s="28" t="s">
        <v>1697</v>
      </c>
      <c r="C1090" s="28" t="s">
        <v>1695</v>
      </c>
      <c r="D1090" s="28" t="s">
        <v>499</v>
      </c>
      <c r="E1090" s="28" t="s">
        <v>211</v>
      </c>
      <c r="F1090" s="28" t="s">
        <v>490</v>
      </c>
      <c r="G1090" s="28"/>
      <c r="H1090" s="28">
        <v>9819759</v>
      </c>
      <c r="I1090" s="28">
        <v>295262</v>
      </c>
      <c r="J1090" s="28">
        <v>0.99</v>
      </c>
      <c r="K1090" s="28">
        <v>55</v>
      </c>
      <c r="L1090" s="28">
        <v>2</v>
      </c>
    </row>
    <row r="1091" spans="1:12" ht="14.25" customHeight="1" x14ac:dyDescent="0.2">
      <c r="A1091" s="28">
        <v>1090</v>
      </c>
      <c r="B1091" s="28" t="s">
        <v>1698</v>
      </c>
      <c r="C1091" s="28" t="s">
        <v>1695</v>
      </c>
      <c r="D1091" s="28" t="s">
        <v>499</v>
      </c>
      <c r="E1091" s="28" t="s">
        <v>211</v>
      </c>
      <c r="F1091" s="28" t="s">
        <v>490</v>
      </c>
      <c r="G1091" s="28"/>
      <c r="H1091" s="28">
        <v>9594738</v>
      </c>
      <c r="I1091" s="28">
        <v>282409</v>
      </c>
      <c r="J1091" s="28">
        <v>0.99</v>
      </c>
      <c r="K1091" s="28">
        <v>63</v>
      </c>
      <c r="L1091" s="28">
        <v>2</v>
      </c>
    </row>
    <row r="1092" spans="1:12" ht="14.25" customHeight="1" x14ac:dyDescent="0.2">
      <c r="A1092" s="28">
        <v>1091</v>
      </c>
      <c r="B1092" s="28" t="s">
        <v>1699</v>
      </c>
      <c r="C1092" s="28" t="s">
        <v>1695</v>
      </c>
      <c r="D1092" s="28" t="s">
        <v>499</v>
      </c>
      <c r="E1092" s="28" t="s">
        <v>211</v>
      </c>
      <c r="F1092" s="28" t="s">
        <v>490</v>
      </c>
      <c r="G1092" s="28"/>
      <c r="H1092" s="28">
        <v>7985305</v>
      </c>
      <c r="I1092" s="28">
        <v>236695</v>
      </c>
      <c r="J1092" s="28">
        <v>0.99</v>
      </c>
      <c r="K1092" s="28">
        <v>76</v>
      </c>
      <c r="L1092" s="28">
        <v>1</v>
      </c>
    </row>
    <row r="1093" spans="1:12" ht="14.25" customHeight="1" x14ac:dyDescent="0.2">
      <c r="A1093" s="28">
        <v>1092</v>
      </c>
      <c r="B1093" s="28" t="s">
        <v>1700</v>
      </c>
      <c r="C1093" s="28" t="s">
        <v>1695</v>
      </c>
      <c r="D1093" s="28" t="s">
        <v>499</v>
      </c>
      <c r="E1093" s="28" t="s">
        <v>211</v>
      </c>
      <c r="F1093" s="28" t="s">
        <v>490</v>
      </c>
      <c r="G1093" s="28"/>
      <c r="H1093" s="28">
        <v>8358128</v>
      </c>
      <c r="I1093" s="28">
        <v>248842</v>
      </c>
      <c r="J1093" s="28">
        <v>0.99</v>
      </c>
      <c r="K1093" s="28">
        <v>95</v>
      </c>
      <c r="L1093" s="28">
        <v>0</v>
      </c>
    </row>
    <row r="1094" spans="1:12" ht="14.25" customHeight="1" x14ac:dyDescent="0.2">
      <c r="A1094" s="28">
        <v>1093</v>
      </c>
      <c r="B1094" s="28" t="s">
        <v>1701</v>
      </c>
      <c r="C1094" s="28" t="s">
        <v>1695</v>
      </c>
      <c r="D1094" s="28" t="s">
        <v>499</v>
      </c>
      <c r="E1094" s="28" t="s">
        <v>211</v>
      </c>
      <c r="F1094" s="28" t="s">
        <v>490</v>
      </c>
      <c r="G1094" s="28"/>
      <c r="H1094" s="28">
        <v>11774865</v>
      </c>
      <c r="I1094" s="28">
        <v>357485</v>
      </c>
      <c r="J1094" s="28">
        <v>0.99</v>
      </c>
      <c r="K1094" s="28">
        <v>69</v>
      </c>
      <c r="L1094" s="28">
        <v>1</v>
      </c>
    </row>
    <row r="1095" spans="1:12" ht="14.25" customHeight="1" x14ac:dyDescent="0.2">
      <c r="A1095" s="28">
        <v>1094</v>
      </c>
      <c r="B1095" s="28" t="s">
        <v>1702</v>
      </c>
      <c r="C1095" s="28" t="s">
        <v>1695</v>
      </c>
      <c r="D1095" s="28" t="s">
        <v>499</v>
      </c>
      <c r="E1095" s="28" t="s">
        <v>211</v>
      </c>
      <c r="F1095" s="28" t="s">
        <v>490</v>
      </c>
      <c r="G1095" s="28"/>
      <c r="H1095" s="28">
        <v>9436411</v>
      </c>
      <c r="I1095" s="28">
        <v>285309</v>
      </c>
      <c r="J1095" s="28">
        <v>0.99</v>
      </c>
      <c r="K1095" s="28">
        <v>78</v>
      </c>
      <c r="L1095" s="28">
        <v>1</v>
      </c>
    </row>
    <row r="1096" spans="1:12" ht="14.25" customHeight="1" x14ac:dyDescent="0.2">
      <c r="A1096" s="28">
        <v>1095</v>
      </c>
      <c r="B1096" s="28" t="s">
        <v>1703</v>
      </c>
      <c r="C1096" s="28" t="s">
        <v>1695</v>
      </c>
      <c r="D1096" s="28" t="s">
        <v>499</v>
      </c>
      <c r="E1096" s="28" t="s">
        <v>211</v>
      </c>
      <c r="F1096" s="28" t="s">
        <v>490</v>
      </c>
      <c r="G1096" s="28"/>
      <c r="H1096" s="28">
        <v>8804401</v>
      </c>
      <c r="I1096" s="28">
        <v>263471</v>
      </c>
      <c r="J1096" s="28">
        <v>0.99</v>
      </c>
      <c r="K1096" s="28">
        <v>5</v>
      </c>
      <c r="L1096" s="28">
        <v>1</v>
      </c>
    </row>
    <row r="1097" spans="1:12" ht="14.25" customHeight="1" x14ac:dyDescent="0.2">
      <c r="A1097" s="28">
        <v>1096</v>
      </c>
      <c r="B1097" s="28" t="s">
        <v>1704</v>
      </c>
      <c r="C1097" s="28" t="s">
        <v>1695</v>
      </c>
      <c r="D1097" s="28" t="s">
        <v>499</v>
      </c>
      <c r="E1097" s="28" t="s">
        <v>211</v>
      </c>
      <c r="F1097" s="28" t="s">
        <v>490</v>
      </c>
      <c r="G1097" s="28"/>
      <c r="H1097" s="28">
        <v>7805352</v>
      </c>
      <c r="I1097" s="28">
        <v>231627</v>
      </c>
      <c r="J1097" s="28">
        <v>0.99</v>
      </c>
      <c r="K1097" s="28">
        <v>20</v>
      </c>
      <c r="L1097" s="28">
        <v>0</v>
      </c>
    </row>
    <row r="1098" spans="1:12" ht="14.25" customHeight="1" x14ac:dyDescent="0.2">
      <c r="A1098" s="28">
        <v>1097</v>
      </c>
      <c r="B1098" s="28" t="s">
        <v>1705</v>
      </c>
      <c r="C1098" s="28" t="s">
        <v>1695</v>
      </c>
      <c r="D1098" s="28" t="s">
        <v>499</v>
      </c>
      <c r="E1098" s="28" t="s">
        <v>211</v>
      </c>
      <c r="F1098" s="28" t="s">
        <v>490</v>
      </c>
      <c r="G1098" s="28"/>
      <c r="H1098" s="28">
        <v>8596384</v>
      </c>
      <c r="I1098" s="28">
        <v>259526</v>
      </c>
      <c r="J1098" s="28">
        <v>0.99</v>
      </c>
      <c r="K1098" s="28">
        <v>56</v>
      </c>
      <c r="L1098" s="28">
        <v>1</v>
      </c>
    </row>
    <row r="1099" spans="1:12" ht="14.25" customHeight="1" x14ac:dyDescent="0.2">
      <c r="A1099" s="28">
        <v>1098</v>
      </c>
      <c r="B1099" s="28" t="s">
        <v>1706</v>
      </c>
      <c r="C1099" s="28" t="s">
        <v>1695</v>
      </c>
      <c r="D1099" s="28" t="s">
        <v>499</v>
      </c>
      <c r="E1099" s="28" t="s">
        <v>211</v>
      </c>
      <c r="F1099" s="28" t="s">
        <v>490</v>
      </c>
      <c r="G1099" s="28"/>
      <c r="H1099" s="28">
        <v>9673672</v>
      </c>
      <c r="I1099" s="28">
        <v>289671</v>
      </c>
      <c r="J1099" s="28">
        <v>0.99</v>
      </c>
      <c r="K1099" s="28">
        <v>63</v>
      </c>
      <c r="L1099" s="28">
        <v>1</v>
      </c>
    </row>
    <row r="1100" spans="1:12" ht="14.25" customHeight="1" x14ac:dyDescent="0.2">
      <c r="A1100" s="28">
        <v>1099</v>
      </c>
      <c r="B1100" s="28" t="s">
        <v>1707</v>
      </c>
      <c r="C1100" s="28" t="s">
        <v>1695</v>
      </c>
      <c r="D1100" s="28" t="s">
        <v>499</v>
      </c>
      <c r="E1100" s="28" t="s">
        <v>211</v>
      </c>
      <c r="F1100" s="28" t="s">
        <v>490</v>
      </c>
      <c r="G1100" s="28"/>
      <c r="H1100" s="28">
        <v>10508000</v>
      </c>
      <c r="I1100" s="28">
        <v>316969</v>
      </c>
      <c r="J1100" s="28">
        <v>0.99</v>
      </c>
      <c r="K1100" s="28">
        <v>96</v>
      </c>
      <c r="L1100" s="28">
        <v>2</v>
      </c>
    </row>
    <row r="1101" spans="1:12" ht="14.25" customHeight="1" x14ac:dyDescent="0.2">
      <c r="A1101" s="28">
        <v>1100</v>
      </c>
      <c r="B1101" s="28" t="s">
        <v>1708</v>
      </c>
      <c r="C1101" s="28" t="s">
        <v>1695</v>
      </c>
      <c r="D1101" s="28" t="s">
        <v>499</v>
      </c>
      <c r="E1101" s="28" t="s">
        <v>211</v>
      </c>
      <c r="F1101" s="28" t="s">
        <v>490</v>
      </c>
      <c r="G1101" s="28"/>
      <c r="H1101" s="28">
        <v>7481950</v>
      </c>
      <c r="I1101" s="28">
        <v>222458</v>
      </c>
      <c r="J1101" s="28">
        <v>0.99</v>
      </c>
      <c r="K1101" s="28">
        <v>41</v>
      </c>
      <c r="L1101" s="28">
        <v>0</v>
      </c>
    </row>
    <row r="1102" spans="1:12" ht="14.25" customHeight="1" x14ac:dyDescent="0.2">
      <c r="A1102" s="28">
        <v>1101</v>
      </c>
      <c r="B1102" s="28" t="s">
        <v>1709</v>
      </c>
      <c r="C1102" s="28" t="s">
        <v>1695</v>
      </c>
      <c r="D1102" s="28" t="s">
        <v>499</v>
      </c>
      <c r="E1102" s="28" t="s">
        <v>211</v>
      </c>
      <c r="F1102" s="28" t="s">
        <v>490</v>
      </c>
      <c r="G1102" s="28"/>
      <c r="H1102" s="28">
        <v>7838453</v>
      </c>
      <c r="I1102" s="28">
        <v>234971</v>
      </c>
      <c r="J1102" s="28">
        <v>0.99</v>
      </c>
      <c r="K1102" s="28">
        <v>44</v>
      </c>
      <c r="L1102" s="28">
        <v>1</v>
      </c>
    </row>
    <row r="1103" spans="1:12" ht="14.25" customHeight="1" x14ac:dyDescent="0.2">
      <c r="A1103" s="28">
        <v>1102</v>
      </c>
      <c r="B1103" s="28" t="s">
        <v>1710</v>
      </c>
      <c r="C1103" s="28" t="s">
        <v>1711</v>
      </c>
      <c r="D1103" s="28" t="s">
        <v>499</v>
      </c>
      <c r="E1103" s="28" t="s">
        <v>211</v>
      </c>
      <c r="F1103" s="28" t="s">
        <v>305</v>
      </c>
      <c r="G1103" s="28"/>
      <c r="H1103" s="28">
        <v>11998470</v>
      </c>
      <c r="I1103" s="28">
        <v>356101</v>
      </c>
      <c r="J1103" s="28">
        <v>0.99</v>
      </c>
      <c r="K1103" s="28">
        <v>37</v>
      </c>
      <c r="L1103" s="28">
        <v>0</v>
      </c>
    </row>
    <row r="1104" spans="1:12" ht="14.25" customHeight="1" x14ac:dyDescent="0.2">
      <c r="A1104" s="28">
        <v>1103</v>
      </c>
      <c r="B1104" s="28" t="s">
        <v>1712</v>
      </c>
      <c r="C1104" s="28" t="s">
        <v>1711</v>
      </c>
      <c r="D1104" s="28" t="s">
        <v>499</v>
      </c>
      <c r="E1104" s="28" t="s">
        <v>211</v>
      </c>
      <c r="F1104" s="28" t="s">
        <v>305</v>
      </c>
      <c r="G1104" s="28"/>
      <c r="H1104" s="28">
        <v>9819276</v>
      </c>
      <c r="I1104" s="28">
        <v>294530</v>
      </c>
      <c r="J1104" s="28">
        <v>0.99</v>
      </c>
      <c r="K1104" s="28">
        <v>28</v>
      </c>
      <c r="L1104" s="28">
        <v>2</v>
      </c>
    </row>
    <row r="1105" spans="1:12" ht="14.25" customHeight="1" x14ac:dyDescent="0.2">
      <c r="A1105" s="28">
        <v>1104</v>
      </c>
      <c r="B1105" s="28" t="s">
        <v>1713</v>
      </c>
      <c r="C1105" s="28" t="s">
        <v>1711</v>
      </c>
      <c r="D1105" s="28" t="s">
        <v>499</v>
      </c>
      <c r="E1105" s="28" t="s">
        <v>211</v>
      </c>
      <c r="F1105" s="28" t="s">
        <v>305</v>
      </c>
      <c r="G1105" s="28"/>
      <c r="H1105" s="28">
        <v>8914579</v>
      </c>
      <c r="I1105" s="28">
        <v>265273</v>
      </c>
      <c r="J1105" s="28">
        <v>0.99</v>
      </c>
      <c r="K1105" s="28">
        <v>38</v>
      </c>
      <c r="L1105" s="28">
        <v>0</v>
      </c>
    </row>
    <row r="1106" spans="1:12" ht="14.25" customHeight="1" x14ac:dyDescent="0.2">
      <c r="A1106" s="28">
        <v>1105</v>
      </c>
      <c r="B1106" s="28" t="s">
        <v>1714</v>
      </c>
      <c r="C1106" s="28" t="s">
        <v>1451</v>
      </c>
      <c r="D1106" s="28" t="s">
        <v>1419</v>
      </c>
      <c r="E1106" s="28" t="s">
        <v>211</v>
      </c>
      <c r="F1106" s="28" t="s">
        <v>490</v>
      </c>
      <c r="G1106" s="28" t="s">
        <v>499</v>
      </c>
      <c r="H1106" s="28">
        <v>10765600</v>
      </c>
      <c r="I1106" s="28">
        <v>324780</v>
      </c>
      <c r="J1106" s="28">
        <v>0.99</v>
      </c>
      <c r="K1106" s="28">
        <v>90</v>
      </c>
      <c r="L1106" s="28">
        <v>0</v>
      </c>
    </row>
    <row r="1107" spans="1:12" ht="14.25" customHeight="1" x14ac:dyDescent="0.2">
      <c r="A1107" s="28">
        <v>1106</v>
      </c>
      <c r="B1107" s="28" t="s">
        <v>1715</v>
      </c>
      <c r="C1107" s="28" t="s">
        <v>1451</v>
      </c>
      <c r="D1107" s="28" t="s">
        <v>1419</v>
      </c>
      <c r="E1107" s="28" t="s">
        <v>211</v>
      </c>
      <c r="F1107" s="28" t="s">
        <v>490</v>
      </c>
      <c r="G1107" s="28" t="s">
        <v>499</v>
      </c>
      <c r="H1107" s="28">
        <v>8708114</v>
      </c>
      <c r="I1107" s="28">
        <v>261616</v>
      </c>
      <c r="J1107" s="28">
        <v>0.99</v>
      </c>
      <c r="K1107" s="28">
        <v>74</v>
      </c>
      <c r="L1107" s="28">
        <v>0</v>
      </c>
    </row>
    <row r="1108" spans="1:12" ht="14.25" customHeight="1" x14ac:dyDescent="0.2">
      <c r="A1108" s="28">
        <v>1107</v>
      </c>
      <c r="B1108" s="28" t="s">
        <v>1716</v>
      </c>
      <c r="C1108" s="28" t="s">
        <v>1451</v>
      </c>
      <c r="D1108" s="28" t="s">
        <v>1419</v>
      </c>
      <c r="E1108" s="28" t="s">
        <v>211</v>
      </c>
      <c r="F1108" s="28" t="s">
        <v>490</v>
      </c>
      <c r="G1108" s="28" t="s">
        <v>499</v>
      </c>
      <c r="H1108" s="28">
        <v>7237784</v>
      </c>
      <c r="I1108" s="28">
        <v>218305</v>
      </c>
      <c r="J1108" s="28">
        <v>0.99</v>
      </c>
      <c r="K1108" s="28">
        <v>12</v>
      </c>
      <c r="L1108" s="28">
        <v>1</v>
      </c>
    </row>
    <row r="1109" spans="1:12" ht="14.25" customHeight="1" x14ac:dyDescent="0.2">
      <c r="A1109" s="28">
        <v>1108</v>
      </c>
      <c r="B1109" s="28" t="s">
        <v>1717</v>
      </c>
      <c r="C1109" s="28" t="s">
        <v>1451</v>
      </c>
      <c r="D1109" s="28" t="s">
        <v>1419</v>
      </c>
      <c r="E1109" s="28" t="s">
        <v>211</v>
      </c>
      <c r="F1109" s="28" t="s">
        <v>490</v>
      </c>
      <c r="G1109" s="28" t="s">
        <v>499</v>
      </c>
      <c r="H1109" s="28">
        <v>8847612</v>
      </c>
      <c r="I1109" s="28">
        <v>264489</v>
      </c>
      <c r="J1109" s="28">
        <v>0.99</v>
      </c>
      <c r="K1109" s="28">
        <v>61</v>
      </c>
      <c r="L1109" s="28">
        <v>1</v>
      </c>
    </row>
    <row r="1110" spans="1:12" ht="14.25" customHeight="1" x14ac:dyDescent="0.2">
      <c r="A1110" s="28">
        <v>1109</v>
      </c>
      <c r="B1110" s="28" t="s">
        <v>1718</v>
      </c>
      <c r="C1110" s="28" t="s">
        <v>1451</v>
      </c>
      <c r="D1110" s="28" t="s">
        <v>1419</v>
      </c>
      <c r="E1110" s="28" t="s">
        <v>211</v>
      </c>
      <c r="F1110" s="28" t="s">
        <v>490</v>
      </c>
      <c r="G1110" s="28" t="s">
        <v>499</v>
      </c>
      <c r="H1110" s="28">
        <v>10530533</v>
      </c>
      <c r="I1110" s="28">
        <v>317779</v>
      </c>
      <c r="J1110" s="28">
        <v>0.99</v>
      </c>
      <c r="K1110" s="28">
        <v>11</v>
      </c>
      <c r="L1110" s="28">
        <v>0</v>
      </c>
    </row>
    <row r="1111" spans="1:12" ht="14.25" customHeight="1" x14ac:dyDescent="0.2">
      <c r="A1111" s="28">
        <v>1110</v>
      </c>
      <c r="B1111" s="28" t="s">
        <v>500</v>
      </c>
      <c r="C1111" s="28" t="s">
        <v>1451</v>
      </c>
      <c r="D1111" s="28" t="s">
        <v>1419</v>
      </c>
      <c r="E1111" s="28" t="s">
        <v>211</v>
      </c>
      <c r="F1111" s="28" t="s">
        <v>490</v>
      </c>
      <c r="G1111" s="28" t="s">
        <v>499</v>
      </c>
      <c r="H1111" s="28">
        <v>9931950</v>
      </c>
      <c r="I1111" s="28">
        <v>301453</v>
      </c>
      <c r="J1111" s="28">
        <v>0.99</v>
      </c>
      <c r="K1111" s="28">
        <v>62</v>
      </c>
      <c r="L1111" s="28">
        <v>0</v>
      </c>
    </row>
    <row r="1112" spans="1:12" ht="14.25" customHeight="1" x14ac:dyDescent="0.2">
      <c r="A1112" s="28">
        <v>1111</v>
      </c>
      <c r="B1112" s="28" t="s">
        <v>728</v>
      </c>
      <c r="C1112" s="28" t="s">
        <v>1451</v>
      </c>
      <c r="D1112" s="28" t="s">
        <v>1419</v>
      </c>
      <c r="E1112" s="28" t="s">
        <v>211</v>
      </c>
      <c r="F1112" s="28" t="s">
        <v>490</v>
      </c>
      <c r="G1112" s="28" t="s">
        <v>499</v>
      </c>
      <c r="H1112" s="28">
        <v>9593064</v>
      </c>
      <c r="I1112" s="28">
        <v>293093</v>
      </c>
      <c r="J1112" s="28">
        <v>0.99</v>
      </c>
      <c r="K1112" s="28">
        <v>22</v>
      </c>
      <c r="L1112" s="28">
        <v>1</v>
      </c>
    </row>
    <row r="1113" spans="1:12" ht="14.25" customHeight="1" x14ac:dyDescent="0.2">
      <c r="A1113" s="28">
        <v>1112</v>
      </c>
      <c r="B1113" s="28" t="s">
        <v>1719</v>
      </c>
      <c r="C1113" s="28" t="s">
        <v>1451</v>
      </c>
      <c r="D1113" s="28" t="s">
        <v>1419</v>
      </c>
      <c r="E1113" s="28" t="s">
        <v>211</v>
      </c>
      <c r="F1113" s="28" t="s">
        <v>490</v>
      </c>
      <c r="G1113" s="28" t="s">
        <v>499</v>
      </c>
      <c r="H1113" s="28">
        <v>9597994</v>
      </c>
      <c r="I1113" s="28">
        <v>295444</v>
      </c>
      <c r="J1113" s="28">
        <v>0.99</v>
      </c>
      <c r="K1113" s="28">
        <v>54</v>
      </c>
      <c r="L1113" s="28">
        <v>2</v>
      </c>
    </row>
    <row r="1114" spans="1:12" ht="14.25" customHeight="1" x14ac:dyDescent="0.2">
      <c r="A1114" s="28">
        <v>1113</v>
      </c>
      <c r="B1114" s="28" t="s">
        <v>932</v>
      </c>
      <c r="C1114" s="28" t="s">
        <v>1451</v>
      </c>
      <c r="D1114" s="28" t="s">
        <v>1419</v>
      </c>
      <c r="E1114" s="28" t="s">
        <v>211</v>
      </c>
      <c r="F1114" s="28" t="s">
        <v>490</v>
      </c>
      <c r="G1114" s="28" t="s">
        <v>499</v>
      </c>
      <c r="H1114" s="28">
        <v>7469905</v>
      </c>
      <c r="I1114" s="28">
        <v>225697</v>
      </c>
      <c r="J1114" s="28">
        <v>0.99</v>
      </c>
      <c r="K1114" s="28">
        <v>86</v>
      </c>
      <c r="L1114" s="28">
        <v>1</v>
      </c>
    </row>
    <row r="1115" spans="1:12" ht="14.25" customHeight="1" x14ac:dyDescent="0.2">
      <c r="A1115" s="28">
        <v>1114</v>
      </c>
      <c r="B1115" s="28" t="s">
        <v>1720</v>
      </c>
      <c r="C1115" s="28" t="s">
        <v>1451</v>
      </c>
      <c r="D1115" s="28" t="s">
        <v>1419</v>
      </c>
      <c r="E1115" s="28" t="s">
        <v>211</v>
      </c>
      <c r="F1115" s="28" t="s">
        <v>490</v>
      </c>
      <c r="G1115" s="28" t="s">
        <v>499</v>
      </c>
      <c r="H1115" s="28">
        <v>9543435</v>
      </c>
      <c r="I1115" s="28">
        <v>284943</v>
      </c>
      <c r="J1115" s="28">
        <v>0.99</v>
      </c>
      <c r="K1115" s="28">
        <v>9</v>
      </c>
      <c r="L1115" s="28">
        <v>1</v>
      </c>
    </row>
    <row r="1116" spans="1:12" ht="14.25" customHeight="1" x14ac:dyDescent="0.2">
      <c r="A1116" s="28">
        <v>1115</v>
      </c>
      <c r="B1116" s="28" t="s">
        <v>1721</v>
      </c>
      <c r="C1116" s="28" t="s">
        <v>1451</v>
      </c>
      <c r="D1116" s="28" t="s">
        <v>1419</v>
      </c>
      <c r="E1116" s="28" t="s">
        <v>211</v>
      </c>
      <c r="F1116" s="28" t="s">
        <v>490</v>
      </c>
      <c r="G1116" s="28" t="s">
        <v>499</v>
      </c>
      <c r="H1116" s="28">
        <v>10019269</v>
      </c>
      <c r="I1116" s="28">
        <v>302733</v>
      </c>
      <c r="J1116" s="28">
        <v>0.99</v>
      </c>
      <c r="K1116" s="28">
        <v>86</v>
      </c>
      <c r="L1116" s="28">
        <v>1</v>
      </c>
    </row>
    <row r="1117" spans="1:12" ht="14.25" customHeight="1" x14ac:dyDescent="0.2">
      <c r="A1117" s="28">
        <v>1116</v>
      </c>
      <c r="B1117" s="28" t="s">
        <v>1722</v>
      </c>
      <c r="C1117" s="28" t="s">
        <v>1451</v>
      </c>
      <c r="D1117" s="28" t="s">
        <v>1419</v>
      </c>
      <c r="E1117" s="28" t="s">
        <v>211</v>
      </c>
      <c r="F1117" s="28" t="s">
        <v>490</v>
      </c>
      <c r="G1117" s="28" t="s">
        <v>499</v>
      </c>
      <c r="H1117" s="28">
        <v>9690577</v>
      </c>
      <c r="I1117" s="28">
        <v>284760</v>
      </c>
      <c r="J1117" s="28">
        <v>0.99</v>
      </c>
      <c r="K1117" s="28">
        <v>46</v>
      </c>
      <c r="L1117" s="28">
        <v>1</v>
      </c>
    </row>
    <row r="1118" spans="1:12" ht="14.25" customHeight="1" x14ac:dyDescent="0.2">
      <c r="A1118" s="28">
        <v>1117</v>
      </c>
      <c r="B1118" s="28" t="s">
        <v>1723</v>
      </c>
      <c r="C1118" s="28" t="s">
        <v>1451</v>
      </c>
      <c r="D1118" s="28" t="s">
        <v>1419</v>
      </c>
      <c r="E1118" s="28" t="s">
        <v>211</v>
      </c>
      <c r="F1118" s="28" t="s">
        <v>490</v>
      </c>
      <c r="G1118" s="28" t="s">
        <v>499</v>
      </c>
      <c r="H1118" s="28">
        <v>8805003</v>
      </c>
      <c r="I1118" s="28">
        <v>263993</v>
      </c>
      <c r="J1118" s="28">
        <v>0.99</v>
      </c>
      <c r="K1118" s="28">
        <v>70</v>
      </c>
      <c r="L1118" s="28">
        <v>1</v>
      </c>
    </row>
    <row r="1119" spans="1:12" ht="14.25" customHeight="1" x14ac:dyDescent="0.2">
      <c r="A1119" s="28">
        <v>1118</v>
      </c>
      <c r="B1119" s="28" t="s">
        <v>1724</v>
      </c>
      <c r="C1119" s="28" t="s">
        <v>1451</v>
      </c>
      <c r="D1119" s="28" t="s">
        <v>1419</v>
      </c>
      <c r="E1119" s="28" t="s">
        <v>211</v>
      </c>
      <c r="F1119" s="28" t="s">
        <v>490</v>
      </c>
      <c r="G1119" s="28" t="s">
        <v>499</v>
      </c>
      <c r="H1119" s="28">
        <v>9049901</v>
      </c>
      <c r="I1119" s="28">
        <v>270550</v>
      </c>
      <c r="J1119" s="28">
        <v>0.99</v>
      </c>
      <c r="K1119" s="28">
        <v>82</v>
      </c>
      <c r="L1119" s="28">
        <v>1</v>
      </c>
    </row>
    <row r="1120" spans="1:12" ht="14.25" customHeight="1" x14ac:dyDescent="0.2">
      <c r="A1120" s="28">
        <v>1119</v>
      </c>
      <c r="B1120" s="28" t="s">
        <v>1725</v>
      </c>
      <c r="C1120" s="28" t="s">
        <v>1451</v>
      </c>
      <c r="D1120" s="28" t="s">
        <v>1419</v>
      </c>
      <c r="E1120" s="28" t="s">
        <v>211</v>
      </c>
      <c r="F1120" s="28" t="s">
        <v>490</v>
      </c>
      <c r="G1120" s="28" t="s">
        <v>499</v>
      </c>
      <c r="H1120" s="28">
        <v>9351000</v>
      </c>
      <c r="I1120" s="28">
        <v>278177</v>
      </c>
      <c r="J1120" s="28">
        <v>0.99</v>
      </c>
      <c r="K1120" s="28">
        <v>59</v>
      </c>
      <c r="L1120" s="28">
        <v>1</v>
      </c>
    </row>
    <row r="1121" spans="1:12" ht="14.25" customHeight="1" x14ac:dyDescent="0.2">
      <c r="A1121" s="28">
        <v>1120</v>
      </c>
      <c r="B1121" s="28" t="s">
        <v>1726</v>
      </c>
      <c r="C1121" s="28" t="s">
        <v>1451</v>
      </c>
      <c r="D1121" s="28" t="s">
        <v>1419</v>
      </c>
      <c r="E1121" s="28" t="s">
        <v>211</v>
      </c>
      <c r="F1121" s="28" t="s">
        <v>490</v>
      </c>
      <c r="G1121" s="28" t="s">
        <v>499</v>
      </c>
      <c r="H1121" s="28">
        <v>7217955</v>
      </c>
      <c r="I1121" s="28">
        <v>218070</v>
      </c>
      <c r="J1121" s="28">
        <v>0.99</v>
      </c>
      <c r="K1121" s="28">
        <v>92</v>
      </c>
      <c r="L1121" s="28">
        <v>1</v>
      </c>
    </row>
    <row r="1122" spans="1:12" ht="14.25" customHeight="1" x14ac:dyDescent="0.2">
      <c r="A1122" s="28">
        <v>1121</v>
      </c>
      <c r="B1122" s="28" t="s">
        <v>1727</v>
      </c>
      <c r="C1122" s="28" t="s">
        <v>1728</v>
      </c>
      <c r="D1122" s="28" t="s">
        <v>1729</v>
      </c>
      <c r="E1122" s="28" t="s">
        <v>211</v>
      </c>
      <c r="F1122" s="28" t="s">
        <v>322</v>
      </c>
      <c r="G1122" s="28" t="s">
        <v>1730</v>
      </c>
      <c r="H1122" s="28">
        <v>8511877</v>
      </c>
      <c r="I1122" s="28">
        <v>259213</v>
      </c>
      <c r="J1122" s="28">
        <v>0.99</v>
      </c>
      <c r="K1122" s="28">
        <v>28</v>
      </c>
      <c r="L1122" s="28">
        <v>1</v>
      </c>
    </row>
    <row r="1123" spans="1:12" ht="14.25" customHeight="1" x14ac:dyDescent="0.2">
      <c r="A1123" s="28">
        <v>1122</v>
      </c>
      <c r="B1123" s="28" t="s">
        <v>1728</v>
      </c>
      <c r="C1123" s="28" t="s">
        <v>1728</v>
      </c>
      <c r="D1123" s="28" t="s">
        <v>1729</v>
      </c>
      <c r="E1123" s="28" t="s">
        <v>211</v>
      </c>
      <c r="F1123" s="28" t="s">
        <v>322</v>
      </c>
      <c r="G1123" s="28" t="s">
        <v>1730</v>
      </c>
      <c r="H1123" s="28">
        <v>6992417</v>
      </c>
      <c r="I1123" s="28">
        <v>216006</v>
      </c>
      <c r="J1123" s="28">
        <v>0.99</v>
      </c>
      <c r="K1123" s="28">
        <v>71</v>
      </c>
      <c r="L1123" s="28">
        <v>1</v>
      </c>
    </row>
    <row r="1124" spans="1:12" ht="14.25" customHeight="1" x14ac:dyDescent="0.2">
      <c r="A1124" s="28">
        <v>1123</v>
      </c>
      <c r="B1124" s="28" t="s">
        <v>428</v>
      </c>
      <c r="C1124" s="28" t="s">
        <v>1728</v>
      </c>
      <c r="D1124" s="28" t="s">
        <v>1729</v>
      </c>
      <c r="E1124" s="28" t="s">
        <v>211</v>
      </c>
      <c r="F1124" s="28" t="s">
        <v>322</v>
      </c>
      <c r="G1124" s="28" t="s">
        <v>1731</v>
      </c>
      <c r="H1124" s="28">
        <v>8455835</v>
      </c>
      <c r="I1124" s="28">
        <v>260022</v>
      </c>
      <c r="J1124" s="28">
        <v>0.99</v>
      </c>
      <c r="K1124" s="28">
        <v>21</v>
      </c>
      <c r="L1124" s="28">
        <v>1</v>
      </c>
    </row>
    <row r="1125" spans="1:12" ht="14.25" customHeight="1" x14ac:dyDescent="0.2">
      <c r="A1125" s="28">
        <v>1124</v>
      </c>
      <c r="B1125" s="28" t="s">
        <v>1732</v>
      </c>
      <c r="C1125" s="28" t="s">
        <v>1728</v>
      </c>
      <c r="D1125" s="28" t="s">
        <v>1729</v>
      </c>
      <c r="E1125" s="28" t="s">
        <v>211</v>
      </c>
      <c r="F1125" s="28" t="s">
        <v>322</v>
      </c>
      <c r="G1125" s="28" t="s">
        <v>1730</v>
      </c>
      <c r="H1125" s="28">
        <v>8075050</v>
      </c>
      <c r="I1125" s="28">
        <v>248607</v>
      </c>
      <c r="J1125" s="28">
        <v>0.99</v>
      </c>
      <c r="K1125" s="28">
        <v>16</v>
      </c>
      <c r="L1125" s="28">
        <v>1</v>
      </c>
    </row>
    <row r="1126" spans="1:12" ht="14.25" customHeight="1" x14ac:dyDescent="0.2">
      <c r="A1126" s="28">
        <v>1125</v>
      </c>
      <c r="B1126" s="28" t="s">
        <v>1733</v>
      </c>
      <c r="C1126" s="28" t="s">
        <v>1728</v>
      </c>
      <c r="D1126" s="28" t="s">
        <v>1729</v>
      </c>
      <c r="E1126" s="28" t="s">
        <v>211</v>
      </c>
      <c r="F1126" s="28" t="s">
        <v>322</v>
      </c>
      <c r="G1126" s="28" t="s">
        <v>1730</v>
      </c>
      <c r="H1126" s="28">
        <v>8017041</v>
      </c>
      <c r="I1126" s="28">
        <v>246125</v>
      </c>
      <c r="J1126" s="28">
        <v>0.99</v>
      </c>
      <c r="K1126" s="28">
        <v>40</v>
      </c>
      <c r="L1126" s="28">
        <v>0</v>
      </c>
    </row>
    <row r="1127" spans="1:12" ht="14.25" customHeight="1" x14ac:dyDescent="0.2">
      <c r="A1127" s="28">
        <v>1126</v>
      </c>
      <c r="B1127" s="28" t="s">
        <v>1734</v>
      </c>
      <c r="C1127" s="28" t="s">
        <v>1728</v>
      </c>
      <c r="D1127" s="28" t="s">
        <v>1729</v>
      </c>
      <c r="E1127" s="28" t="s">
        <v>211</v>
      </c>
      <c r="F1127" s="28" t="s">
        <v>322</v>
      </c>
      <c r="G1127" s="28" t="s">
        <v>1730</v>
      </c>
      <c r="H1127" s="28">
        <v>8513891</v>
      </c>
      <c r="I1127" s="28">
        <v>260884</v>
      </c>
      <c r="J1127" s="28">
        <v>0.99</v>
      </c>
      <c r="K1127" s="28">
        <v>52</v>
      </c>
      <c r="L1127" s="28">
        <v>2</v>
      </c>
    </row>
    <row r="1128" spans="1:12" ht="14.25" customHeight="1" x14ac:dyDescent="0.2">
      <c r="A1128" s="28">
        <v>1127</v>
      </c>
      <c r="B1128" s="28" t="s">
        <v>1735</v>
      </c>
      <c r="C1128" s="28" t="s">
        <v>1728</v>
      </c>
      <c r="D1128" s="28" t="s">
        <v>1729</v>
      </c>
      <c r="E1128" s="28" t="s">
        <v>211</v>
      </c>
      <c r="F1128" s="28" t="s">
        <v>322</v>
      </c>
      <c r="G1128" s="28" t="s">
        <v>1730</v>
      </c>
      <c r="H1128" s="28">
        <v>8059642</v>
      </c>
      <c r="I1128" s="28">
        <v>247170</v>
      </c>
      <c r="J1128" s="28">
        <v>0.99</v>
      </c>
      <c r="K1128" s="28">
        <v>56</v>
      </c>
      <c r="L1128" s="28">
        <v>1</v>
      </c>
    </row>
    <row r="1129" spans="1:12" ht="14.25" customHeight="1" x14ac:dyDescent="0.2">
      <c r="A1129" s="28">
        <v>1128</v>
      </c>
      <c r="B1129" s="28" t="s">
        <v>1736</v>
      </c>
      <c r="C1129" s="28" t="s">
        <v>1728</v>
      </c>
      <c r="D1129" s="28" t="s">
        <v>1729</v>
      </c>
      <c r="E1129" s="28" t="s">
        <v>211</v>
      </c>
      <c r="F1129" s="28" t="s">
        <v>322</v>
      </c>
      <c r="G1129" s="28" t="s">
        <v>1730</v>
      </c>
      <c r="H1129" s="28">
        <v>8276372</v>
      </c>
      <c r="I1129" s="28">
        <v>252760</v>
      </c>
      <c r="J1129" s="28">
        <v>0.99</v>
      </c>
      <c r="K1129" s="28">
        <v>46</v>
      </c>
      <c r="L1129" s="28">
        <v>0</v>
      </c>
    </row>
    <row r="1130" spans="1:12" ht="14.25" customHeight="1" x14ac:dyDescent="0.2">
      <c r="A1130" s="28">
        <v>1129</v>
      </c>
      <c r="B1130" s="28" t="s">
        <v>1737</v>
      </c>
      <c r="C1130" s="28" t="s">
        <v>1728</v>
      </c>
      <c r="D1130" s="28" t="s">
        <v>1729</v>
      </c>
      <c r="E1130" s="28" t="s">
        <v>211</v>
      </c>
      <c r="F1130" s="28" t="s">
        <v>322</v>
      </c>
      <c r="G1130" s="28" t="s">
        <v>1730</v>
      </c>
      <c r="H1130" s="28">
        <v>8206611</v>
      </c>
      <c r="I1130" s="28">
        <v>251454</v>
      </c>
      <c r="J1130" s="28">
        <v>0.99</v>
      </c>
      <c r="K1130" s="28">
        <v>53</v>
      </c>
      <c r="L1130" s="28">
        <v>0</v>
      </c>
    </row>
    <row r="1131" spans="1:12" ht="14.25" customHeight="1" x14ac:dyDescent="0.2">
      <c r="A1131" s="28">
        <v>1130</v>
      </c>
      <c r="B1131" s="28" t="s">
        <v>1738</v>
      </c>
      <c r="C1131" s="28" t="s">
        <v>1728</v>
      </c>
      <c r="D1131" s="28" t="s">
        <v>1729</v>
      </c>
      <c r="E1131" s="28" t="s">
        <v>211</v>
      </c>
      <c r="F1131" s="28" t="s">
        <v>322</v>
      </c>
      <c r="G1131" s="28" t="s">
        <v>1730</v>
      </c>
      <c r="H1131" s="28">
        <v>7803270</v>
      </c>
      <c r="I1131" s="28">
        <v>239516</v>
      </c>
      <c r="J1131" s="28">
        <v>0.99</v>
      </c>
      <c r="K1131" s="28">
        <v>50</v>
      </c>
      <c r="L1131" s="28">
        <v>1</v>
      </c>
    </row>
    <row r="1132" spans="1:12" ht="14.25" customHeight="1" x14ac:dyDescent="0.2">
      <c r="A1132" s="28">
        <v>1131</v>
      </c>
      <c r="B1132" s="28" t="s">
        <v>1739</v>
      </c>
      <c r="C1132" s="28" t="s">
        <v>1728</v>
      </c>
      <c r="D1132" s="28" t="s">
        <v>1729</v>
      </c>
      <c r="E1132" s="28" t="s">
        <v>211</v>
      </c>
      <c r="F1132" s="28" t="s">
        <v>322</v>
      </c>
      <c r="G1132" s="28" t="s">
        <v>1730</v>
      </c>
      <c r="H1132" s="28">
        <v>3035251</v>
      </c>
      <c r="I1132" s="28">
        <v>89547</v>
      </c>
      <c r="J1132" s="28">
        <v>0.99</v>
      </c>
      <c r="K1132" s="28">
        <v>63</v>
      </c>
      <c r="L1132" s="28">
        <v>0</v>
      </c>
    </row>
    <row r="1133" spans="1:12" ht="14.25" customHeight="1" x14ac:dyDescent="0.2">
      <c r="A1133" s="28">
        <v>1132</v>
      </c>
      <c r="B1133" s="28" t="s">
        <v>1740</v>
      </c>
      <c r="C1133" s="28" t="s">
        <v>1728</v>
      </c>
      <c r="D1133" s="28" t="s">
        <v>1729</v>
      </c>
      <c r="E1133" s="28" t="s">
        <v>211</v>
      </c>
      <c r="F1133" s="28" t="s">
        <v>322</v>
      </c>
      <c r="G1133" s="28" t="s">
        <v>1731</v>
      </c>
      <c r="H1133" s="28">
        <v>9172976</v>
      </c>
      <c r="I1133" s="28">
        <v>274834</v>
      </c>
      <c r="J1133" s="28">
        <v>0.99</v>
      </c>
      <c r="K1133" s="28">
        <v>60</v>
      </c>
      <c r="L1133" s="28">
        <v>0</v>
      </c>
    </row>
    <row r="1134" spans="1:12" ht="14.25" customHeight="1" x14ac:dyDescent="0.2">
      <c r="A1134" s="28">
        <v>1133</v>
      </c>
      <c r="B1134" s="28" t="s">
        <v>1741</v>
      </c>
      <c r="C1134" s="28" t="s">
        <v>1741</v>
      </c>
      <c r="D1134" s="28" t="s">
        <v>868</v>
      </c>
      <c r="E1134" s="28" t="s">
        <v>211</v>
      </c>
      <c r="F1134" s="28" t="s">
        <v>348</v>
      </c>
      <c r="G1134" s="28" t="s">
        <v>1742</v>
      </c>
      <c r="H1134" s="28">
        <v>5705793</v>
      </c>
      <c r="I1134" s="28">
        <v>174419</v>
      </c>
      <c r="J1134" s="28">
        <v>0.99</v>
      </c>
      <c r="K1134" s="28">
        <v>6</v>
      </c>
      <c r="L1134" s="28">
        <v>1</v>
      </c>
    </row>
    <row r="1135" spans="1:12" ht="14.25" customHeight="1" x14ac:dyDescent="0.2">
      <c r="A1135" s="28">
        <v>1134</v>
      </c>
      <c r="B1135" s="28" t="s">
        <v>1743</v>
      </c>
      <c r="C1135" s="28" t="s">
        <v>1741</v>
      </c>
      <c r="D1135" s="28" t="s">
        <v>868</v>
      </c>
      <c r="E1135" s="28" t="s">
        <v>211</v>
      </c>
      <c r="F1135" s="28" t="s">
        <v>348</v>
      </c>
      <c r="G1135" s="28" t="s">
        <v>1744</v>
      </c>
      <c r="H1135" s="28">
        <v>17875209</v>
      </c>
      <c r="I1135" s="28">
        <v>548336</v>
      </c>
      <c r="J1135" s="28">
        <v>0.99</v>
      </c>
      <c r="K1135" s="28">
        <v>78</v>
      </c>
      <c r="L1135" s="28">
        <v>1</v>
      </c>
    </row>
    <row r="1136" spans="1:12" ht="14.25" customHeight="1" x14ac:dyDescent="0.2">
      <c r="A1136" s="28">
        <v>1135</v>
      </c>
      <c r="B1136" s="28" t="s">
        <v>1745</v>
      </c>
      <c r="C1136" s="28" t="s">
        <v>1741</v>
      </c>
      <c r="D1136" s="28" t="s">
        <v>868</v>
      </c>
      <c r="E1136" s="28" t="s">
        <v>211</v>
      </c>
      <c r="F1136" s="28" t="s">
        <v>348</v>
      </c>
      <c r="G1136" s="28" t="s">
        <v>1742</v>
      </c>
      <c r="H1136" s="28">
        <v>7599602</v>
      </c>
      <c r="I1136" s="28">
        <v>232724</v>
      </c>
      <c r="J1136" s="28">
        <v>0.99</v>
      </c>
      <c r="K1136" s="28">
        <v>95</v>
      </c>
      <c r="L1136" s="28">
        <v>2</v>
      </c>
    </row>
    <row r="1137" spans="1:12" ht="14.25" customHeight="1" x14ac:dyDescent="0.2">
      <c r="A1137" s="28">
        <v>1136</v>
      </c>
      <c r="B1137" s="28" t="s">
        <v>1746</v>
      </c>
      <c r="C1137" s="28" t="s">
        <v>1741</v>
      </c>
      <c r="D1137" s="28" t="s">
        <v>868</v>
      </c>
      <c r="E1137" s="28" t="s">
        <v>211</v>
      </c>
      <c r="F1137" s="28" t="s">
        <v>348</v>
      </c>
      <c r="G1137" s="28" t="s">
        <v>1747</v>
      </c>
      <c r="H1137" s="28">
        <v>8485122</v>
      </c>
      <c r="I1137" s="28">
        <v>260858</v>
      </c>
      <c r="J1137" s="28">
        <v>0.99</v>
      </c>
      <c r="K1137" s="28">
        <v>93</v>
      </c>
      <c r="L1137" s="28">
        <v>1</v>
      </c>
    </row>
    <row r="1138" spans="1:12" ht="14.25" customHeight="1" x14ac:dyDescent="0.2">
      <c r="A1138" s="28">
        <v>1137</v>
      </c>
      <c r="B1138" s="28" t="s">
        <v>1748</v>
      </c>
      <c r="C1138" s="28" t="s">
        <v>1741</v>
      </c>
      <c r="D1138" s="28" t="s">
        <v>868</v>
      </c>
      <c r="E1138" s="28" t="s">
        <v>211</v>
      </c>
      <c r="F1138" s="28" t="s">
        <v>348</v>
      </c>
      <c r="G1138" s="28" t="s">
        <v>868</v>
      </c>
      <c r="H1138" s="28">
        <v>5328329</v>
      </c>
      <c r="I1138" s="28">
        <v>163004</v>
      </c>
      <c r="J1138" s="28">
        <v>0.99</v>
      </c>
      <c r="K1138" s="28">
        <v>3</v>
      </c>
      <c r="L1138" s="28">
        <v>1</v>
      </c>
    </row>
    <row r="1139" spans="1:12" ht="14.25" customHeight="1" x14ac:dyDescent="0.2">
      <c r="A1139" s="28">
        <v>1138</v>
      </c>
      <c r="B1139" s="28" t="s">
        <v>1749</v>
      </c>
      <c r="C1139" s="28" t="s">
        <v>1741</v>
      </c>
      <c r="D1139" s="28" t="s">
        <v>868</v>
      </c>
      <c r="E1139" s="28" t="s">
        <v>211</v>
      </c>
      <c r="F1139" s="28" t="s">
        <v>348</v>
      </c>
      <c r="G1139" s="28" t="s">
        <v>868</v>
      </c>
      <c r="H1139" s="28">
        <v>5716589</v>
      </c>
      <c r="I1139" s="28">
        <v>175307</v>
      </c>
      <c r="J1139" s="28">
        <v>0.99</v>
      </c>
      <c r="K1139" s="28">
        <v>20</v>
      </c>
      <c r="L1139" s="28">
        <v>1</v>
      </c>
    </row>
    <row r="1140" spans="1:12" ht="14.25" customHeight="1" x14ac:dyDescent="0.2">
      <c r="A1140" s="28">
        <v>1139</v>
      </c>
      <c r="B1140" s="28" t="s">
        <v>1750</v>
      </c>
      <c r="C1140" s="28" t="s">
        <v>1741</v>
      </c>
      <c r="D1140" s="28" t="s">
        <v>868</v>
      </c>
      <c r="E1140" s="28" t="s">
        <v>211</v>
      </c>
      <c r="F1140" s="28" t="s">
        <v>348</v>
      </c>
      <c r="G1140" s="28" t="s">
        <v>868</v>
      </c>
      <c r="H1140" s="28">
        <v>6752485</v>
      </c>
      <c r="I1140" s="28">
        <v>205871</v>
      </c>
      <c r="J1140" s="28">
        <v>0.99</v>
      </c>
      <c r="K1140" s="28">
        <v>80</v>
      </c>
      <c r="L1140" s="28">
        <v>2</v>
      </c>
    </row>
    <row r="1141" spans="1:12" ht="14.25" customHeight="1" x14ac:dyDescent="0.2">
      <c r="A1141" s="28">
        <v>1140</v>
      </c>
      <c r="B1141" s="28" t="s">
        <v>1751</v>
      </c>
      <c r="C1141" s="28" t="s">
        <v>1741</v>
      </c>
      <c r="D1141" s="28" t="s">
        <v>868</v>
      </c>
      <c r="E1141" s="28" t="s">
        <v>211</v>
      </c>
      <c r="F1141" s="28" t="s">
        <v>348</v>
      </c>
      <c r="G1141" s="28" t="s">
        <v>868</v>
      </c>
      <c r="H1141" s="28">
        <v>3901226</v>
      </c>
      <c r="I1141" s="28">
        <v>120528</v>
      </c>
      <c r="J1141" s="28">
        <v>0.99</v>
      </c>
      <c r="K1141" s="28">
        <v>82</v>
      </c>
      <c r="L1141" s="28">
        <v>0</v>
      </c>
    </row>
    <row r="1142" spans="1:12" ht="14.25" customHeight="1" x14ac:dyDescent="0.2">
      <c r="A1142" s="28">
        <v>1141</v>
      </c>
      <c r="B1142" s="28" t="s">
        <v>1752</v>
      </c>
      <c r="C1142" s="28" t="s">
        <v>1741</v>
      </c>
      <c r="D1142" s="28" t="s">
        <v>868</v>
      </c>
      <c r="E1142" s="28" t="s">
        <v>211</v>
      </c>
      <c r="F1142" s="28" t="s">
        <v>348</v>
      </c>
      <c r="G1142" s="28" t="s">
        <v>868</v>
      </c>
      <c r="H1142" s="28">
        <v>6975177</v>
      </c>
      <c r="I1142" s="28">
        <v>214021</v>
      </c>
      <c r="J1142" s="28">
        <v>0.99</v>
      </c>
      <c r="K1142" s="28">
        <v>41</v>
      </c>
      <c r="L1142" s="28">
        <v>1</v>
      </c>
    </row>
    <row r="1143" spans="1:12" ht="14.25" customHeight="1" x14ac:dyDescent="0.2">
      <c r="A1143" s="28">
        <v>1142</v>
      </c>
      <c r="B1143" s="28" t="s">
        <v>1753</v>
      </c>
      <c r="C1143" s="28" t="s">
        <v>1741</v>
      </c>
      <c r="D1143" s="28" t="s">
        <v>868</v>
      </c>
      <c r="E1143" s="28" t="s">
        <v>211</v>
      </c>
      <c r="F1143" s="28" t="s">
        <v>348</v>
      </c>
      <c r="G1143" s="28" t="s">
        <v>868</v>
      </c>
      <c r="H1143" s="28">
        <v>7980902</v>
      </c>
      <c r="I1143" s="28">
        <v>246151</v>
      </c>
      <c r="J1143" s="28">
        <v>0.99</v>
      </c>
      <c r="K1143" s="28">
        <v>70</v>
      </c>
      <c r="L1143" s="28">
        <v>1</v>
      </c>
    </row>
    <row r="1144" spans="1:12" ht="14.25" customHeight="1" x14ac:dyDescent="0.2">
      <c r="A1144" s="28">
        <v>1143</v>
      </c>
      <c r="B1144" s="28" t="s">
        <v>1754</v>
      </c>
      <c r="C1144" s="28" t="s">
        <v>1741</v>
      </c>
      <c r="D1144" s="28" t="s">
        <v>868</v>
      </c>
      <c r="E1144" s="28" t="s">
        <v>211</v>
      </c>
      <c r="F1144" s="28" t="s">
        <v>348</v>
      </c>
      <c r="G1144" s="28" t="s">
        <v>1747</v>
      </c>
      <c r="H1144" s="28">
        <v>9325597</v>
      </c>
      <c r="I1144" s="28">
        <v>285753</v>
      </c>
      <c r="J1144" s="28">
        <v>0.99</v>
      </c>
      <c r="K1144" s="28">
        <v>9</v>
      </c>
      <c r="L1144" s="28">
        <v>1</v>
      </c>
    </row>
    <row r="1145" spans="1:12" ht="14.25" customHeight="1" x14ac:dyDescent="0.2">
      <c r="A1145" s="28">
        <v>1144</v>
      </c>
      <c r="B1145" s="28" t="s">
        <v>1755</v>
      </c>
      <c r="C1145" s="28" t="s">
        <v>1741</v>
      </c>
      <c r="D1145" s="28" t="s">
        <v>868</v>
      </c>
      <c r="E1145" s="28" t="s">
        <v>211</v>
      </c>
      <c r="F1145" s="28" t="s">
        <v>348</v>
      </c>
      <c r="G1145" s="28" t="s">
        <v>1756</v>
      </c>
      <c r="H1145" s="28">
        <v>18139840</v>
      </c>
      <c r="I1145" s="28">
        <v>558602</v>
      </c>
      <c r="J1145" s="28">
        <v>0.99</v>
      </c>
      <c r="K1145" s="28">
        <v>34</v>
      </c>
      <c r="L1145" s="28">
        <v>1</v>
      </c>
    </row>
    <row r="1146" spans="1:12" ht="14.25" customHeight="1" x14ac:dyDescent="0.2">
      <c r="A1146" s="28">
        <v>1145</v>
      </c>
      <c r="B1146" s="28" t="s">
        <v>1757</v>
      </c>
      <c r="C1146" s="28" t="s">
        <v>1741</v>
      </c>
      <c r="D1146" s="28" t="s">
        <v>868</v>
      </c>
      <c r="E1146" s="28" t="s">
        <v>211</v>
      </c>
      <c r="F1146" s="28" t="s">
        <v>348</v>
      </c>
      <c r="G1146" s="28" t="s">
        <v>868</v>
      </c>
      <c r="H1146" s="28">
        <v>8244843</v>
      </c>
      <c r="I1146" s="28">
        <v>252316</v>
      </c>
      <c r="J1146" s="28">
        <v>0.99</v>
      </c>
      <c r="K1146" s="28">
        <v>71</v>
      </c>
      <c r="L1146" s="28">
        <v>2</v>
      </c>
    </row>
    <row r="1147" spans="1:12" ht="14.25" customHeight="1" x14ac:dyDescent="0.2">
      <c r="A1147" s="28">
        <v>1146</v>
      </c>
      <c r="B1147" s="28" t="s">
        <v>1758</v>
      </c>
      <c r="C1147" s="28" t="s">
        <v>1759</v>
      </c>
      <c r="D1147" s="28" t="s">
        <v>1760</v>
      </c>
      <c r="E1147" s="28" t="s">
        <v>216</v>
      </c>
      <c r="F1147" s="28" t="s">
        <v>212</v>
      </c>
      <c r="G1147" s="28"/>
      <c r="H1147" s="28">
        <v>4538451</v>
      </c>
      <c r="I1147" s="28">
        <v>273552</v>
      </c>
      <c r="J1147" s="28">
        <v>0.99</v>
      </c>
      <c r="K1147" s="28">
        <v>60</v>
      </c>
      <c r="L1147" s="28">
        <v>1</v>
      </c>
    </row>
    <row r="1148" spans="1:12" ht="14.25" customHeight="1" x14ac:dyDescent="0.2">
      <c r="A1148" s="28">
        <v>1147</v>
      </c>
      <c r="B1148" s="28" t="s">
        <v>1761</v>
      </c>
      <c r="C1148" s="28" t="s">
        <v>1759</v>
      </c>
      <c r="D1148" s="28" t="s">
        <v>1760</v>
      </c>
      <c r="E1148" s="28" t="s">
        <v>216</v>
      </c>
      <c r="F1148" s="28" t="s">
        <v>212</v>
      </c>
      <c r="G1148" s="28"/>
      <c r="H1148" s="28">
        <v>3394019</v>
      </c>
      <c r="I1148" s="28">
        <v>202824</v>
      </c>
      <c r="J1148" s="28">
        <v>0.99</v>
      </c>
      <c r="K1148" s="28">
        <v>17</v>
      </c>
      <c r="L1148" s="28">
        <v>1</v>
      </c>
    </row>
    <row r="1149" spans="1:12" ht="14.25" customHeight="1" x14ac:dyDescent="0.2">
      <c r="A1149" s="28">
        <v>1148</v>
      </c>
      <c r="B1149" s="28" t="s">
        <v>1762</v>
      </c>
      <c r="C1149" s="28" t="s">
        <v>1759</v>
      </c>
      <c r="D1149" s="28" t="s">
        <v>1760</v>
      </c>
      <c r="E1149" s="28" t="s">
        <v>216</v>
      </c>
      <c r="F1149" s="28" t="s">
        <v>212</v>
      </c>
      <c r="G1149" s="28"/>
      <c r="H1149" s="28">
        <v>4457283</v>
      </c>
      <c r="I1149" s="28">
        <v>268537</v>
      </c>
      <c r="J1149" s="28">
        <v>0.99</v>
      </c>
      <c r="K1149" s="28">
        <v>97</v>
      </c>
      <c r="L1149" s="28">
        <v>0</v>
      </c>
    </row>
    <row r="1150" spans="1:12" ht="14.25" customHeight="1" x14ac:dyDescent="0.2">
      <c r="A1150" s="28">
        <v>1149</v>
      </c>
      <c r="B1150" s="28" t="s">
        <v>1763</v>
      </c>
      <c r="C1150" s="28" t="s">
        <v>1759</v>
      </c>
      <c r="D1150" s="28" t="s">
        <v>1760</v>
      </c>
      <c r="E1150" s="28" t="s">
        <v>216</v>
      </c>
      <c r="F1150" s="28" t="s">
        <v>212</v>
      </c>
      <c r="G1150" s="28"/>
      <c r="H1150" s="28">
        <v>4382147</v>
      </c>
      <c r="I1150" s="28">
        <v>263893</v>
      </c>
      <c r="J1150" s="28">
        <v>0.99</v>
      </c>
      <c r="K1150" s="28">
        <v>49</v>
      </c>
      <c r="L1150" s="28">
        <v>1</v>
      </c>
    </row>
    <row r="1151" spans="1:12" ht="14.25" customHeight="1" x14ac:dyDescent="0.2">
      <c r="A1151" s="28">
        <v>1150</v>
      </c>
      <c r="B1151" s="28" t="s">
        <v>1764</v>
      </c>
      <c r="C1151" s="28" t="s">
        <v>1759</v>
      </c>
      <c r="D1151" s="28" t="s">
        <v>1760</v>
      </c>
      <c r="E1151" s="28" t="s">
        <v>216</v>
      </c>
      <c r="F1151" s="28" t="s">
        <v>212</v>
      </c>
      <c r="G1151" s="28"/>
      <c r="H1151" s="28">
        <v>3816323</v>
      </c>
      <c r="I1151" s="28">
        <v>228924</v>
      </c>
      <c r="J1151" s="28">
        <v>0.99</v>
      </c>
      <c r="K1151" s="28">
        <v>48</v>
      </c>
      <c r="L1151" s="28">
        <v>1</v>
      </c>
    </row>
    <row r="1152" spans="1:12" ht="14.25" customHeight="1" x14ac:dyDescent="0.2">
      <c r="A1152" s="28">
        <v>1151</v>
      </c>
      <c r="B1152" s="28" t="s">
        <v>1765</v>
      </c>
      <c r="C1152" s="28" t="s">
        <v>1759</v>
      </c>
      <c r="D1152" s="28" t="s">
        <v>1760</v>
      </c>
      <c r="E1152" s="28" t="s">
        <v>216</v>
      </c>
      <c r="F1152" s="28" t="s">
        <v>212</v>
      </c>
      <c r="G1152" s="28"/>
      <c r="H1152" s="28">
        <v>6687123</v>
      </c>
      <c r="I1152" s="28">
        <v>406347</v>
      </c>
      <c r="J1152" s="28">
        <v>0.99</v>
      </c>
      <c r="K1152" s="28">
        <v>97</v>
      </c>
      <c r="L1152" s="28">
        <v>1</v>
      </c>
    </row>
    <row r="1153" spans="1:12" ht="14.25" customHeight="1" x14ac:dyDescent="0.2">
      <c r="A1153" s="28">
        <v>1152</v>
      </c>
      <c r="B1153" s="28" t="s">
        <v>1766</v>
      </c>
      <c r="C1153" s="28" t="s">
        <v>1759</v>
      </c>
      <c r="D1153" s="28" t="s">
        <v>1760</v>
      </c>
      <c r="E1153" s="28" t="s">
        <v>216</v>
      </c>
      <c r="F1153" s="28" t="s">
        <v>212</v>
      </c>
      <c r="G1153" s="28"/>
      <c r="H1153" s="28">
        <v>3671299</v>
      </c>
      <c r="I1153" s="28">
        <v>219961</v>
      </c>
      <c r="J1153" s="28">
        <v>0.99</v>
      </c>
      <c r="K1153" s="28">
        <v>61</v>
      </c>
      <c r="L1153" s="28">
        <v>0</v>
      </c>
    </row>
    <row r="1154" spans="1:12" ht="14.25" customHeight="1" x14ac:dyDescent="0.2">
      <c r="A1154" s="28">
        <v>1153</v>
      </c>
      <c r="B1154" s="28" t="s">
        <v>1767</v>
      </c>
      <c r="C1154" s="28" t="s">
        <v>1759</v>
      </c>
      <c r="D1154" s="28" t="s">
        <v>1760</v>
      </c>
      <c r="E1154" s="28" t="s">
        <v>216</v>
      </c>
      <c r="F1154" s="28" t="s">
        <v>212</v>
      </c>
      <c r="G1154" s="28"/>
      <c r="H1154" s="28">
        <v>3860275</v>
      </c>
      <c r="I1154" s="28">
        <v>231640</v>
      </c>
      <c r="J1154" s="28">
        <v>0.99</v>
      </c>
      <c r="K1154" s="28">
        <v>36</v>
      </c>
      <c r="L1154" s="28">
        <v>1</v>
      </c>
    </row>
    <row r="1155" spans="1:12" ht="14.25" customHeight="1" x14ac:dyDescent="0.2">
      <c r="A1155" s="28">
        <v>1154</v>
      </c>
      <c r="B1155" s="28" t="s">
        <v>1768</v>
      </c>
      <c r="C1155" s="28" t="s">
        <v>1759</v>
      </c>
      <c r="D1155" s="28" t="s">
        <v>1760</v>
      </c>
      <c r="E1155" s="28" t="s">
        <v>216</v>
      </c>
      <c r="F1155" s="28" t="s">
        <v>212</v>
      </c>
      <c r="G1155" s="28"/>
      <c r="H1155" s="28">
        <v>5879347</v>
      </c>
      <c r="I1155" s="28">
        <v>356424</v>
      </c>
      <c r="J1155" s="28">
        <v>0.99</v>
      </c>
      <c r="K1155" s="28">
        <v>93</v>
      </c>
      <c r="L1155" s="28">
        <v>0</v>
      </c>
    </row>
    <row r="1156" spans="1:12" ht="14.25" customHeight="1" x14ac:dyDescent="0.2">
      <c r="A1156" s="28">
        <v>1155</v>
      </c>
      <c r="B1156" s="28" t="s">
        <v>1769</v>
      </c>
      <c r="C1156" s="28" t="s">
        <v>1759</v>
      </c>
      <c r="D1156" s="28" t="s">
        <v>1760</v>
      </c>
      <c r="E1156" s="28" t="s">
        <v>216</v>
      </c>
      <c r="F1156" s="28" t="s">
        <v>212</v>
      </c>
      <c r="G1156" s="28"/>
      <c r="H1156" s="28">
        <v>3301971</v>
      </c>
      <c r="I1156" s="28">
        <v>197135</v>
      </c>
      <c r="J1156" s="28">
        <v>0.99</v>
      </c>
      <c r="K1156" s="28">
        <v>79</v>
      </c>
      <c r="L1156" s="28">
        <v>0</v>
      </c>
    </row>
    <row r="1157" spans="1:12" ht="14.25" customHeight="1" x14ac:dyDescent="0.2">
      <c r="A1157" s="28">
        <v>1156</v>
      </c>
      <c r="B1157" s="28" t="s">
        <v>1770</v>
      </c>
      <c r="C1157" s="28" t="s">
        <v>1759</v>
      </c>
      <c r="D1157" s="28" t="s">
        <v>1760</v>
      </c>
      <c r="E1157" s="28" t="s">
        <v>216</v>
      </c>
      <c r="F1157" s="28" t="s">
        <v>212</v>
      </c>
      <c r="G1157" s="28"/>
      <c r="H1157" s="28">
        <v>3451891</v>
      </c>
      <c r="I1157" s="28">
        <v>206400</v>
      </c>
      <c r="J1157" s="28">
        <v>0.99</v>
      </c>
      <c r="K1157" s="28">
        <v>73</v>
      </c>
      <c r="L1157" s="28">
        <v>1</v>
      </c>
    </row>
    <row r="1158" spans="1:12" ht="14.25" customHeight="1" x14ac:dyDescent="0.2">
      <c r="A1158" s="28">
        <v>1157</v>
      </c>
      <c r="B1158" s="28" t="s">
        <v>1771</v>
      </c>
      <c r="C1158" s="28" t="s">
        <v>1759</v>
      </c>
      <c r="D1158" s="28" t="s">
        <v>1760</v>
      </c>
      <c r="E1158" s="28" t="s">
        <v>216</v>
      </c>
      <c r="F1158" s="28" t="s">
        <v>212</v>
      </c>
      <c r="G1158" s="28"/>
      <c r="H1158" s="28">
        <v>6185539</v>
      </c>
      <c r="I1158" s="28">
        <v>375349</v>
      </c>
      <c r="J1158" s="28">
        <v>0.99</v>
      </c>
      <c r="K1158" s="28">
        <v>65</v>
      </c>
      <c r="L1158" s="28">
        <v>2</v>
      </c>
    </row>
    <row r="1159" spans="1:12" ht="14.25" customHeight="1" x14ac:dyDescent="0.2">
      <c r="A1159" s="28">
        <v>1158</v>
      </c>
      <c r="B1159" s="28" t="s">
        <v>1772</v>
      </c>
      <c r="C1159" s="28" t="s">
        <v>1773</v>
      </c>
      <c r="D1159" s="28" t="s">
        <v>1760</v>
      </c>
      <c r="E1159" s="28" t="s">
        <v>216</v>
      </c>
      <c r="F1159" s="28" t="s">
        <v>212</v>
      </c>
      <c r="G1159" s="28"/>
      <c r="H1159" s="28">
        <v>3175950</v>
      </c>
      <c r="I1159" s="28">
        <v>182321</v>
      </c>
      <c r="J1159" s="28">
        <v>0.99</v>
      </c>
      <c r="K1159" s="28">
        <v>6</v>
      </c>
      <c r="L1159" s="28">
        <v>1</v>
      </c>
    </row>
    <row r="1160" spans="1:12" ht="14.25" customHeight="1" x14ac:dyDescent="0.2">
      <c r="A1160" s="28">
        <v>1159</v>
      </c>
      <c r="B1160" s="28" t="s">
        <v>1774</v>
      </c>
      <c r="C1160" s="28" t="s">
        <v>1773</v>
      </c>
      <c r="D1160" s="28" t="s">
        <v>1760</v>
      </c>
      <c r="E1160" s="28" t="s">
        <v>216</v>
      </c>
      <c r="F1160" s="28" t="s">
        <v>212</v>
      </c>
      <c r="G1160" s="28"/>
      <c r="H1160" s="28">
        <v>5053742</v>
      </c>
      <c r="I1160" s="28">
        <v>298374</v>
      </c>
      <c r="J1160" s="28">
        <v>0.99</v>
      </c>
      <c r="K1160" s="28">
        <v>92</v>
      </c>
      <c r="L1160" s="28">
        <v>1</v>
      </c>
    </row>
    <row r="1161" spans="1:12" ht="14.25" customHeight="1" x14ac:dyDescent="0.2">
      <c r="A1161" s="28">
        <v>1160</v>
      </c>
      <c r="B1161" s="28" t="s">
        <v>1775</v>
      </c>
      <c r="C1161" s="28" t="s">
        <v>1773</v>
      </c>
      <c r="D1161" s="28" t="s">
        <v>1760</v>
      </c>
      <c r="E1161" s="28" t="s">
        <v>216</v>
      </c>
      <c r="F1161" s="28" t="s">
        <v>212</v>
      </c>
      <c r="G1161" s="28"/>
      <c r="H1161" s="28">
        <v>3203390</v>
      </c>
      <c r="I1161" s="28">
        <v>184016</v>
      </c>
      <c r="J1161" s="28">
        <v>0.99</v>
      </c>
      <c r="K1161" s="28">
        <v>2</v>
      </c>
      <c r="L1161" s="28">
        <v>1</v>
      </c>
    </row>
    <row r="1162" spans="1:12" ht="14.25" customHeight="1" x14ac:dyDescent="0.2">
      <c r="A1162" s="28">
        <v>1161</v>
      </c>
      <c r="B1162" s="28" t="s">
        <v>1776</v>
      </c>
      <c r="C1162" s="28" t="s">
        <v>1773</v>
      </c>
      <c r="D1162" s="28" t="s">
        <v>1760</v>
      </c>
      <c r="E1162" s="28" t="s">
        <v>216</v>
      </c>
      <c r="F1162" s="28" t="s">
        <v>212</v>
      </c>
      <c r="G1162" s="28"/>
      <c r="H1162" s="28">
        <v>4833259</v>
      </c>
      <c r="I1162" s="28">
        <v>284744</v>
      </c>
      <c r="J1162" s="28">
        <v>0.99</v>
      </c>
      <c r="K1162" s="28">
        <v>66</v>
      </c>
      <c r="L1162" s="28">
        <v>1</v>
      </c>
    </row>
    <row r="1163" spans="1:12" ht="14.25" customHeight="1" x14ac:dyDescent="0.2">
      <c r="A1163" s="28">
        <v>1162</v>
      </c>
      <c r="B1163" s="28" t="s">
        <v>1777</v>
      </c>
      <c r="C1163" s="28" t="s">
        <v>1773</v>
      </c>
      <c r="D1163" s="28" t="s">
        <v>1760</v>
      </c>
      <c r="E1163" s="28" t="s">
        <v>216</v>
      </c>
      <c r="F1163" s="28" t="s">
        <v>212</v>
      </c>
      <c r="G1163" s="28"/>
      <c r="H1163" s="28">
        <v>2550030</v>
      </c>
      <c r="I1163" s="28">
        <v>143637</v>
      </c>
      <c r="J1163" s="28">
        <v>0.99</v>
      </c>
      <c r="K1163" s="28">
        <v>1</v>
      </c>
      <c r="L1163" s="28">
        <v>2</v>
      </c>
    </row>
    <row r="1164" spans="1:12" ht="14.25" customHeight="1" x14ac:dyDescent="0.2">
      <c r="A1164" s="28">
        <v>1163</v>
      </c>
      <c r="B1164" s="28" t="s">
        <v>1778</v>
      </c>
      <c r="C1164" s="28" t="s">
        <v>1773</v>
      </c>
      <c r="D1164" s="28" t="s">
        <v>1760</v>
      </c>
      <c r="E1164" s="28" t="s">
        <v>216</v>
      </c>
      <c r="F1164" s="28" t="s">
        <v>212</v>
      </c>
      <c r="G1164" s="28"/>
      <c r="H1164" s="28">
        <v>2754414</v>
      </c>
      <c r="I1164" s="28">
        <v>156268</v>
      </c>
      <c r="J1164" s="28">
        <v>0.99</v>
      </c>
      <c r="K1164" s="28">
        <v>61</v>
      </c>
      <c r="L1164" s="28">
        <v>1</v>
      </c>
    </row>
    <row r="1165" spans="1:12" ht="14.25" customHeight="1" x14ac:dyDescent="0.2">
      <c r="A1165" s="28">
        <v>1164</v>
      </c>
      <c r="B1165" s="28" t="s">
        <v>1779</v>
      </c>
      <c r="C1165" s="28" t="s">
        <v>1773</v>
      </c>
      <c r="D1165" s="28" t="s">
        <v>1760</v>
      </c>
      <c r="E1165" s="28" t="s">
        <v>216</v>
      </c>
      <c r="F1165" s="28" t="s">
        <v>212</v>
      </c>
      <c r="G1165" s="28"/>
      <c r="H1165" s="28">
        <v>5537678</v>
      </c>
      <c r="I1165" s="28">
        <v>328282</v>
      </c>
      <c r="J1165" s="28">
        <v>0.99</v>
      </c>
      <c r="K1165" s="28">
        <v>17</v>
      </c>
      <c r="L1165" s="28">
        <v>1</v>
      </c>
    </row>
    <row r="1166" spans="1:12" ht="14.25" customHeight="1" x14ac:dyDescent="0.2">
      <c r="A1166" s="28">
        <v>1165</v>
      </c>
      <c r="B1166" s="28" t="s">
        <v>1780</v>
      </c>
      <c r="C1166" s="28" t="s">
        <v>1773</v>
      </c>
      <c r="D1166" s="28" t="s">
        <v>1760</v>
      </c>
      <c r="E1166" s="28" t="s">
        <v>216</v>
      </c>
      <c r="F1166" s="28" t="s">
        <v>212</v>
      </c>
      <c r="G1166" s="28"/>
      <c r="H1166" s="28">
        <v>5135662</v>
      </c>
      <c r="I1166" s="28">
        <v>303436</v>
      </c>
      <c r="J1166" s="28">
        <v>0.99</v>
      </c>
      <c r="K1166" s="28">
        <v>12</v>
      </c>
      <c r="L1166" s="28">
        <v>1</v>
      </c>
    </row>
    <row r="1167" spans="1:12" ht="14.25" customHeight="1" x14ac:dyDescent="0.2">
      <c r="A1167" s="28">
        <v>1166</v>
      </c>
      <c r="B1167" s="28" t="s">
        <v>1781</v>
      </c>
      <c r="C1167" s="28" t="s">
        <v>1773</v>
      </c>
      <c r="D1167" s="28" t="s">
        <v>1760</v>
      </c>
      <c r="E1167" s="28" t="s">
        <v>216</v>
      </c>
      <c r="F1167" s="28" t="s">
        <v>212</v>
      </c>
      <c r="G1167" s="28"/>
      <c r="H1167" s="28">
        <v>3520862</v>
      </c>
      <c r="I1167" s="28">
        <v>203637</v>
      </c>
      <c r="J1167" s="28">
        <v>0.99</v>
      </c>
      <c r="K1167" s="28">
        <v>82</v>
      </c>
      <c r="L1167" s="28">
        <v>1</v>
      </c>
    </row>
    <row r="1168" spans="1:12" ht="14.25" customHeight="1" x14ac:dyDescent="0.2">
      <c r="A1168" s="28">
        <v>1167</v>
      </c>
      <c r="B1168" s="28" t="s">
        <v>1782</v>
      </c>
      <c r="C1168" s="28" t="s">
        <v>1773</v>
      </c>
      <c r="D1168" s="28" t="s">
        <v>1760</v>
      </c>
      <c r="E1168" s="28" t="s">
        <v>216</v>
      </c>
      <c r="F1168" s="28" t="s">
        <v>212</v>
      </c>
      <c r="G1168" s="28"/>
      <c r="H1168" s="28">
        <v>8923566</v>
      </c>
      <c r="I1168" s="28">
        <v>537540</v>
      </c>
      <c r="J1168" s="28">
        <v>0.99</v>
      </c>
      <c r="K1168" s="28">
        <v>35</v>
      </c>
      <c r="L1168" s="28">
        <v>0</v>
      </c>
    </row>
    <row r="1169" spans="1:12" ht="14.25" customHeight="1" x14ac:dyDescent="0.2">
      <c r="A1169" s="28">
        <v>1168</v>
      </c>
      <c r="B1169" s="28" t="s">
        <v>1783</v>
      </c>
      <c r="C1169" s="28" t="s">
        <v>1773</v>
      </c>
      <c r="D1169" s="28" t="s">
        <v>1760</v>
      </c>
      <c r="E1169" s="28" t="s">
        <v>216</v>
      </c>
      <c r="F1169" s="28" t="s">
        <v>212</v>
      </c>
      <c r="G1169" s="28"/>
      <c r="H1169" s="28">
        <v>5438862</v>
      </c>
      <c r="I1169" s="28">
        <v>322175</v>
      </c>
      <c r="J1169" s="28">
        <v>0.99</v>
      </c>
      <c r="K1169" s="28">
        <v>7</v>
      </c>
      <c r="L1169" s="28">
        <v>2</v>
      </c>
    </row>
    <row r="1170" spans="1:12" ht="14.25" customHeight="1" x14ac:dyDescent="0.2">
      <c r="A1170" s="28">
        <v>1169</v>
      </c>
      <c r="B1170" s="28" t="s">
        <v>1784</v>
      </c>
      <c r="C1170" s="28" t="s">
        <v>1773</v>
      </c>
      <c r="D1170" s="28" t="s">
        <v>1760</v>
      </c>
      <c r="E1170" s="28" t="s">
        <v>216</v>
      </c>
      <c r="F1170" s="28" t="s">
        <v>212</v>
      </c>
      <c r="G1170" s="28"/>
      <c r="H1170" s="28">
        <v>2839694</v>
      </c>
      <c r="I1170" s="28">
        <v>161539</v>
      </c>
      <c r="J1170" s="28">
        <v>0.99</v>
      </c>
      <c r="K1170" s="28">
        <v>17</v>
      </c>
      <c r="L1170" s="28">
        <v>2</v>
      </c>
    </row>
    <row r="1171" spans="1:12" ht="14.25" customHeight="1" x14ac:dyDescent="0.2">
      <c r="A1171" s="28">
        <v>1170</v>
      </c>
      <c r="B1171" s="28" t="s">
        <v>1785</v>
      </c>
      <c r="C1171" s="28" t="s">
        <v>1773</v>
      </c>
      <c r="D1171" s="28" t="s">
        <v>1760</v>
      </c>
      <c r="E1171" s="28" t="s">
        <v>216</v>
      </c>
      <c r="F1171" s="28" t="s">
        <v>212</v>
      </c>
      <c r="G1171" s="28"/>
      <c r="H1171" s="28">
        <v>5385886</v>
      </c>
      <c r="I1171" s="28">
        <v>318901</v>
      </c>
      <c r="J1171" s="28">
        <v>0.99</v>
      </c>
      <c r="K1171" s="28">
        <v>94</v>
      </c>
      <c r="L1171" s="28">
        <v>1</v>
      </c>
    </row>
    <row r="1172" spans="1:12" ht="14.25" customHeight="1" x14ac:dyDescent="0.2">
      <c r="A1172" s="28">
        <v>1171</v>
      </c>
      <c r="B1172" s="28" t="s">
        <v>1786</v>
      </c>
      <c r="C1172" s="28" t="s">
        <v>1773</v>
      </c>
      <c r="D1172" s="28" t="s">
        <v>1760</v>
      </c>
      <c r="E1172" s="28" t="s">
        <v>216</v>
      </c>
      <c r="F1172" s="28" t="s">
        <v>212</v>
      </c>
      <c r="G1172" s="28"/>
      <c r="H1172" s="28">
        <v>4567966</v>
      </c>
      <c r="I1172" s="28">
        <v>268351</v>
      </c>
      <c r="J1172" s="28">
        <v>0.99</v>
      </c>
      <c r="K1172" s="28">
        <v>66</v>
      </c>
      <c r="L1172" s="28">
        <v>0</v>
      </c>
    </row>
    <row r="1173" spans="1:12" ht="14.25" customHeight="1" x14ac:dyDescent="0.2">
      <c r="A1173" s="28">
        <v>1172</v>
      </c>
      <c r="B1173" s="28" t="s">
        <v>1787</v>
      </c>
      <c r="C1173" s="28" t="s">
        <v>1773</v>
      </c>
      <c r="D1173" s="28" t="s">
        <v>1760</v>
      </c>
      <c r="E1173" s="28" t="s">
        <v>216</v>
      </c>
      <c r="F1173" s="28" t="s">
        <v>212</v>
      </c>
      <c r="G1173" s="28"/>
      <c r="H1173" s="28">
        <v>4394014</v>
      </c>
      <c r="I1173" s="28">
        <v>257600</v>
      </c>
      <c r="J1173" s="28">
        <v>0.99</v>
      </c>
      <c r="K1173" s="28">
        <v>81</v>
      </c>
      <c r="L1173" s="28">
        <v>1</v>
      </c>
    </row>
    <row r="1174" spans="1:12" ht="14.25" customHeight="1" x14ac:dyDescent="0.2">
      <c r="A1174" s="28">
        <v>1173</v>
      </c>
      <c r="B1174" s="28" t="s">
        <v>1788</v>
      </c>
      <c r="C1174" s="28" t="s">
        <v>1773</v>
      </c>
      <c r="D1174" s="28" t="s">
        <v>1760</v>
      </c>
      <c r="E1174" s="28" t="s">
        <v>216</v>
      </c>
      <c r="F1174" s="28" t="s">
        <v>212</v>
      </c>
      <c r="G1174" s="28"/>
      <c r="H1174" s="28">
        <v>10201342</v>
      </c>
      <c r="I1174" s="28">
        <v>616511</v>
      </c>
      <c r="J1174" s="28">
        <v>0.99</v>
      </c>
      <c r="K1174" s="28">
        <v>41</v>
      </c>
      <c r="L1174" s="28">
        <v>1</v>
      </c>
    </row>
    <row r="1175" spans="1:12" ht="14.25" customHeight="1" x14ac:dyDescent="0.2">
      <c r="A1175" s="28">
        <v>1174</v>
      </c>
      <c r="B1175" s="28" t="s">
        <v>1789</v>
      </c>
      <c r="C1175" s="28" t="s">
        <v>1790</v>
      </c>
      <c r="D1175" s="28" t="s">
        <v>1760</v>
      </c>
      <c r="E1175" s="28" t="s">
        <v>211</v>
      </c>
      <c r="F1175" s="28" t="s">
        <v>322</v>
      </c>
      <c r="G1175" s="28" t="s">
        <v>1791</v>
      </c>
      <c r="H1175" s="28">
        <v>15046579</v>
      </c>
      <c r="I1175" s="28">
        <v>461165</v>
      </c>
      <c r="J1175" s="28">
        <v>0.99</v>
      </c>
      <c r="K1175" s="28">
        <v>23</v>
      </c>
      <c r="L1175" s="28">
        <v>1</v>
      </c>
    </row>
    <row r="1176" spans="1:12" ht="14.25" customHeight="1" x14ac:dyDescent="0.2">
      <c r="A1176" s="28">
        <v>1175</v>
      </c>
      <c r="B1176" s="28" t="s">
        <v>1792</v>
      </c>
      <c r="C1176" s="28" t="s">
        <v>1790</v>
      </c>
      <c r="D1176" s="28" t="s">
        <v>1760</v>
      </c>
      <c r="E1176" s="28" t="s">
        <v>211</v>
      </c>
      <c r="F1176" s="28" t="s">
        <v>322</v>
      </c>
      <c r="G1176" s="28" t="s">
        <v>1793</v>
      </c>
      <c r="H1176" s="28">
        <v>8543664</v>
      </c>
      <c r="I1176" s="28">
        <v>261355</v>
      </c>
      <c r="J1176" s="28">
        <v>0.99</v>
      </c>
      <c r="K1176" s="28">
        <v>91</v>
      </c>
      <c r="L1176" s="28">
        <v>1</v>
      </c>
    </row>
    <row r="1177" spans="1:12" ht="14.25" customHeight="1" x14ac:dyDescent="0.2">
      <c r="A1177" s="28">
        <v>1176</v>
      </c>
      <c r="B1177" s="28" t="s">
        <v>1794</v>
      </c>
      <c r="C1177" s="28" t="s">
        <v>1790</v>
      </c>
      <c r="D1177" s="28" t="s">
        <v>1760</v>
      </c>
      <c r="E1177" s="28" t="s">
        <v>211</v>
      </c>
      <c r="F1177" s="28" t="s">
        <v>322</v>
      </c>
      <c r="G1177" s="28" t="s">
        <v>1795</v>
      </c>
      <c r="H1177" s="28">
        <v>6398489</v>
      </c>
      <c r="I1177" s="28">
        <v>196205</v>
      </c>
      <c r="J1177" s="28">
        <v>0.99</v>
      </c>
      <c r="K1177" s="28">
        <v>62</v>
      </c>
      <c r="L1177" s="28">
        <v>1</v>
      </c>
    </row>
    <row r="1178" spans="1:12" ht="14.25" customHeight="1" x14ac:dyDescent="0.2">
      <c r="A1178" s="28">
        <v>1177</v>
      </c>
      <c r="B1178" s="28" t="s">
        <v>1796</v>
      </c>
      <c r="C1178" s="28" t="s">
        <v>1790</v>
      </c>
      <c r="D1178" s="28" t="s">
        <v>1760</v>
      </c>
      <c r="E1178" s="28" t="s">
        <v>211</v>
      </c>
      <c r="F1178" s="28" t="s">
        <v>322</v>
      </c>
      <c r="G1178" s="28" t="s">
        <v>1797</v>
      </c>
      <c r="H1178" s="28">
        <v>10986716</v>
      </c>
      <c r="I1178" s="28">
        <v>336457</v>
      </c>
      <c r="J1178" s="28">
        <v>0.99</v>
      </c>
      <c r="K1178" s="28">
        <v>55</v>
      </c>
      <c r="L1178" s="28">
        <v>0</v>
      </c>
    </row>
    <row r="1179" spans="1:12" ht="14.25" customHeight="1" x14ac:dyDescent="0.2">
      <c r="A1179" s="28">
        <v>1178</v>
      </c>
      <c r="B1179" s="28" t="s">
        <v>1798</v>
      </c>
      <c r="C1179" s="28" t="s">
        <v>1790</v>
      </c>
      <c r="D1179" s="28" t="s">
        <v>1760</v>
      </c>
      <c r="E1179" s="28" t="s">
        <v>211</v>
      </c>
      <c r="F1179" s="28" t="s">
        <v>322</v>
      </c>
      <c r="G1179" s="28" t="s">
        <v>1791</v>
      </c>
      <c r="H1179" s="28">
        <v>11134105</v>
      </c>
      <c r="I1179" s="28">
        <v>341054</v>
      </c>
      <c r="J1179" s="28">
        <v>0.99</v>
      </c>
      <c r="K1179" s="28">
        <v>19</v>
      </c>
      <c r="L1179" s="28">
        <v>0</v>
      </c>
    </row>
    <row r="1180" spans="1:12" ht="14.25" customHeight="1" x14ac:dyDescent="0.2">
      <c r="A1180" s="28">
        <v>1179</v>
      </c>
      <c r="B1180" s="28" t="s">
        <v>1799</v>
      </c>
      <c r="C1180" s="28" t="s">
        <v>1790</v>
      </c>
      <c r="D1180" s="28" t="s">
        <v>1760</v>
      </c>
      <c r="E1180" s="28" t="s">
        <v>211</v>
      </c>
      <c r="F1180" s="28" t="s">
        <v>322</v>
      </c>
      <c r="G1180" s="28" t="s">
        <v>1800</v>
      </c>
      <c r="H1180" s="28">
        <v>6623916</v>
      </c>
      <c r="I1180" s="28">
        <v>203206</v>
      </c>
      <c r="J1180" s="28">
        <v>0.99</v>
      </c>
      <c r="K1180" s="28">
        <v>39</v>
      </c>
      <c r="L1180" s="28">
        <v>1</v>
      </c>
    </row>
    <row r="1181" spans="1:12" ht="14.25" customHeight="1" x14ac:dyDescent="0.2">
      <c r="A1181" s="28">
        <v>1180</v>
      </c>
      <c r="B1181" s="28" t="s">
        <v>1801</v>
      </c>
      <c r="C1181" s="28" t="s">
        <v>1790</v>
      </c>
      <c r="D1181" s="28" t="s">
        <v>1760</v>
      </c>
      <c r="E1181" s="28" t="s">
        <v>211</v>
      </c>
      <c r="F1181" s="28" t="s">
        <v>322</v>
      </c>
      <c r="G1181" s="28" t="s">
        <v>1800</v>
      </c>
      <c r="H1181" s="28">
        <v>13978284</v>
      </c>
      <c r="I1181" s="28">
        <v>424960</v>
      </c>
      <c r="J1181" s="28">
        <v>0.99</v>
      </c>
      <c r="K1181" s="28">
        <v>12</v>
      </c>
      <c r="L1181" s="28">
        <v>2</v>
      </c>
    </row>
    <row r="1182" spans="1:12" ht="14.25" customHeight="1" x14ac:dyDescent="0.2">
      <c r="A1182" s="28">
        <v>1181</v>
      </c>
      <c r="B1182" s="28" t="s">
        <v>1802</v>
      </c>
      <c r="C1182" s="28" t="s">
        <v>1790</v>
      </c>
      <c r="D1182" s="28" t="s">
        <v>1760</v>
      </c>
      <c r="E1182" s="28" t="s">
        <v>211</v>
      </c>
      <c r="F1182" s="28" t="s">
        <v>322</v>
      </c>
      <c r="G1182" s="28" t="s">
        <v>1803</v>
      </c>
      <c r="H1182" s="28">
        <v>9408754</v>
      </c>
      <c r="I1182" s="28">
        <v>287477</v>
      </c>
      <c r="J1182" s="28">
        <v>0.99</v>
      </c>
      <c r="K1182" s="28">
        <v>27</v>
      </c>
      <c r="L1182" s="28">
        <v>1</v>
      </c>
    </row>
    <row r="1183" spans="1:12" ht="14.25" customHeight="1" x14ac:dyDescent="0.2">
      <c r="A1183" s="28">
        <v>1182</v>
      </c>
      <c r="B1183" s="28" t="s">
        <v>1804</v>
      </c>
      <c r="C1183" s="28" t="s">
        <v>1790</v>
      </c>
      <c r="D1183" s="28" t="s">
        <v>1760</v>
      </c>
      <c r="E1183" s="28" t="s">
        <v>211</v>
      </c>
      <c r="F1183" s="28" t="s">
        <v>322</v>
      </c>
      <c r="G1183" s="28" t="s">
        <v>1805</v>
      </c>
      <c r="H1183" s="28">
        <v>17236842</v>
      </c>
      <c r="I1183" s="28">
        <v>522396</v>
      </c>
      <c r="J1183" s="28">
        <v>0.99</v>
      </c>
      <c r="K1183" s="28">
        <v>62</v>
      </c>
      <c r="L1183" s="28">
        <v>0</v>
      </c>
    </row>
    <row r="1184" spans="1:12" ht="14.25" customHeight="1" x14ac:dyDescent="0.2">
      <c r="A1184" s="28">
        <v>1183</v>
      </c>
      <c r="B1184" s="28" t="s">
        <v>1806</v>
      </c>
      <c r="C1184" s="28" t="s">
        <v>1790</v>
      </c>
      <c r="D1184" s="28" t="s">
        <v>1760</v>
      </c>
      <c r="E1184" s="28" t="s">
        <v>211</v>
      </c>
      <c r="F1184" s="28" t="s">
        <v>322</v>
      </c>
      <c r="G1184" s="28" t="s">
        <v>1807</v>
      </c>
      <c r="H1184" s="28">
        <v>8039484</v>
      </c>
      <c r="I1184" s="28">
        <v>246491</v>
      </c>
      <c r="J1184" s="28">
        <v>0.99</v>
      </c>
      <c r="K1184" s="28">
        <v>76</v>
      </c>
      <c r="L1184" s="28">
        <v>0</v>
      </c>
    </row>
    <row r="1185" spans="1:12" ht="14.25" customHeight="1" x14ac:dyDescent="0.2">
      <c r="A1185" s="28">
        <v>1184</v>
      </c>
      <c r="B1185" s="28" t="s">
        <v>1808</v>
      </c>
      <c r="C1185" s="28" t="s">
        <v>1790</v>
      </c>
      <c r="D1185" s="28" t="s">
        <v>1760</v>
      </c>
      <c r="E1185" s="28" t="s">
        <v>211</v>
      </c>
      <c r="F1185" s="28" t="s">
        <v>322</v>
      </c>
      <c r="G1185" s="28" t="s">
        <v>1800</v>
      </c>
      <c r="H1185" s="28">
        <v>18343787</v>
      </c>
      <c r="I1185" s="28">
        <v>563800</v>
      </c>
      <c r="J1185" s="28">
        <v>0.99</v>
      </c>
      <c r="K1185" s="28">
        <v>73</v>
      </c>
      <c r="L1185" s="28">
        <v>1</v>
      </c>
    </row>
    <row r="1186" spans="1:12" ht="14.25" customHeight="1" x14ac:dyDescent="0.2">
      <c r="A1186" s="28">
        <v>1185</v>
      </c>
      <c r="B1186" s="28" t="s">
        <v>1809</v>
      </c>
      <c r="C1186" s="28" t="s">
        <v>1790</v>
      </c>
      <c r="D1186" s="28" t="s">
        <v>1760</v>
      </c>
      <c r="E1186" s="28" t="s">
        <v>211</v>
      </c>
      <c r="F1186" s="28" t="s">
        <v>322</v>
      </c>
      <c r="G1186" s="28" t="s">
        <v>1793</v>
      </c>
      <c r="H1186" s="28">
        <v>11207355</v>
      </c>
      <c r="I1186" s="28">
        <v>343875</v>
      </c>
      <c r="J1186" s="28">
        <v>0.99</v>
      </c>
      <c r="K1186" s="28">
        <v>60</v>
      </c>
      <c r="L1186" s="28">
        <v>1</v>
      </c>
    </row>
    <row r="1187" spans="1:12" ht="14.25" customHeight="1" x14ac:dyDescent="0.2">
      <c r="A1187" s="28">
        <v>1186</v>
      </c>
      <c r="B1187" s="28" t="s">
        <v>1810</v>
      </c>
      <c r="C1187" s="28" t="s">
        <v>1790</v>
      </c>
      <c r="D1187" s="28" t="s">
        <v>1760</v>
      </c>
      <c r="E1187" s="28" t="s">
        <v>211</v>
      </c>
      <c r="F1187" s="28" t="s">
        <v>322</v>
      </c>
      <c r="G1187" s="28" t="s">
        <v>1793</v>
      </c>
      <c r="H1187" s="28">
        <v>9222458</v>
      </c>
      <c r="I1187" s="28">
        <v>284238</v>
      </c>
      <c r="J1187" s="28">
        <v>0.99</v>
      </c>
      <c r="K1187" s="28">
        <v>54</v>
      </c>
      <c r="L1187" s="28">
        <v>1</v>
      </c>
    </row>
    <row r="1188" spans="1:12" ht="14.25" customHeight="1" x14ac:dyDescent="0.2">
      <c r="A1188" s="28">
        <v>1187</v>
      </c>
      <c r="B1188" s="28" t="s">
        <v>1811</v>
      </c>
      <c r="C1188" s="28" t="s">
        <v>1790</v>
      </c>
      <c r="D1188" s="28" t="s">
        <v>1760</v>
      </c>
      <c r="E1188" s="28" t="s">
        <v>211</v>
      </c>
      <c r="F1188" s="28" t="s">
        <v>322</v>
      </c>
      <c r="G1188" s="28" t="s">
        <v>1800</v>
      </c>
      <c r="H1188" s="28">
        <v>2764045</v>
      </c>
      <c r="I1188" s="28">
        <v>84532</v>
      </c>
      <c r="J1188" s="28">
        <v>0.99</v>
      </c>
      <c r="K1188" s="28">
        <v>80</v>
      </c>
      <c r="L1188" s="28">
        <v>0</v>
      </c>
    </row>
    <row r="1189" spans="1:12" ht="14.25" customHeight="1" x14ac:dyDescent="0.2">
      <c r="A1189" s="28">
        <v>1188</v>
      </c>
      <c r="B1189" s="28" t="s">
        <v>1812</v>
      </c>
      <c r="C1189" s="28" t="s">
        <v>1813</v>
      </c>
      <c r="D1189" s="28" t="s">
        <v>1814</v>
      </c>
      <c r="E1189" s="28" t="s">
        <v>211</v>
      </c>
      <c r="F1189" s="28" t="s">
        <v>305</v>
      </c>
      <c r="G1189" s="28" t="s">
        <v>1815</v>
      </c>
      <c r="H1189" s="28">
        <v>12055329</v>
      </c>
      <c r="I1189" s="28">
        <v>361012</v>
      </c>
      <c r="J1189" s="28">
        <v>0.99</v>
      </c>
      <c r="K1189" s="28">
        <v>33</v>
      </c>
      <c r="L1189" s="28">
        <v>1</v>
      </c>
    </row>
    <row r="1190" spans="1:12" ht="14.25" customHeight="1" x14ac:dyDescent="0.2">
      <c r="A1190" s="28">
        <v>1189</v>
      </c>
      <c r="B1190" s="28" t="s">
        <v>1816</v>
      </c>
      <c r="C1190" s="28" t="s">
        <v>1813</v>
      </c>
      <c r="D1190" s="28" t="s">
        <v>1814</v>
      </c>
      <c r="E1190" s="28" t="s">
        <v>211</v>
      </c>
      <c r="F1190" s="28" t="s">
        <v>305</v>
      </c>
      <c r="G1190" s="28" t="s">
        <v>1817</v>
      </c>
      <c r="H1190" s="28">
        <v>8419165</v>
      </c>
      <c r="I1190" s="28">
        <v>251585</v>
      </c>
      <c r="J1190" s="28">
        <v>0.99</v>
      </c>
      <c r="K1190" s="28">
        <v>32</v>
      </c>
      <c r="L1190" s="28">
        <v>0</v>
      </c>
    </row>
    <row r="1191" spans="1:12" ht="14.25" customHeight="1" x14ac:dyDescent="0.2">
      <c r="A1191" s="28">
        <v>1190</v>
      </c>
      <c r="B1191" s="28" t="s">
        <v>1818</v>
      </c>
      <c r="C1191" s="28" t="s">
        <v>1813</v>
      </c>
      <c r="D1191" s="28" t="s">
        <v>1814</v>
      </c>
      <c r="E1191" s="28" t="s">
        <v>211</v>
      </c>
      <c r="F1191" s="28" t="s">
        <v>305</v>
      </c>
      <c r="G1191" s="28" t="s">
        <v>1819</v>
      </c>
      <c r="H1191" s="28">
        <v>10720741</v>
      </c>
      <c r="I1191" s="28">
        <v>321123</v>
      </c>
      <c r="J1191" s="28">
        <v>0.99</v>
      </c>
      <c r="K1191" s="28">
        <v>91</v>
      </c>
      <c r="L1191" s="28">
        <v>1</v>
      </c>
    </row>
    <row r="1192" spans="1:12" ht="14.25" customHeight="1" x14ac:dyDescent="0.2">
      <c r="A1192" s="28">
        <v>1191</v>
      </c>
      <c r="B1192" s="28" t="s">
        <v>1820</v>
      </c>
      <c r="C1192" s="28" t="s">
        <v>1813</v>
      </c>
      <c r="D1192" s="28" t="s">
        <v>1814</v>
      </c>
      <c r="E1192" s="28" t="s">
        <v>211</v>
      </c>
      <c r="F1192" s="28" t="s">
        <v>305</v>
      </c>
      <c r="G1192" s="28" t="s">
        <v>1815</v>
      </c>
      <c r="H1192" s="28">
        <v>13075359</v>
      </c>
      <c r="I1192" s="28">
        <v>396460</v>
      </c>
      <c r="J1192" s="28">
        <v>0.99</v>
      </c>
      <c r="K1192" s="28">
        <v>92</v>
      </c>
      <c r="L1192" s="28">
        <v>1</v>
      </c>
    </row>
    <row r="1193" spans="1:12" ht="14.25" customHeight="1" x14ac:dyDescent="0.2">
      <c r="A1193" s="28">
        <v>1192</v>
      </c>
      <c r="B1193" s="28" t="s">
        <v>1821</v>
      </c>
      <c r="C1193" s="28" t="s">
        <v>1813</v>
      </c>
      <c r="D1193" s="28" t="s">
        <v>1814</v>
      </c>
      <c r="E1193" s="28" t="s">
        <v>211</v>
      </c>
      <c r="F1193" s="28" t="s">
        <v>305</v>
      </c>
      <c r="G1193" s="28" t="s">
        <v>1822</v>
      </c>
      <c r="H1193" s="28">
        <v>8053997</v>
      </c>
      <c r="I1193" s="28">
        <v>242390</v>
      </c>
      <c r="J1193" s="28">
        <v>0.99</v>
      </c>
      <c r="K1193" s="28">
        <v>26</v>
      </c>
      <c r="L1193" s="28">
        <v>2</v>
      </c>
    </row>
    <row r="1194" spans="1:12" ht="14.25" customHeight="1" x14ac:dyDescent="0.2">
      <c r="A1194" s="28">
        <v>1193</v>
      </c>
      <c r="B1194" s="28" t="s">
        <v>970</v>
      </c>
      <c r="C1194" s="28" t="s">
        <v>1813</v>
      </c>
      <c r="D1194" s="28" t="s">
        <v>1814</v>
      </c>
      <c r="E1194" s="28" t="s">
        <v>211</v>
      </c>
      <c r="F1194" s="28" t="s">
        <v>305</v>
      </c>
      <c r="G1194" s="28" t="s">
        <v>1823</v>
      </c>
      <c r="H1194" s="28">
        <v>11083374</v>
      </c>
      <c r="I1194" s="28">
        <v>330997</v>
      </c>
      <c r="J1194" s="28">
        <v>0.99</v>
      </c>
      <c r="K1194" s="28">
        <v>32</v>
      </c>
      <c r="L1194" s="28">
        <v>0</v>
      </c>
    </row>
    <row r="1195" spans="1:12" ht="14.25" customHeight="1" x14ac:dyDescent="0.2">
      <c r="A1195" s="28">
        <v>1194</v>
      </c>
      <c r="B1195" s="28" t="s">
        <v>1824</v>
      </c>
      <c r="C1195" s="28" t="s">
        <v>1813</v>
      </c>
      <c r="D1195" s="28" t="s">
        <v>1814</v>
      </c>
      <c r="E1195" s="28" t="s">
        <v>211</v>
      </c>
      <c r="F1195" s="28" t="s">
        <v>305</v>
      </c>
      <c r="G1195" s="28" t="s">
        <v>1825</v>
      </c>
      <c r="H1195" s="28">
        <v>8241177</v>
      </c>
      <c r="I1195" s="28">
        <v>249756</v>
      </c>
      <c r="J1195" s="28">
        <v>0.99</v>
      </c>
      <c r="K1195" s="28">
        <v>4</v>
      </c>
      <c r="L1195" s="28">
        <v>0</v>
      </c>
    </row>
    <row r="1196" spans="1:12" ht="14.25" customHeight="1" x14ac:dyDescent="0.2">
      <c r="A1196" s="28">
        <v>1195</v>
      </c>
      <c r="B1196" s="28" t="s">
        <v>1826</v>
      </c>
      <c r="C1196" s="28" t="s">
        <v>1813</v>
      </c>
      <c r="D1196" s="28" t="s">
        <v>1814</v>
      </c>
      <c r="E1196" s="28" t="s">
        <v>211</v>
      </c>
      <c r="F1196" s="28" t="s">
        <v>305</v>
      </c>
      <c r="G1196" s="28" t="s">
        <v>1827</v>
      </c>
      <c r="H1196" s="28">
        <v>8593143</v>
      </c>
      <c r="I1196" s="28">
        <v>259970</v>
      </c>
      <c r="J1196" s="28">
        <v>0.99</v>
      </c>
      <c r="K1196" s="28">
        <v>40</v>
      </c>
      <c r="L1196" s="28">
        <v>0</v>
      </c>
    </row>
    <row r="1197" spans="1:12" ht="14.25" customHeight="1" x14ac:dyDescent="0.2">
      <c r="A1197" s="28">
        <v>1196</v>
      </c>
      <c r="B1197" s="28" t="s">
        <v>1828</v>
      </c>
      <c r="C1197" s="28" t="s">
        <v>1813</v>
      </c>
      <c r="D1197" s="28" t="s">
        <v>1814</v>
      </c>
      <c r="E1197" s="28" t="s">
        <v>211</v>
      </c>
      <c r="F1197" s="28" t="s">
        <v>305</v>
      </c>
      <c r="G1197" s="28" t="s">
        <v>1829</v>
      </c>
      <c r="H1197" s="28">
        <v>12511939</v>
      </c>
      <c r="I1197" s="28">
        <v>379167</v>
      </c>
      <c r="J1197" s="28">
        <v>0.99</v>
      </c>
      <c r="K1197" s="28">
        <v>70</v>
      </c>
      <c r="L1197" s="28">
        <v>1</v>
      </c>
    </row>
    <row r="1198" spans="1:12" ht="14.25" customHeight="1" x14ac:dyDescent="0.2">
      <c r="A1198" s="28">
        <v>1197</v>
      </c>
      <c r="B1198" s="28" t="s">
        <v>1830</v>
      </c>
      <c r="C1198" s="28" t="s">
        <v>1813</v>
      </c>
      <c r="D1198" s="28" t="s">
        <v>1814</v>
      </c>
      <c r="E1198" s="28" t="s">
        <v>211</v>
      </c>
      <c r="F1198" s="28" t="s">
        <v>305</v>
      </c>
      <c r="G1198" s="28" t="s">
        <v>1831</v>
      </c>
      <c r="H1198" s="28">
        <v>11865384</v>
      </c>
      <c r="I1198" s="28">
        <v>355395</v>
      </c>
      <c r="J1198" s="28">
        <v>0.99</v>
      </c>
      <c r="K1198" s="28">
        <v>41</v>
      </c>
      <c r="L1198" s="28">
        <v>1</v>
      </c>
    </row>
    <row r="1199" spans="1:12" ht="14.25" customHeight="1" x14ac:dyDescent="0.2">
      <c r="A1199" s="28">
        <v>1198</v>
      </c>
      <c r="B1199" s="28" t="s">
        <v>1832</v>
      </c>
      <c r="C1199" s="28" t="s">
        <v>1813</v>
      </c>
      <c r="D1199" s="28" t="s">
        <v>1814</v>
      </c>
      <c r="E1199" s="28" t="s">
        <v>211</v>
      </c>
      <c r="F1199" s="28" t="s">
        <v>305</v>
      </c>
      <c r="G1199" s="28" t="s">
        <v>1833</v>
      </c>
      <c r="H1199" s="28">
        <v>12201595</v>
      </c>
      <c r="I1199" s="28">
        <v>367647</v>
      </c>
      <c r="J1199" s="28">
        <v>0.99</v>
      </c>
      <c r="K1199" s="28">
        <v>71</v>
      </c>
      <c r="L1199" s="28">
        <v>1</v>
      </c>
    </row>
    <row r="1200" spans="1:12" ht="14.25" customHeight="1" x14ac:dyDescent="0.2">
      <c r="A1200" s="28">
        <v>1199</v>
      </c>
      <c r="B1200" s="28" t="s">
        <v>1834</v>
      </c>
      <c r="C1200" s="28" t="s">
        <v>1813</v>
      </c>
      <c r="D1200" s="28" t="s">
        <v>1814</v>
      </c>
      <c r="E1200" s="28" t="s">
        <v>211</v>
      </c>
      <c r="F1200" s="28" t="s">
        <v>305</v>
      </c>
      <c r="G1200" s="28" t="s">
        <v>1835</v>
      </c>
      <c r="H1200" s="28">
        <v>17617944</v>
      </c>
      <c r="I1200" s="28">
        <v>528666</v>
      </c>
      <c r="J1200" s="28">
        <v>0.99</v>
      </c>
      <c r="K1200" s="28">
        <v>68</v>
      </c>
      <c r="L1200" s="28">
        <v>1</v>
      </c>
    </row>
    <row r="1201" spans="1:12" ht="14.25" customHeight="1" x14ac:dyDescent="0.2">
      <c r="A1201" s="28">
        <v>1200</v>
      </c>
      <c r="B1201" s="28" t="s">
        <v>1836</v>
      </c>
      <c r="C1201" s="28" t="s">
        <v>1813</v>
      </c>
      <c r="D1201" s="28" t="s">
        <v>1814</v>
      </c>
      <c r="E1201" s="28" t="s">
        <v>211</v>
      </c>
      <c r="F1201" s="28" t="s">
        <v>305</v>
      </c>
      <c r="G1201" s="28" t="s">
        <v>1825</v>
      </c>
      <c r="H1201" s="28">
        <v>12491122</v>
      </c>
      <c r="I1201" s="28">
        <v>377155</v>
      </c>
      <c r="J1201" s="28">
        <v>0.99</v>
      </c>
      <c r="K1201" s="28">
        <v>42</v>
      </c>
      <c r="L1201" s="28">
        <v>0</v>
      </c>
    </row>
    <row r="1202" spans="1:12" ht="14.25" customHeight="1" x14ac:dyDescent="0.2">
      <c r="A1202" s="28">
        <v>1201</v>
      </c>
      <c r="B1202" s="28" t="s">
        <v>1837</v>
      </c>
      <c r="C1202" s="28" t="s">
        <v>1838</v>
      </c>
      <c r="D1202" s="28" t="s">
        <v>1839</v>
      </c>
      <c r="E1202" s="28" t="s">
        <v>216</v>
      </c>
      <c r="F1202" s="28" t="s">
        <v>212</v>
      </c>
      <c r="G1202" s="28"/>
      <c r="H1202" s="28">
        <v>4383764</v>
      </c>
      <c r="I1202" s="28">
        <v>258692</v>
      </c>
      <c r="J1202" s="28">
        <v>0.99</v>
      </c>
      <c r="K1202" s="28">
        <v>25</v>
      </c>
      <c r="L1202" s="28">
        <v>0</v>
      </c>
    </row>
    <row r="1203" spans="1:12" ht="14.25" customHeight="1" x14ac:dyDescent="0.2">
      <c r="A1203" s="28">
        <v>1202</v>
      </c>
      <c r="B1203" s="28" t="s">
        <v>1840</v>
      </c>
      <c r="C1203" s="28" t="s">
        <v>1838</v>
      </c>
      <c r="D1203" s="28" t="s">
        <v>1839</v>
      </c>
      <c r="E1203" s="28" t="s">
        <v>216</v>
      </c>
      <c r="F1203" s="28" t="s">
        <v>212</v>
      </c>
      <c r="G1203" s="28"/>
      <c r="H1203" s="28">
        <v>6883500</v>
      </c>
      <c r="I1203" s="28">
        <v>412152</v>
      </c>
      <c r="J1203" s="28">
        <v>0.99</v>
      </c>
      <c r="K1203" s="28">
        <v>32</v>
      </c>
      <c r="L1203" s="28">
        <v>1</v>
      </c>
    </row>
    <row r="1204" spans="1:12" ht="14.25" customHeight="1" x14ac:dyDescent="0.2">
      <c r="A1204" s="28">
        <v>1203</v>
      </c>
      <c r="B1204" s="28" t="s">
        <v>1841</v>
      </c>
      <c r="C1204" s="28" t="s">
        <v>1838</v>
      </c>
      <c r="D1204" s="28" t="s">
        <v>1839</v>
      </c>
      <c r="E1204" s="28" t="s">
        <v>216</v>
      </c>
      <c r="F1204" s="28" t="s">
        <v>212</v>
      </c>
      <c r="G1204" s="28"/>
      <c r="H1204" s="28">
        <v>8721490</v>
      </c>
      <c r="I1204" s="28">
        <v>526255</v>
      </c>
      <c r="J1204" s="28">
        <v>0.99</v>
      </c>
      <c r="K1204" s="28">
        <v>70</v>
      </c>
      <c r="L1204" s="28">
        <v>1</v>
      </c>
    </row>
    <row r="1205" spans="1:12" ht="14.25" customHeight="1" x14ac:dyDescent="0.2">
      <c r="A1205" s="28">
        <v>1204</v>
      </c>
      <c r="B1205" s="28" t="s">
        <v>1842</v>
      </c>
      <c r="C1205" s="28" t="s">
        <v>1838</v>
      </c>
      <c r="D1205" s="28" t="s">
        <v>1839</v>
      </c>
      <c r="E1205" s="28" t="s">
        <v>216</v>
      </c>
      <c r="F1205" s="28" t="s">
        <v>212</v>
      </c>
      <c r="G1205" s="28"/>
      <c r="H1205" s="28">
        <v>5172144</v>
      </c>
      <c r="I1205" s="28">
        <v>307593</v>
      </c>
      <c r="J1205" s="28">
        <v>0.99</v>
      </c>
      <c r="K1205" s="28">
        <v>96</v>
      </c>
      <c r="L1205" s="28">
        <v>1</v>
      </c>
    </row>
    <row r="1206" spans="1:12" ht="14.25" customHeight="1" x14ac:dyDescent="0.2">
      <c r="A1206" s="28">
        <v>1205</v>
      </c>
      <c r="B1206" s="28" t="s">
        <v>1843</v>
      </c>
      <c r="C1206" s="28" t="s">
        <v>1838</v>
      </c>
      <c r="D1206" s="28" t="s">
        <v>1839</v>
      </c>
      <c r="E1206" s="28" t="s">
        <v>216</v>
      </c>
      <c r="F1206" s="28" t="s">
        <v>212</v>
      </c>
      <c r="G1206" s="28"/>
      <c r="H1206" s="28">
        <v>7785748</v>
      </c>
      <c r="I1206" s="28">
        <v>467810</v>
      </c>
      <c r="J1206" s="28">
        <v>0.99</v>
      </c>
      <c r="K1206" s="28">
        <v>92</v>
      </c>
      <c r="L1206" s="28">
        <v>0</v>
      </c>
    </row>
    <row r="1207" spans="1:12" ht="14.25" customHeight="1" x14ac:dyDescent="0.2">
      <c r="A1207" s="28">
        <v>1206</v>
      </c>
      <c r="B1207" s="28" t="s">
        <v>1844</v>
      </c>
      <c r="C1207" s="28" t="s">
        <v>1838</v>
      </c>
      <c r="D1207" s="28" t="s">
        <v>1839</v>
      </c>
      <c r="E1207" s="28" t="s">
        <v>216</v>
      </c>
      <c r="F1207" s="28" t="s">
        <v>212</v>
      </c>
      <c r="G1207" s="28"/>
      <c r="H1207" s="28">
        <v>5647303</v>
      </c>
      <c r="I1207" s="28">
        <v>336896</v>
      </c>
      <c r="J1207" s="28">
        <v>0.99</v>
      </c>
      <c r="K1207" s="28">
        <v>59</v>
      </c>
      <c r="L1207" s="28">
        <v>0</v>
      </c>
    </row>
    <row r="1208" spans="1:12" ht="14.25" customHeight="1" x14ac:dyDescent="0.2">
      <c r="A1208" s="28">
        <v>1207</v>
      </c>
      <c r="B1208" s="28" t="s">
        <v>1845</v>
      </c>
      <c r="C1208" s="28" t="s">
        <v>1838</v>
      </c>
      <c r="D1208" s="28" t="s">
        <v>1839</v>
      </c>
      <c r="E1208" s="28" t="s">
        <v>216</v>
      </c>
      <c r="F1208" s="28" t="s">
        <v>212</v>
      </c>
      <c r="G1208" s="28"/>
      <c r="H1208" s="28">
        <v>7367736</v>
      </c>
      <c r="I1208" s="28">
        <v>442106</v>
      </c>
      <c r="J1208" s="28">
        <v>0.99</v>
      </c>
      <c r="K1208" s="28">
        <v>6</v>
      </c>
      <c r="L1208" s="28">
        <v>0</v>
      </c>
    </row>
    <row r="1209" spans="1:12" ht="14.25" customHeight="1" x14ac:dyDescent="0.2">
      <c r="A1209" s="28">
        <v>1208</v>
      </c>
      <c r="B1209" s="28" t="s">
        <v>1846</v>
      </c>
      <c r="C1209" s="28" t="s">
        <v>1838</v>
      </c>
      <c r="D1209" s="28" t="s">
        <v>1839</v>
      </c>
      <c r="E1209" s="28" t="s">
        <v>216</v>
      </c>
      <c r="F1209" s="28" t="s">
        <v>212</v>
      </c>
      <c r="G1209" s="28"/>
      <c r="H1209" s="28">
        <v>9367328</v>
      </c>
      <c r="I1209" s="28">
        <v>564893</v>
      </c>
      <c r="J1209" s="28">
        <v>0.99</v>
      </c>
      <c r="K1209" s="28">
        <v>18</v>
      </c>
      <c r="L1209" s="28">
        <v>2</v>
      </c>
    </row>
    <row r="1210" spans="1:12" ht="14.25" customHeight="1" x14ac:dyDescent="0.2">
      <c r="A1210" s="28">
        <v>1209</v>
      </c>
      <c r="B1210" s="28" t="s">
        <v>1847</v>
      </c>
      <c r="C1210" s="28" t="s">
        <v>1838</v>
      </c>
      <c r="D1210" s="28" t="s">
        <v>1839</v>
      </c>
      <c r="E1210" s="28" t="s">
        <v>216</v>
      </c>
      <c r="F1210" s="28" t="s">
        <v>212</v>
      </c>
      <c r="G1210" s="28"/>
      <c r="H1210" s="28">
        <v>7393698</v>
      </c>
      <c r="I1210" s="28">
        <v>444614</v>
      </c>
      <c r="J1210" s="28">
        <v>0.99</v>
      </c>
      <c r="K1210" s="28">
        <v>8</v>
      </c>
      <c r="L1210" s="28">
        <v>1</v>
      </c>
    </row>
    <row r="1211" spans="1:12" ht="14.25" customHeight="1" x14ac:dyDescent="0.2">
      <c r="A1211" s="28">
        <v>1210</v>
      </c>
      <c r="B1211" s="28" t="s">
        <v>1848</v>
      </c>
      <c r="C1211" s="28" t="s">
        <v>1838</v>
      </c>
      <c r="D1211" s="28" t="s">
        <v>1839</v>
      </c>
      <c r="E1211" s="28" t="s">
        <v>216</v>
      </c>
      <c r="F1211" s="28" t="s">
        <v>212</v>
      </c>
      <c r="G1211" s="28"/>
      <c r="H1211" s="28">
        <v>9314287</v>
      </c>
      <c r="I1211" s="28">
        <v>562966</v>
      </c>
      <c r="J1211" s="28">
        <v>0.99</v>
      </c>
      <c r="K1211" s="28">
        <v>29</v>
      </c>
      <c r="L1211" s="28">
        <v>0</v>
      </c>
    </row>
    <row r="1212" spans="1:12" ht="14.25" customHeight="1" x14ac:dyDescent="0.2">
      <c r="A1212" s="28">
        <v>1211</v>
      </c>
      <c r="B1212" s="28" t="s">
        <v>1849</v>
      </c>
      <c r="C1212" s="28" t="s">
        <v>1838</v>
      </c>
      <c r="D1212" s="28" t="s">
        <v>1839</v>
      </c>
      <c r="E1212" s="28" t="s">
        <v>216</v>
      </c>
      <c r="F1212" s="28" t="s">
        <v>212</v>
      </c>
      <c r="G1212" s="28"/>
      <c r="H1212" s="28">
        <v>7205816</v>
      </c>
      <c r="I1212" s="28">
        <v>431262</v>
      </c>
      <c r="J1212" s="28">
        <v>0.99</v>
      </c>
      <c r="K1212" s="28">
        <v>87</v>
      </c>
      <c r="L1212" s="28">
        <v>0</v>
      </c>
    </row>
    <row r="1213" spans="1:12" ht="14.25" customHeight="1" x14ac:dyDescent="0.2">
      <c r="A1213" s="28">
        <v>1212</v>
      </c>
      <c r="B1213" s="28" t="s">
        <v>1850</v>
      </c>
      <c r="C1213" s="28" t="s">
        <v>1851</v>
      </c>
      <c r="D1213" s="28" t="s">
        <v>1839</v>
      </c>
      <c r="E1213" s="28" t="s">
        <v>211</v>
      </c>
      <c r="F1213" s="28" t="s">
        <v>322</v>
      </c>
      <c r="G1213" s="28" t="s">
        <v>1852</v>
      </c>
      <c r="H1213" s="28">
        <v>4718897</v>
      </c>
      <c r="I1213" s="28">
        <v>294635</v>
      </c>
      <c r="J1213" s="28">
        <v>0.99</v>
      </c>
      <c r="K1213" s="28">
        <v>71</v>
      </c>
      <c r="L1213" s="28">
        <v>0</v>
      </c>
    </row>
    <row r="1214" spans="1:12" ht="14.25" customHeight="1" x14ac:dyDescent="0.2">
      <c r="A1214" s="28">
        <v>1213</v>
      </c>
      <c r="B1214" s="28" t="s">
        <v>1853</v>
      </c>
      <c r="C1214" s="28" t="s">
        <v>1851</v>
      </c>
      <c r="D1214" s="28" t="s">
        <v>1839</v>
      </c>
      <c r="E1214" s="28" t="s">
        <v>211</v>
      </c>
      <c r="F1214" s="28" t="s">
        <v>322</v>
      </c>
      <c r="G1214" s="28" t="s">
        <v>1852</v>
      </c>
      <c r="H1214" s="28">
        <v>3766272</v>
      </c>
      <c r="I1214" s="28">
        <v>235311</v>
      </c>
      <c r="J1214" s="28">
        <v>0.99</v>
      </c>
      <c r="K1214" s="28">
        <v>4</v>
      </c>
      <c r="L1214" s="28">
        <v>1</v>
      </c>
    </row>
    <row r="1215" spans="1:12" ht="14.25" customHeight="1" x14ac:dyDescent="0.2">
      <c r="A1215" s="28">
        <v>1214</v>
      </c>
      <c r="B1215" s="28" t="s">
        <v>1854</v>
      </c>
      <c r="C1215" s="28" t="s">
        <v>1851</v>
      </c>
      <c r="D1215" s="28" t="s">
        <v>1839</v>
      </c>
      <c r="E1215" s="28" t="s">
        <v>211</v>
      </c>
      <c r="F1215" s="28" t="s">
        <v>322</v>
      </c>
      <c r="G1215" s="28" t="s">
        <v>1852</v>
      </c>
      <c r="H1215" s="28">
        <v>4091904</v>
      </c>
      <c r="I1215" s="28">
        <v>255634</v>
      </c>
      <c r="J1215" s="28">
        <v>0.99</v>
      </c>
      <c r="K1215" s="28">
        <v>83</v>
      </c>
      <c r="L1215" s="28">
        <v>1</v>
      </c>
    </row>
    <row r="1216" spans="1:12" ht="14.25" customHeight="1" x14ac:dyDescent="0.2">
      <c r="A1216" s="28">
        <v>1215</v>
      </c>
      <c r="B1216" s="28" t="s">
        <v>1855</v>
      </c>
      <c r="C1216" s="28" t="s">
        <v>1851</v>
      </c>
      <c r="D1216" s="28" t="s">
        <v>1839</v>
      </c>
      <c r="E1216" s="28" t="s">
        <v>211</v>
      </c>
      <c r="F1216" s="28" t="s">
        <v>322</v>
      </c>
      <c r="G1216" s="28" t="s">
        <v>1852</v>
      </c>
      <c r="H1216" s="28">
        <v>4255744</v>
      </c>
      <c r="I1216" s="28">
        <v>265874</v>
      </c>
      <c r="J1216" s="28">
        <v>0.99</v>
      </c>
      <c r="K1216" s="28">
        <v>47</v>
      </c>
      <c r="L1216" s="28">
        <v>1</v>
      </c>
    </row>
    <row r="1217" spans="1:12" ht="14.25" customHeight="1" x14ac:dyDescent="0.2">
      <c r="A1217" s="28">
        <v>1216</v>
      </c>
      <c r="B1217" s="28" t="s">
        <v>1856</v>
      </c>
      <c r="C1217" s="28" t="s">
        <v>1851</v>
      </c>
      <c r="D1217" s="28" t="s">
        <v>1839</v>
      </c>
      <c r="E1217" s="28" t="s">
        <v>211</v>
      </c>
      <c r="F1217" s="28" t="s">
        <v>322</v>
      </c>
      <c r="G1217" s="28" t="s">
        <v>1857</v>
      </c>
      <c r="H1217" s="28">
        <v>5648438</v>
      </c>
      <c r="I1217" s="28">
        <v>352731</v>
      </c>
      <c r="J1217" s="28">
        <v>0.99</v>
      </c>
      <c r="K1217" s="28">
        <v>7</v>
      </c>
      <c r="L1217" s="28">
        <v>0</v>
      </c>
    </row>
    <row r="1218" spans="1:12" ht="14.25" customHeight="1" x14ac:dyDescent="0.2">
      <c r="A1218" s="28">
        <v>1217</v>
      </c>
      <c r="B1218" s="28" t="s">
        <v>1858</v>
      </c>
      <c r="C1218" s="28" t="s">
        <v>1851</v>
      </c>
      <c r="D1218" s="28" t="s">
        <v>1839</v>
      </c>
      <c r="E1218" s="28" t="s">
        <v>211</v>
      </c>
      <c r="F1218" s="28" t="s">
        <v>322</v>
      </c>
      <c r="G1218" s="28" t="s">
        <v>1852</v>
      </c>
      <c r="H1218" s="28">
        <v>4630528</v>
      </c>
      <c r="I1218" s="28">
        <v>289358</v>
      </c>
      <c r="J1218" s="28">
        <v>0.99</v>
      </c>
      <c r="K1218" s="28">
        <v>53</v>
      </c>
      <c r="L1218" s="28">
        <v>1</v>
      </c>
    </row>
    <row r="1219" spans="1:12" ht="14.25" customHeight="1" x14ac:dyDescent="0.2">
      <c r="A1219" s="28">
        <v>1218</v>
      </c>
      <c r="B1219" s="28" t="s">
        <v>1859</v>
      </c>
      <c r="C1219" s="28" t="s">
        <v>1851</v>
      </c>
      <c r="D1219" s="28" t="s">
        <v>1839</v>
      </c>
      <c r="E1219" s="28" t="s">
        <v>211</v>
      </c>
      <c r="F1219" s="28" t="s">
        <v>322</v>
      </c>
      <c r="G1219" s="28" t="s">
        <v>1860</v>
      </c>
      <c r="H1219" s="28">
        <v>4694016</v>
      </c>
      <c r="I1219" s="28">
        <v>293250</v>
      </c>
      <c r="J1219" s="28">
        <v>0.99</v>
      </c>
      <c r="K1219" s="28">
        <v>92</v>
      </c>
      <c r="L1219" s="28">
        <v>0</v>
      </c>
    </row>
    <row r="1220" spans="1:12" ht="14.25" customHeight="1" x14ac:dyDescent="0.2">
      <c r="A1220" s="28">
        <v>1219</v>
      </c>
      <c r="B1220" s="28" t="s">
        <v>1861</v>
      </c>
      <c r="C1220" s="28" t="s">
        <v>1851</v>
      </c>
      <c r="D1220" s="28" t="s">
        <v>1839</v>
      </c>
      <c r="E1220" s="28" t="s">
        <v>211</v>
      </c>
      <c r="F1220" s="28" t="s">
        <v>322</v>
      </c>
      <c r="G1220" s="28" t="s">
        <v>1857</v>
      </c>
      <c r="H1220" s="28">
        <v>3663872</v>
      </c>
      <c r="I1220" s="28">
        <v>228937</v>
      </c>
      <c r="J1220" s="28">
        <v>0.99</v>
      </c>
      <c r="K1220" s="28">
        <v>74</v>
      </c>
      <c r="L1220" s="28">
        <v>0</v>
      </c>
    </row>
    <row r="1221" spans="1:12" ht="14.25" customHeight="1" x14ac:dyDescent="0.2">
      <c r="A1221" s="28">
        <v>1220</v>
      </c>
      <c r="B1221" s="28" t="s">
        <v>1862</v>
      </c>
      <c r="C1221" s="28" t="s">
        <v>1851</v>
      </c>
      <c r="D1221" s="28" t="s">
        <v>1839</v>
      </c>
      <c r="E1221" s="28" t="s">
        <v>211</v>
      </c>
      <c r="F1221" s="28" t="s">
        <v>322</v>
      </c>
      <c r="G1221" s="28" t="s">
        <v>1852</v>
      </c>
      <c r="H1221" s="28">
        <v>3803136</v>
      </c>
      <c r="I1221" s="28">
        <v>237557</v>
      </c>
      <c r="J1221" s="28">
        <v>0.99</v>
      </c>
      <c r="K1221" s="28">
        <v>11</v>
      </c>
      <c r="L1221" s="28">
        <v>1</v>
      </c>
    </row>
    <row r="1222" spans="1:12" ht="14.25" customHeight="1" x14ac:dyDescent="0.2">
      <c r="A1222" s="28">
        <v>1221</v>
      </c>
      <c r="B1222" s="28" t="s">
        <v>1863</v>
      </c>
      <c r="C1222" s="28" t="s">
        <v>1851</v>
      </c>
      <c r="D1222" s="28" t="s">
        <v>1839</v>
      </c>
      <c r="E1222" s="28" t="s">
        <v>211</v>
      </c>
      <c r="F1222" s="28" t="s">
        <v>322</v>
      </c>
      <c r="G1222" s="28" t="s">
        <v>1864</v>
      </c>
      <c r="H1222" s="28">
        <v>5400576</v>
      </c>
      <c r="I1222" s="28">
        <v>337423</v>
      </c>
      <c r="J1222" s="28">
        <v>0.99</v>
      </c>
      <c r="K1222" s="28">
        <v>1</v>
      </c>
      <c r="L1222" s="28">
        <v>1</v>
      </c>
    </row>
    <row r="1223" spans="1:12" ht="14.25" customHeight="1" x14ac:dyDescent="0.2">
      <c r="A1223" s="28">
        <v>1222</v>
      </c>
      <c r="B1223" s="28" t="s">
        <v>1839</v>
      </c>
      <c r="C1223" s="28" t="s">
        <v>1851</v>
      </c>
      <c r="D1223" s="28" t="s">
        <v>1839</v>
      </c>
      <c r="E1223" s="28" t="s">
        <v>211</v>
      </c>
      <c r="F1223" s="28" t="s">
        <v>322</v>
      </c>
      <c r="G1223" s="28" t="s">
        <v>1852</v>
      </c>
      <c r="H1223" s="28">
        <v>5195776</v>
      </c>
      <c r="I1223" s="28">
        <v>324623</v>
      </c>
      <c r="J1223" s="28">
        <v>0.99</v>
      </c>
      <c r="K1223" s="28">
        <v>97</v>
      </c>
      <c r="L1223" s="28">
        <v>1</v>
      </c>
    </row>
    <row r="1224" spans="1:12" ht="14.25" customHeight="1" x14ac:dyDescent="0.2">
      <c r="A1224" s="28">
        <v>1223</v>
      </c>
      <c r="B1224" s="28" t="s">
        <v>1865</v>
      </c>
      <c r="C1224" s="28" t="s">
        <v>1851</v>
      </c>
      <c r="D1224" s="28" t="s">
        <v>1839</v>
      </c>
      <c r="E1224" s="28" t="s">
        <v>211</v>
      </c>
      <c r="F1224" s="28" t="s">
        <v>322</v>
      </c>
      <c r="G1224" s="28" t="s">
        <v>1852</v>
      </c>
      <c r="H1224" s="28">
        <v>7550976</v>
      </c>
      <c r="I1224" s="28">
        <v>471849</v>
      </c>
      <c r="J1224" s="28">
        <v>0.99</v>
      </c>
      <c r="K1224" s="28">
        <v>77</v>
      </c>
      <c r="L1224" s="28">
        <v>0</v>
      </c>
    </row>
    <row r="1225" spans="1:12" ht="14.25" customHeight="1" x14ac:dyDescent="0.2">
      <c r="A1225" s="28">
        <v>1224</v>
      </c>
      <c r="B1225" s="28" t="s">
        <v>1866</v>
      </c>
      <c r="C1225" s="28" t="s">
        <v>1867</v>
      </c>
      <c r="D1225" s="28" t="s">
        <v>1839</v>
      </c>
      <c r="E1225" s="28" t="s">
        <v>211</v>
      </c>
      <c r="F1225" s="28" t="s">
        <v>322</v>
      </c>
      <c r="G1225" s="28" t="s">
        <v>1868</v>
      </c>
      <c r="H1225" s="28">
        <v>3151872</v>
      </c>
      <c r="I1225" s="28">
        <v>196911</v>
      </c>
      <c r="J1225" s="28">
        <v>0.99</v>
      </c>
      <c r="K1225" s="28">
        <v>41</v>
      </c>
      <c r="L1225" s="28">
        <v>0</v>
      </c>
    </row>
    <row r="1226" spans="1:12" ht="14.25" customHeight="1" x14ac:dyDescent="0.2">
      <c r="A1226" s="28">
        <v>1225</v>
      </c>
      <c r="B1226" s="28" t="s">
        <v>1869</v>
      </c>
      <c r="C1226" s="28" t="s">
        <v>1867</v>
      </c>
      <c r="D1226" s="28" t="s">
        <v>1839</v>
      </c>
      <c r="E1226" s="28" t="s">
        <v>211</v>
      </c>
      <c r="F1226" s="28" t="s">
        <v>322</v>
      </c>
      <c r="G1226" s="28" t="s">
        <v>1852</v>
      </c>
      <c r="H1226" s="28">
        <v>4159488</v>
      </c>
      <c r="I1226" s="28">
        <v>259866</v>
      </c>
      <c r="J1226" s="28">
        <v>0.99</v>
      </c>
      <c r="K1226" s="28">
        <v>55</v>
      </c>
      <c r="L1226" s="28">
        <v>0</v>
      </c>
    </row>
    <row r="1227" spans="1:12" ht="14.25" customHeight="1" x14ac:dyDescent="0.2">
      <c r="A1227" s="28">
        <v>1226</v>
      </c>
      <c r="B1227" s="28" t="s">
        <v>1870</v>
      </c>
      <c r="C1227" s="28" t="s">
        <v>1867</v>
      </c>
      <c r="D1227" s="28" t="s">
        <v>1839</v>
      </c>
      <c r="E1227" s="28" t="s">
        <v>211</v>
      </c>
      <c r="F1227" s="28" t="s">
        <v>322</v>
      </c>
      <c r="G1227" s="28" t="s">
        <v>1871</v>
      </c>
      <c r="H1227" s="28">
        <v>4521984</v>
      </c>
      <c r="I1227" s="28">
        <v>282488</v>
      </c>
      <c r="J1227" s="28">
        <v>0.99</v>
      </c>
      <c r="K1227" s="28">
        <v>5</v>
      </c>
      <c r="L1227" s="28">
        <v>2</v>
      </c>
    </row>
    <row r="1228" spans="1:12" ht="14.25" customHeight="1" x14ac:dyDescent="0.2">
      <c r="A1228" s="28">
        <v>1227</v>
      </c>
      <c r="B1228" s="28" t="s">
        <v>1872</v>
      </c>
      <c r="C1228" s="28" t="s">
        <v>1867</v>
      </c>
      <c r="D1228" s="28" t="s">
        <v>1839</v>
      </c>
      <c r="E1228" s="28" t="s">
        <v>211</v>
      </c>
      <c r="F1228" s="28" t="s">
        <v>322</v>
      </c>
      <c r="G1228" s="28" t="s">
        <v>1868</v>
      </c>
      <c r="H1228" s="28">
        <v>5566464</v>
      </c>
      <c r="I1228" s="28">
        <v>347846</v>
      </c>
      <c r="J1228" s="28">
        <v>0.99</v>
      </c>
      <c r="K1228" s="28">
        <v>52</v>
      </c>
      <c r="L1228" s="28">
        <v>1</v>
      </c>
    </row>
    <row r="1229" spans="1:12" ht="14.25" customHeight="1" x14ac:dyDescent="0.2">
      <c r="A1229" s="28">
        <v>1228</v>
      </c>
      <c r="B1229" s="28" t="s">
        <v>1873</v>
      </c>
      <c r="C1229" s="28" t="s">
        <v>1867</v>
      </c>
      <c r="D1229" s="28" t="s">
        <v>1839</v>
      </c>
      <c r="E1229" s="28" t="s">
        <v>211</v>
      </c>
      <c r="F1229" s="28" t="s">
        <v>322</v>
      </c>
      <c r="G1229" s="28" t="s">
        <v>1874</v>
      </c>
      <c r="H1229" s="28">
        <v>3993600</v>
      </c>
      <c r="I1229" s="28">
        <v>249469</v>
      </c>
      <c r="J1229" s="28">
        <v>0.99</v>
      </c>
      <c r="K1229" s="28">
        <v>17</v>
      </c>
      <c r="L1229" s="28">
        <v>0</v>
      </c>
    </row>
    <row r="1230" spans="1:12" ht="14.25" customHeight="1" x14ac:dyDescent="0.2">
      <c r="A1230" s="28">
        <v>1229</v>
      </c>
      <c r="B1230" s="28" t="s">
        <v>1875</v>
      </c>
      <c r="C1230" s="28" t="s">
        <v>1867</v>
      </c>
      <c r="D1230" s="28" t="s">
        <v>1839</v>
      </c>
      <c r="E1230" s="28" t="s">
        <v>211</v>
      </c>
      <c r="F1230" s="28" t="s">
        <v>322</v>
      </c>
      <c r="G1230" s="28" t="s">
        <v>1871</v>
      </c>
      <c r="H1230" s="28">
        <v>5216256</v>
      </c>
      <c r="I1230" s="28">
        <v>325929</v>
      </c>
      <c r="J1230" s="28">
        <v>0.99</v>
      </c>
      <c r="K1230" s="28">
        <v>21</v>
      </c>
      <c r="L1230" s="28">
        <v>0</v>
      </c>
    </row>
    <row r="1231" spans="1:12" ht="14.25" customHeight="1" x14ac:dyDescent="0.2">
      <c r="A1231" s="28">
        <v>1230</v>
      </c>
      <c r="B1231" s="28" t="s">
        <v>1876</v>
      </c>
      <c r="C1231" s="28" t="s">
        <v>1867</v>
      </c>
      <c r="D1231" s="28" t="s">
        <v>1839</v>
      </c>
      <c r="E1231" s="28" t="s">
        <v>211</v>
      </c>
      <c r="F1231" s="28" t="s">
        <v>322</v>
      </c>
      <c r="G1231" s="28" t="s">
        <v>1852</v>
      </c>
      <c r="H1231" s="28">
        <v>6529024</v>
      </c>
      <c r="I1231" s="28">
        <v>407980</v>
      </c>
      <c r="J1231" s="28">
        <v>0.99</v>
      </c>
      <c r="K1231" s="28">
        <v>77</v>
      </c>
      <c r="L1231" s="28">
        <v>0</v>
      </c>
    </row>
    <row r="1232" spans="1:12" ht="14.25" customHeight="1" x14ac:dyDescent="0.2">
      <c r="A1232" s="28">
        <v>1231</v>
      </c>
      <c r="B1232" s="28" t="s">
        <v>1877</v>
      </c>
      <c r="C1232" s="28" t="s">
        <v>1867</v>
      </c>
      <c r="D1232" s="28" t="s">
        <v>1839</v>
      </c>
      <c r="E1232" s="28" t="s">
        <v>211</v>
      </c>
      <c r="F1232" s="28" t="s">
        <v>322</v>
      </c>
      <c r="G1232" s="28" t="s">
        <v>454</v>
      </c>
      <c r="H1232" s="28">
        <v>5085184</v>
      </c>
      <c r="I1232" s="28">
        <v>317727</v>
      </c>
      <c r="J1232" s="28">
        <v>0.99</v>
      </c>
      <c r="K1232" s="28">
        <v>20</v>
      </c>
      <c r="L1232" s="28">
        <v>1</v>
      </c>
    </row>
    <row r="1233" spans="1:12" ht="14.25" customHeight="1" x14ac:dyDescent="0.2">
      <c r="A1233" s="28">
        <v>1232</v>
      </c>
      <c r="B1233" s="28" t="s">
        <v>1878</v>
      </c>
      <c r="C1233" s="28" t="s">
        <v>1867</v>
      </c>
      <c r="D1233" s="28" t="s">
        <v>1839</v>
      </c>
      <c r="E1233" s="28" t="s">
        <v>211</v>
      </c>
      <c r="F1233" s="28" t="s">
        <v>322</v>
      </c>
      <c r="G1233" s="28" t="s">
        <v>1852</v>
      </c>
      <c r="H1233" s="28">
        <v>7178240</v>
      </c>
      <c r="I1233" s="28">
        <v>448574</v>
      </c>
      <c r="J1233" s="28">
        <v>0.99</v>
      </c>
      <c r="K1233" s="28">
        <v>53</v>
      </c>
      <c r="L1233" s="28">
        <v>1</v>
      </c>
    </row>
    <row r="1234" spans="1:12" ht="14.25" customHeight="1" x14ac:dyDescent="0.2">
      <c r="A1234" s="28">
        <v>1233</v>
      </c>
      <c r="B1234" s="28" t="s">
        <v>1879</v>
      </c>
      <c r="C1234" s="28" t="s">
        <v>1867</v>
      </c>
      <c r="D1234" s="28" t="s">
        <v>1839</v>
      </c>
      <c r="E1234" s="28" t="s">
        <v>211</v>
      </c>
      <c r="F1234" s="28" t="s">
        <v>322</v>
      </c>
      <c r="G1234" s="28" t="s">
        <v>1852</v>
      </c>
      <c r="H1234" s="28">
        <v>4319232</v>
      </c>
      <c r="I1234" s="28">
        <v>269871</v>
      </c>
      <c r="J1234" s="28">
        <v>0.99</v>
      </c>
      <c r="K1234" s="28">
        <v>53</v>
      </c>
      <c r="L1234" s="28">
        <v>0</v>
      </c>
    </row>
    <row r="1235" spans="1:12" ht="14.25" customHeight="1" x14ac:dyDescent="0.2">
      <c r="A1235" s="28">
        <v>1234</v>
      </c>
      <c r="B1235" s="28" t="s">
        <v>1880</v>
      </c>
      <c r="C1235" s="28" t="s">
        <v>1867</v>
      </c>
      <c r="D1235" s="28" t="s">
        <v>1839</v>
      </c>
      <c r="E1235" s="28" t="s">
        <v>211</v>
      </c>
      <c r="F1235" s="28" t="s">
        <v>322</v>
      </c>
      <c r="G1235" s="28" t="s">
        <v>1852</v>
      </c>
      <c r="H1235" s="28">
        <v>6906078</v>
      </c>
      <c r="I1235" s="28">
        <v>431333</v>
      </c>
      <c r="J1235" s="28">
        <v>0.99</v>
      </c>
      <c r="K1235" s="28">
        <v>17</v>
      </c>
      <c r="L1235" s="28">
        <v>0</v>
      </c>
    </row>
    <row r="1236" spans="1:12" ht="14.25" customHeight="1" x14ac:dyDescent="0.2">
      <c r="A1236" s="28">
        <v>1235</v>
      </c>
      <c r="B1236" s="28" t="s">
        <v>1881</v>
      </c>
      <c r="C1236" s="28" t="s">
        <v>1882</v>
      </c>
      <c r="D1236" s="28" t="s">
        <v>1839</v>
      </c>
      <c r="E1236" s="28" t="s">
        <v>211</v>
      </c>
      <c r="F1236" s="28" t="s">
        <v>212</v>
      </c>
      <c r="G1236" s="28" t="s">
        <v>1871</v>
      </c>
      <c r="H1236" s="28">
        <v>11022464</v>
      </c>
      <c r="I1236" s="28">
        <v>275539</v>
      </c>
      <c r="J1236" s="28">
        <v>0.99</v>
      </c>
      <c r="K1236" s="28">
        <v>87</v>
      </c>
      <c r="L1236" s="28">
        <v>1</v>
      </c>
    </row>
    <row r="1237" spans="1:12" ht="14.25" customHeight="1" x14ac:dyDescent="0.2">
      <c r="A1237" s="28">
        <v>1236</v>
      </c>
      <c r="B1237" s="28" t="s">
        <v>1883</v>
      </c>
      <c r="C1237" s="28" t="s">
        <v>1882</v>
      </c>
      <c r="D1237" s="28" t="s">
        <v>1839</v>
      </c>
      <c r="E1237" s="28" t="s">
        <v>211</v>
      </c>
      <c r="F1237" s="28" t="s">
        <v>212</v>
      </c>
      <c r="G1237" s="28" t="s">
        <v>1884</v>
      </c>
      <c r="H1237" s="28">
        <v>16404608</v>
      </c>
      <c r="I1237" s="28">
        <v>410070</v>
      </c>
      <c r="J1237" s="28">
        <v>0.99</v>
      </c>
      <c r="K1237" s="28">
        <v>57</v>
      </c>
      <c r="L1237" s="28">
        <v>1</v>
      </c>
    </row>
    <row r="1238" spans="1:12" ht="14.25" customHeight="1" x14ac:dyDescent="0.2">
      <c r="A1238" s="28">
        <v>1237</v>
      </c>
      <c r="B1238" s="28" t="s">
        <v>1882</v>
      </c>
      <c r="C1238" s="28" t="s">
        <v>1882</v>
      </c>
      <c r="D1238" s="28" t="s">
        <v>1839</v>
      </c>
      <c r="E1238" s="28" t="s">
        <v>211</v>
      </c>
      <c r="F1238" s="28" t="s">
        <v>212</v>
      </c>
      <c r="G1238" s="28" t="s">
        <v>1885</v>
      </c>
      <c r="H1238" s="28">
        <v>15161472</v>
      </c>
      <c r="I1238" s="28">
        <v>378984</v>
      </c>
      <c r="J1238" s="28">
        <v>0.99</v>
      </c>
      <c r="K1238" s="28">
        <v>60</v>
      </c>
      <c r="L1238" s="28">
        <v>0</v>
      </c>
    </row>
    <row r="1239" spans="1:12" ht="14.25" customHeight="1" x14ac:dyDescent="0.2">
      <c r="A1239" s="28">
        <v>1238</v>
      </c>
      <c r="B1239" s="28" t="s">
        <v>1886</v>
      </c>
      <c r="C1239" s="28" t="s">
        <v>1882</v>
      </c>
      <c r="D1239" s="28" t="s">
        <v>1839</v>
      </c>
      <c r="E1239" s="28" t="s">
        <v>211</v>
      </c>
      <c r="F1239" s="28" t="s">
        <v>212</v>
      </c>
      <c r="G1239" s="28" t="s">
        <v>1852</v>
      </c>
      <c r="H1239" s="28">
        <v>17379456</v>
      </c>
      <c r="I1239" s="28">
        <v>434442</v>
      </c>
      <c r="J1239" s="28">
        <v>0.99</v>
      </c>
      <c r="K1239" s="28">
        <v>38</v>
      </c>
      <c r="L1239" s="28">
        <v>1</v>
      </c>
    </row>
    <row r="1240" spans="1:12" ht="14.25" customHeight="1" x14ac:dyDescent="0.2">
      <c r="A1240" s="28">
        <v>1239</v>
      </c>
      <c r="B1240" s="28" t="s">
        <v>1887</v>
      </c>
      <c r="C1240" s="28" t="s">
        <v>1882</v>
      </c>
      <c r="D1240" s="28" t="s">
        <v>1839</v>
      </c>
      <c r="E1240" s="28" t="s">
        <v>211</v>
      </c>
      <c r="F1240" s="28" t="s">
        <v>212</v>
      </c>
      <c r="G1240" s="28" t="s">
        <v>1888</v>
      </c>
      <c r="H1240" s="28">
        <v>11300992</v>
      </c>
      <c r="I1240" s="28">
        <v>282488</v>
      </c>
      <c r="J1240" s="28">
        <v>0.99</v>
      </c>
      <c r="K1240" s="28">
        <v>1</v>
      </c>
      <c r="L1240" s="28">
        <v>0</v>
      </c>
    </row>
    <row r="1241" spans="1:12" ht="14.25" customHeight="1" x14ac:dyDescent="0.2">
      <c r="A1241" s="28">
        <v>1240</v>
      </c>
      <c r="B1241" s="28" t="s">
        <v>1889</v>
      </c>
      <c r="C1241" s="28" t="s">
        <v>1882</v>
      </c>
      <c r="D1241" s="28" t="s">
        <v>1839</v>
      </c>
      <c r="E1241" s="28" t="s">
        <v>211</v>
      </c>
      <c r="F1241" s="28" t="s">
        <v>212</v>
      </c>
      <c r="G1241" s="28" t="s">
        <v>1888</v>
      </c>
      <c r="H1241" s="28">
        <v>22448256</v>
      </c>
      <c r="I1241" s="28">
        <v>561162</v>
      </c>
      <c r="J1241" s="28">
        <v>0.99</v>
      </c>
      <c r="K1241" s="28">
        <v>17</v>
      </c>
      <c r="L1241" s="28">
        <v>1</v>
      </c>
    </row>
    <row r="1242" spans="1:12" ht="14.25" customHeight="1" x14ac:dyDescent="0.2">
      <c r="A1242" s="28">
        <v>1241</v>
      </c>
      <c r="B1242" s="28" t="s">
        <v>1890</v>
      </c>
      <c r="C1242" s="28" t="s">
        <v>1882</v>
      </c>
      <c r="D1242" s="28" t="s">
        <v>1839</v>
      </c>
      <c r="E1242" s="28" t="s">
        <v>211</v>
      </c>
      <c r="F1242" s="28" t="s">
        <v>212</v>
      </c>
      <c r="G1242" s="28" t="s">
        <v>1891</v>
      </c>
      <c r="H1242" s="28">
        <v>9629824</v>
      </c>
      <c r="I1242" s="28">
        <v>240718</v>
      </c>
      <c r="J1242" s="28">
        <v>0.99</v>
      </c>
      <c r="K1242" s="28">
        <v>66</v>
      </c>
      <c r="L1242" s="28">
        <v>0</v>
      </c>
    </row>
    <row r="1243" spans="1:12" ht="14.25" customHeight="1" x14ac:dyDescent="0.2">
      <c r="A1243" s="28">
        <v>1242</v>
      </c>
      <c r="B1243" s="28" t="s">
        <v>1892</v>
      </c>
      <c r="C1243" s="28" t="s">
        <v>1882</v>
      </c>
      <c r="D1243" s="28" t="s">
        <v>1839</v>
      </c>
      <c r="E1243" s="28" t="s">
        <v>211</v>
      </c>
      <c r="F1243" s="28" t="s">
        <v>212</v>
      </c>
      <c r="G1243" s="28" t="s">
        <v>1893</v>
      </c>
      <c r="H1243" s="28">
        <v>21846144</v>
      </c>
      <c r="I1243" s="28">
        <v>546115</v>
      </c>
      <c r="J1243" s="28">
        <v>0.99</v>
      </c>
      <c r="K1243" s="28">
        <v>81</v>
      </c>
      <c r="L1243" s="28">
        <v>0</v>
      </c>
    </row>
    <row r="1244" spans="1:12" ht="14.25" customHeight="1" x14ac:dyDescent="0.2">
      <c r="A1244" s="28">
        <v>1243</v>
      </c>
      <c r="B1244" s="28" t="s">
        <v>1894</v>
      </c>
      <c r="C1244" s="28" t="s">
        <v>1882</v>
      </c>
      <c r="D1244" s="28" t="s">
        <v>1839</v>
      </c>
      <c r="E1244" s="28" t="s">
        <v>211</v>
      </c>
      <c r="F1244" s="28" t="s">
        <v>212</v>
      </c>
      <c r="G1244" s="28" t="s">
        <v>1884</v>
      </c>
      <c r="H1244" s="28">
        <v>15423616</v>
      </c>
      <c r="I1244" s="28">
        <v>385541</v>
      </c>
      <c r="J1244" s="28">
        <v>0.99</v>
      </c>
      <c r="K1244" s="28">
        <v>32</v>
      </c>
      <c r="L1244" s="28">
        <v>0</v>
      </c>
    </row>
    <row r="1245" spans="1:12" ht="14.25" customHeight="1" x14ac:dyDescent="0.2">
      <c r="A1245" s="28">
        <v>1244</v>
      </c>
      <c r="B1245" s="28" t="s">
        <v>1895</v>
      </c>
      <c r="C1245" s="28" t="s">
        <v>1882</v>
      </c>
      <c r="D1245" s="28" t="s">
        <v>1839</v>
      </c>
      <c r="E1245" s="28" t="s">
        <v>211</v>
      </c>
      <c r="F1245" s="28" t="s">
        <v>212</v>
      </c>
      <c r="G1245" s="28" t="s">
        <v>1893</v>
      </c>
      <c r="H1245" s="28">
        <v>20273280</v>
      </c>
      <c r="I1245" s="28">
        <v>506801</v>
      </c>
      <c r="J1245" s="28">
        <v>0.99</v>
      </c>
      <c r="K1245" s="28">
        <v>47</v>
      </c>
      <c r="L1245" s="28">
        <v>2</v>
      </c>
    </row>
    <row r="1246" spans="1:12" ht="14.25" customHeight="1" x14ac:dyDescent="0.2">
      <c r="A1246" s="28">
        <v>1245</v>
      </c>
      <c r="B1246" s="28" t="s">
        <v>1896</v>
      </c>
      <c r="C1246" s="28" t="s">
        <v>1897</v>
      </c>
      <c r="D1246" s="28" t="s">
        <v>1839</v>
      </c>
      <c r="E1246" s="28" t="s">
        <v>211</v>
      </c>
      <c r="F1246" s="28" t="s">
        <v>1898</v>
      </c>
      <c r="G1246" s="28" t="s">
        <v>1891</v>
      </c>
      <c r="H1246" s="28">
        <v>9312384</v>
      </c>
      <c r="I1246" s="28">
        <v>232777</v>
      </c>
      <c r="J1246" s="28">
        <v>0.99</v>
      </c>
      <c r="K1246" s="28">
        <v>37</v>
      </c>
      <c r="L1246" s="28">
        <v>1</v>
      </c>
    </row>
    <row r="1247" spans="1:12" ht="14.25" customHeight="1" x14ac:dyDescent="0.2">
      <c r="A1247" s="28">
        <v>1246</v>
      </c>
      <c r="B1247" s="28" t="s">
        <v>1899</v>
      </c>
      <c r="C1247" s="28" t="s">
        <v>1897</v>
      </c>
      <c r="D1247" s="28" t="s">
        <v>1839</v>
      </c>
      <c r="E1247" s="28" t="s">
        <v>211</v>
      </c>
      <c r="F1247" s="28" t="s">
        <v>1898</v>
      </c>
      <c r="G1247" s="28" t="s">
        <v>1885</v>
      </c>
      <c r="H1247" s="28">
        <v>9146496</v>
      </c>
      <c r="I1247" s="28">
        <v>228623</v>
      </c>
      <c r="J1247" s="28">
        <v>0.99</v>
      </c>
      <c r="K1247" s="28">
        <v>36</v>
      </c>
      <c r="L1247" s="28">
        <v>0</v>
      </c>
    </row>
    <row r="1248" spans="1:12" ht="14.25" customHeight="1" x14ac:dyDescent="0.2">
      <c r="A1248" s="28">
        <v>1247</v>
      </c>
      <c r="B1248" s="28" t="s">
        <v>1900</v>
      </c>
      <c r="C1248" s="28" t="s">
        <v>1897</v>
      </c>
      <c r="D1248" s="28" t="s">
        <v>1839</v>
      </c>
      <c r="E1248" s="28" t="s">
        <v>211</v>
      </c>
      <c r="F1248" s="28" t="s">
        <v>1898</v>
      </c>
      <c r="G1248" s="28" t="s">
        <v>1852</v>
      </c>
      <c r="H1248" s="28">
        <v>17672320</v>
      </c>
      <c r="I1248" s="28">
        <v>441782</v>
      </c>
      <c r="J1248" s="28">
        <v>0.99</v>
      </c>
      <c r="K1248" s="28">
        <v>77</v>
      </c>
      <c r="L1248" s="28">
        <v>0</v>
      </c>
    </row>
    <row r="1249" spans="1:12" ht="14.25" customHeight="1" x14ac:dyDescent="0.2">
      <c r="A1249" s="28">
        <v>1248</v>
      </c>
      <c r="B1249" s="28" t="s">
        <v>1901</v>
      </c>
      <c r="C1249" s="28" t="s">
        <v>1897</v>
      </c>
      <c r="D1249" s="28" t="s">
        <v>1839</v>
      </c>
      <c r="E1249" s="28" t="s">
        <v>211</v>
      </c>
      <c r="F1249" s="28" t="s">
        <v>1898</v>
      </c>
      <c r="G1249" s="28" t="s">
        <v>1884</v>
      </c>
      <c r="H1249" s="28">
        <v>14020736</v>
      </c>
      <c r="I1249" s="28">
        <v>350484</v>
      </c>
      <c r="J1249" s="28">
        <v>0.99</v>
      </c>
      <c r="K1249" s="28">
        <v>64</v>
      </c>
      <c r="L1249" s="28">
        <v>0</v>
      </c>
    </row>
    <row r="1250" spans="1:12" ht="14.25" customHeight="1" x14ac:dyDescent="0.2">
      <c r="A1250" s="28">
        <v>1249</v>
      </c>
      <c r="B1250" s="28" t="s">
        <v>1897</v>
      </c>
      <c r="C1250" s="28" t="s">
        <v>1897</v>
      </c>
      <c r="D1250" s="28" t="s">
        <v>1839</v>
      </c>
      <c r="E1250" s="28" t="s">
        <v>211</v>
      </c>
      <c r="F1250" s="28" t="s">
        <v>1898</v>
      </c>
      <c r="G1250" s="28" t="s">
        <v>1888</v>
      </c>
      <c r="H1250" s="28">
        <v>20670727</v>
      </c>
      <c r="I1250" s="28">
        <v>516649</v>
      </c>
      <c r="J1250" s="28">
        <v>0.99</v>
      </c>
      <c r="K1250" s="28">
        <v>40</v>
      </c>
      <c r="L1250" s="28">
        <v>1</v>
      </c>
    </row>
    <row r="1251" spans="1:12" ht="14.25" customHeight="1" x14ac:dyDescent="0.2">
      <c r="A1251" s="28">
        <v>1250</v>
      </c>
      <c r="B1251" s="28" t="s">
        <v>1902</v>
      </c>
      <c r="C1251" s="28" t="s">
        <v>1897</v>
      </c>
      <c r="D1251" s="28" t="s">
        <v>1839</v>
      </c>
      <c r="E1251" s="28" t="s">
        <v>211</v>
      </c>
      <c r="F1251" s="28" t="s">
        <v>1898</v>
      </c>
      <c r="G1251" s="28" t="s">
        <v>1884</v>
      </c>
      <c r="H1251" s="28">
        <v>12482688</v>
      </c>
      <c r="I1251" s="28">
        <v>312032</v>
      </c>
      <c r="J1251" s="28">
        <v>0.99</v>
      </c>
      <c r="K1251" s="28">
        <v>70</v>
      </c>
      <c r="L1251" s="28">
        <v>1</v>
      </c>
    </row>
    <row r="1252" spans="1:12" ht="14.25" customHeight="1" x14ac:dyDescent="0.2">
      <c r="A1252" s="28">
        <v>1251</v>
      </c>
      <c r="B1252" s="28" t="s">
        <v>1903</v>
      </c>
      <c r="C1252" s="28" t="s">
        <v>1897</v>
      </c>
      <c r="D1252" s="28" t="s">
        <v>1839</v>
      </c>
      <c r="E1252" s="28" t="s">
        <v>211</v>
      </c>
      <c r="F1252" s="28" t="s">
        <v>1898</v>
      </c>
      <c r="G1252" s="28" t="s">
        <v>1904</v>
      </c>
      <c r="H1252" s="28">
        <v>12181632</v>
      </c>
      <c r="I1252" s="28">
        <v>304509</v>
      </c>
      <c r="J1252" s="28">
        <v>0.99</v>
      </c>
      <c r="K1252" s="28">
        <v>82</v>
      </c>
      <c r="L1252" s="28">
        <v>0</v>
      </c>
    </row>
    <row r="1253" spans="1:12" ht="14.25" customHeight="1" x14ac:dyDescent="0.2">
      <c r="A1253" s="28">
        <v>1252</v>
      </c>
      <c r="B1253" s="28" t="s">
        <v>1905</v>
      </c>
      <c r="C1253" s="28" t="s">
        <v>1897</v>
      </c>
      <c r="D1253" s="28" t="s">
        <v>1839</v>
      </c>
      <c r="E1253" s="28" t="s">
        <v>211</v>
      </c>
      <c r="F1253" s="28" t="s">
        <v>1898</v>
      </c>
      <c r="G1253" s="28" t="s">
        <v>1891</v>
      </c>
      <c r="H1253" s="28">
        <v>20326528</v>
      </c>
      <c r="I1253" s="28">
        <v>508107</v>
      </c>
      <c r="J1253" s="28">
        <v>0.99</v>
      </c>
      <c r="K1253" s="28">
        <v>33</v>
      </c>
      <c r="L1253" s="28">
        <v>0</v>
      </c>
    </row>
    <row r="1254" spans="1:12" ht="14.25" customHeight="1" x14ac:dyDescent="0.2">
      <c r="A1254" s="28">
        <v>1253</v>
      </c>
      <c r="B1254" s="28" t="s">
        <v>1906</v>
      </c>
      <c r="C1254" s="28" t="s">
        <v>1897</v>
      </c>
      <c r="D1254" s="28" t="s">
        <v>1839</v>
      </c>
      <c r="E1254" s="28" t="s">
        <v>211</v>
      </c>
      <c r="F1254" s="28" t="s">
        <v>1898</v>
      </c>
      <c r="G1254" s="28" t="s">
        <v>1871</v>
      </c>
      <c r="H1254" s="28">
        <v>15648948</v>
      </c>
      <c r="I1254" s="28">
        <v>391105</v>
      </c>
      <c r="J1254" s="28">
        <v>0.99</v>
      </c>
      <c r="K1254" s="28">
        <v>80</v>
      </c>
      <c r="L1254" s="28">
        <v>1</v>
      </c>
    </row>
    <row r="1255" spans="1:12" ht="14.25" customHeight="1" x14ac:dyDescent="0.2">
      <c r="A1255" s="28">
        <v>1254</v>
      </c>
      <c r="B1255" s="28" t="s">
        <v>1907</v>
      </c>
      <c r="C1255" s="28" t="s">
        <v>1897</v>
      </c>
      <c r="D1255" s="28" t="s">
        <v>1839</v>
      </c>
      <c r="E1255" s="28" t="s">
        <v>211</v>
      </c>
      <c r="F1255" s="28" t="s">
        <v>1898</v>
      </c>
      <c r="G1255" s="28" t="s">
        <v>1893</v>
      </c>
      <c r="H1255" s="28">
        <v>14823478</v>
      </c>
      <c r="I1255" s="28">
        <v>370468</v>
      </c>
      <c r="J1255" s="28">
        <v>0.99</v>
      </c>
      <c r="K1255" s="28">
        <v>28</v>
      </c>
      <c r="L1255" s="28">
        <v>1</v>
      </c>
    </row>
    <row r="1256" spans="1:12" ht="14.25" customHeight="1" x14ac:dyDescent="0.2">
      <c r="A1256" s="28">
        <v>1255</v>
      </c>
      <c r="B1256" s="28" t="s">
        <v>1908</v>
      </c>
      <c r="C1256" s="28" t="s">
        <v>1897</v>
      </c>
      <c r="D1256" s="28" t="s">
        <v>1839</v>
      </c>
      <c r="E1256" s="28" t="s">
        <v>211</v>
      </c>
      <c r="F1256" s="28" t="s">
        <v>1898</v>
      </c>
      <c r="G1256" s="28" t="s">
        <v>1885</v>
      </c>
      <c r="H1256" s="28">
        <v>17082496</v>
      </c>
      <c r="I1256" s="28">
        <v>427023</v>
      </c>
      <c r="J1256" s="28">
        <v>0.99</v>
      </c>
      <c r="K1256" s="28">
        <v>72</v>
      </c>
      <c r="L1256" s="28">
        <v>0</v>
      </c>
    </row>
    <row r="1257" spans="1:12" ht="14.25" customHeight="1" x14ac:dyDescent="0.2">
      <c r="A1257" s="28">
        <v>1256</v>
      </c>
      <c r="B1257" s="28" t="s">
        <v>1866</v>
      </c>
      <c r="C1257" s="28" t="s">
        <v>1880</v>
      </c>
      <c r="D1257" s="28" t="s">
        <v>1839</v>
      </c>
      <c r="E1257" s="28" t="s">
        <v>211</v>
      </c>
      <c r="F1257" s="28" t="s">
        <v>212</v>
      </c>
      <c r="G1257" s="28" t="s">
        <v>1868</v>
      </c>
      <c r="H1257" s="28">
        <v>8181888</v>
      </c>
      <c r="I1257" s="28">
        <v>204512</v>
      </c>
      <c r="J1257" s="28">
        <v>0.99</v>
      </c>
      <c r="K1257" s="28">
        <v>4</v>
      </c>
      <c r="L1257" s="28">
        <v>0</v>
      </c>
    </row>
    <row r="1258" spans="1:12" ht="14.25" customHeight="1" x14ac:dyDescent="0.2">
      <c r="A1258" s="28">
        <v>1257</v>
      </c>
      <c r="B1258" s="28" t="s">
        <v>1869</v>
      </c>
      <c r="C1258" s="28" t="s">
        <v>1880</v>
      </c>
      <c r="D1258" s="28" t="s">
        <v>1839</v>
      </c>
      <c r="E1258" s="28" t="s">
        <v>211</v>
      </c>
      <c r="F1258" s="28" t="s">
        <v>212</v>
      </c>
      <c r="G1258" s="28" t="s">
        <v>1852</v>
      </c>
      <c r="H1258" s="28">
        <v>8739038</v>
      </c>
      <c r="I1258" s="28">
        <v>218357</v>
      </c>
      <c r="J1258" s="28">
        <v>0.99</v>
      </c>
      <c r="K1258" s="28">
        <v>45</v>
      </c>
      <c r="L1258" s="28">
        <v>0</v>
      </c>
    </row>
    <row r="1259" spans="1:12" ht="14.25" customHeight="1" x14ac:dyDescent="0.2">
      <c r="A1259" s="28">
        <v>1258</v>
      </c>
      <c r="B1259" s="28" t="s">
        <v>1876</v>
      </c>
      <c r="C1259" s="28" t="s">
        <v>1880</v>
      </c>
      <c r="D1259" s="28" t="s">
        <v>1839</v>
      </c>
      <c r="E1259" s="28" t="s">
        <v>211</v>
      </c>
      <c r="F1259" s="28" t="s">
        <v>212</v>
      </c>
      <c r="G1259" s="28" t="s">
        <v>1852</v>
      </c>
      <c r="H1259" s="28">
        <v>16664589</v>
      </c>
      <c r="I1259" s="28">
        <v>416496</v>
      </c>
      <c r="J1259" s="28">
        <v>0.99</v>
      </c>
      <c r="K1259" s="28">
        <v>80</v>
      </c>
      <c r="L1259" s="28">
        <v>1</v>
      </c>
    </row>
    <row r="1260" spans="1:12" ht="14.25" customHeight="1" x14ac:dyDescent="0.2">
      <c r="A1260" s="28">
        <v>1259</v>
      </c>
      <c r="B1260" s="28" t="s">
        <v>1909</v>
      </c>
      <c r="C1260" s="28" t="s">
        <v>1880</v>
      </c>
      <c r="D1260" s="28" t="s">
        <v>1839</v>
      </c>
      <c r="E1260" s="28" t="s">
        <v>211</v>
      </c>
      <c r="F1260" s="28" t="s">
        <v>212</v>
      </c>
      <c r="G1260" s="28" t="s">
        <v>1868</v>
      </c>
      <c r="H1260" s="28">
        <v>13414528</v>
      </c>
      <c r="I1260" s="28">
        <v>335307</v>
      </c>
      <c r="J1260" s="28">
        <v>0.99</v>
      </c>
      <c r="K1260" s="28">
        <v>52</v>
      </c>
      <c r="L1260" s="28">
        <v>1</v>
      </c>
    </row>
    <row r="1261" spans="1:12" ht="14.25" customHeight="1" x14ac:dyDescent="0.2">
      <c r="A1261" s="28">
        <v>1260</v>
      </c>
      <c r="B1261" s="28" t="s">
        <v>1910</v>
      </c>
      <c r="C1261" s="28" t="s">
        <v>1880</v>
      </c>
      <c r="D1261" s="28" t="s">
        <v>1839</v>
      </c>
      <c r="E1261" s="28" t="s">
        <v>211</v>
      </c>
      <c r="F1261" s="28" t="s">
        <v>212</v>
      </c>
      <c r="G1261" s="28" t="s">
        <v>1852</v>
      </c>
      <c r="H1261" s="28">
        <v>11225216</v>
      </c>
      <c r="I1261" s="28">
        <v>280607</v>
      </c>
      <c r="J1261" s="28">
        <v>0.99</v>
      </c>
      <c r="K1261" s="28">
        <v>92</v>
      </c>
      <c r="L1261" s="28">
        <v>0</v>
      </c>
    </row>
    <row r="1262" spans="1:12" ht="14.25" customHeight="1" x14ac:dyDescent="0.2">
      <c r="A1262" s="28">
        <v>1261</v>
      </c>
      <c r="B1262" s="28" t="s">
        <v>1872</v>
      </c>
      <c r="C1262" s="28" t="s">
        <v>1880</v>
      </c>
      <c r="D1262" s="28" t="s">
        <v>1839</v>
      </c>
      <c r="E1262" s="28" t="s">
        <v>211</v>
      </c>
      <c r="F1262" s="28" t="s">
        <v>212</v>
      </c>
      <c r="G1262" s="28" t="s">
        <v>1868</v>
      </c>
      <c r="H1262" s="28">
        <v>14041216</v>
      </c>
      <c r="I1262" s="28">
        <v>350981</v>
      </c>
      <c r="J1262" s="28">
        <v>0.99</v>
      </c>
      <c r="K1262" s="28">
        <v>72</v>
      </c>
      <c r="L1262" s="28">
        <v>0</v>
      </c>
    </row>
    <row r="1263" spans="1:12" ht="14.25" customHeight="1" x14ac:dyDescent="0.2">
      <c r="A1263" s="28">
        <v>1262</v>
      </c>
      <c r="B1263" s="28" t="s">
        <v>1911</v>
      </c>
      <c r="C1263" s="28" t="s">
        <v>1880</v>
      </c>
      <c r="D1263" s="28" t="s">
        <v>1839</v>
      </c>
      <c r="E1263" s="28" t="s">
        <v>211</v>
      </c>
      <c r="F1263" s="28" t="s">
        <v>212</v>
      </c>
      <c r="G1263" s="28" t="s">
        <v>1852</v>
      </c>
      <c r="H1263" s="28">
        <v>11765888</v>
      </c>
      <c r="I1263" s="28">
        <v>294112</v>
      </c>
      <c r="J1263" s="28">
        <v>0.99</v>
      </c>
      <c r="K1263" s="28">
        <v>71</v>
      </c>
      <c r="L1263" s="28">
        <v>1</v>
      </c>
    </row>
    <row r="1264" spans="1:12" ht="14.25" customHeight="1" x14ac:dyDescent="0.2">
      <c r="A1264" s="28">
        <v>1263</v>
      </c>
      <c r="B1264" s="28" t="s">
        <v>1912</v>
      </c>
      <c r="C1264" s="28" t="s">
        <v>1880</v>
      </c>
      <c r="D1264" s="28" t="s">
        <v>1839</v>
      </c>
      <c r="E1264" s="28" t="s">
        <v>211</v>
      </c>
      <c r="F1264" s="28" t="s">
        <v>212</v>
      </c>
      <c r="G1264" s="28" t="s">
        <v>1913</v>
      </c>
      <c r="H1264" s="28">
        <v>8700032</v>
      </c>
      <c r="I1264" s="28">
        <v>217443</v>
      </c>
      <c r="J1264" s="28">
        <v>0.99</v>
      </c>
      <c r="K1264" s="28">
        <v>54</v>
      </c>
      <c r="L1264" s="28">
        <v>1</v>
      </c>
    </row>
    <row r="1265" spans="1:12" ht="14.25" customHeight="1" x14ac:dyDescent="0.2">
      <c r="A1265" s="28">
        <v>1264</v>
      </c>
      <c r="B1265" s="28" t="s">
        <v>1914</v>
      </c>
      <c r="C1265" s="28" t="s">
        <v>1880</v>
      </c>
      <c r="D1265" s="28" t="s">
        <v>1839</v>
      </c>
      <c r="E1265" s="28" t="s">
        <v>211</v>
      </c>
      <c r="F1265" s="28" t="s">
        <v>212</v>
      </c>
      <c r="G1265" s="28" t="s">
        <v>1888</v>
      </c>
      <c r="H1265" s="28">
        <v>9386112</v>
      </c>
      <c r="I1265" s="28">
        <v>234605</v>
      </c>
      <c r="J1265" s="28">
        <v>0.99</v>
      </c>
      <c r="K1265" s="28">
        <v>4</v>
      </c>
      <c r="L1265" s="28">
        <v>0</v>
      </c>
    </row>
    <row r="1266" spans="1:12" ht="14.25" customHeight="1" x14ac:dyDescent="0.2">
      <c r="A1266" s="28">
        <v>1265</v>
      </c>
      <c r="B1266" s="28" t="s">
        <v>1915</v>
      </c>
      <c r="C1266" s="28" t="s">
        <v>1880</v>
      </c>
      <c r="D1266" s="28" t="s">
        <v>1839</v>
      </c>
      <c r="E1266" s="28" t="s">
        <v>211</v>
      </c>
      <c r="F1266" s="28" t="s">
        <v>212</v>
      </c>
      <c r="G1266" s="28" t="s">
        <v>1913</v>
      </c>
      <c r="H1266" s="28">
        <v>7553152</v>
      </c>
      <c r="I1266" s="28">
        <v>188786</v>
      </c>
      <c r="J1266" s="28">
        <v>0.99</v>
      </c>
      <c r="K1266" s="28">
        <v>88</v>
      </c>
      <c r="L1266" s="28">
        <v>0</v>
      </c>
    </row>
    <row r="1267" spans="1:12" ht="14.25" customHeight="1" x14ac:dyDescent="0.2">
      <c r="A1267" s="28">
        <v>1266</v>
      </c>
      <c r="B1267" s="28" t="s">
        <v>1916</v>
      </c>
      <c r="C1267" s="28" t="s">
        <v>1880</v>
      </c>
      <c r="D1267" s="28" t="s">
        <v>1839</v>
      </c>
      <c r="E1267" s="28" t="s">
        <v>211</v>
      </c>
      <c r="F1267" s="28" t="s">
        <v>212</v>
      </c>
      <c r="G1267" s="28" t="s">
        <v>1888</v>
      </c>
      <c r="H1267" s="28">
        <v>13594678</v>
      </c>
      <c r="I1267" s="28">
        <v>339748</v>
      </c>
      <c r="J1267" s="28">
        <v>0.99</v>
      </c>
      <c r="K1267" s="28">
        <v>6</v>
      </c>
      <c r="L1267" s="28">
        <v>0</v>
      </c>
    </row>
    <row r="1268" spans="1:12" ht="14.25" customHeight="1" x14ac:dyDescent="0.2">
      <c r="A1268" s="28">
        <v>1267</v>
      </c>
      <c r="B1268" s="28" t="s">
        <v>1880</v>
      </c>
      <c r="C1268" s="28" t="s">
        <v>1880</v>
      </c>
      <c r="D1268" s="28" t="s">
        <v>1839</v>
      </c>
      <c r="E1268" s="28" t="s">
        <v>211</v>
      </c>
      <c r="F1268" s="28" t="s">
        <v>212</v>
      </c>
      <c r="G1268" s="28" t="s">
        <v>1852</v>
      </c>
      <c r="H1268" s="28">
        <v>17483789</v>
      </c>
      <c r="I1268" s="28">
        <v>436976</v>
      </c>
      <c r="J1268" s="28">
        <v>0.99</v>
      </c>
      <c r="K1268" s="28">
        <v>37</v>
      </c>
      <c r="L1268" s="28">
        <v>1</v>
      </c>
    </row>
    <row r="1269" spans="1:12" ht="14.25" customHeight="1" x14ac:dyDescent="0.2">
      <c r="A1269" s="28">
        <v>1268</v>
      </c>
      <c r="B1269" s="28" t="s">
        <v>1917</v>
      </c>
      <c r="C1269" s="28" t="s">
        <v>1839</v>
      </c>
      <c r="D1269" s="28" t="s">
        <v>1839</v>
      </c>
      <c r="E1269" s="28" t="s">
        <v>211</v>
      </c>
      <c r="F1269" s="28" t="s">
        <v>470</v>
      </c>
      <c r="G1269" s="28" t="s">
        <v>1852</v>
      </c>
      <c r="H1269" s="28">
        <v>5668992</v>
      </c>
      <c r="I1269" s="28">
        <v>236173</v>
      </c>
      <c r="J1269" s="28">
        <v>0.99</v>
      </c>
      <c r="K1269" s="28">
        <v>3</v>
      </c>
      <c r="L1269" s="28">
        <v>1</v>
      </c>
    </row>
    <row r="1270" spans="1:12" ht="14.25" customHeight="1" x14ac:dyDescent="0.2">
      <c r="A1270" s="28">
        <v>1269</v>
      </c>
      <c r="B1270" s="28" t="s">
        <v>1918</v>
      </c>
      <c r="C1270" s="28" t="s">
        <v>1839</v>
      </c>
      <c r="D1270" s="28" t="s">
        <v>1839</v>
      </c>
      <c r="E1270" s="28" t="s">
        <v>211</v>
      </c>
      <c r="F1270" s="28" t="s">
        <v>470</v>
      </c>
      <c r="G1270" s="28" t="s">
        <v>1860</v>
      </c>
      <c r="H1270" s="28">
        <v>4712576</v>
      </c>
      <c r="I1270" s="28">
        <v>196284</v>
      </c>
      <c r="J1270" s="28">
        <v>0.99</v>
      </c>
      <c r="K1270" s="28">
        <v>75</v>
      </c>
      <c r="L1270" s="28">
        <v>0</v>
      </c>
    </row>
    <row r="1271" spans="1:12" ht="14.25" customHeight="1" x14ac:dyDescent="0.2">
      <c r="A1271" s="28">
        <v>1270</v>
      </c>
      <c r="B1271" s="28" t="s">
        <v>1919</v>
      </c>
      <c r="C1271" s="28" t="s">
        <v>1839</v>
      </c>
      <c r="D1271" s="28" t="s">
        <v>1839</v>
      </c>
      <c r="E1271" s="28" t="s">
        <v>211</v>
      </c>
      <c r="F1271" s="28" t="s">
        <v>470</v>
      </c>
      <c r="G1271" s="28" t="s">
        <v>1920</v>
      </c>
      <c r="H1271" s="28">
        <v>7889024</v>
      </c>
      <c r="I1271" s="28">
        <v>328620</v>
      </c>
      <c r="J1271" s="28">
        <v>0.99</v>
      </c>
      <c r="K1271" s="28">
        <v>15</v>
      </c>
      <c r="L1271" s="28">
        <v>0</v>
      </c>
    </row>
    <row r="1272" spans="1:12" ht="14.25" customHeight="1" x14ac:dyDescent="0.2">
      <c r="A1272" s="28">
        <v>1271</v>
      </c>
      <c r="B1272" s="28" t="s">
        <v>1921</v>
      </c>
      <c r="C1272" s="28" t="s">
        <v>1839</v>
      </c>
      <c r="D1272" s="28" t="s">
        <v>1839</v>
      </c>
      <c r="E1272" s="28" t="s">
        <v>211</v>
      </c>
      <c r="F1272" s="28" t="s">
        <v>470</v>
      </c>
      <c r="G1272" s="28" t="s">
        <v>1920</v>
      </c>
      <c r="H1272" s="28">
        <v>4739122</v>
      </c>
      <c r="I1272" s="28">
        <v>197276</v>
      </c>
      <c r="J1272" s="28">
        <v>0.99</v>
      </c>
      <c r="K1272" s="28">
        <v>13</v>
      </c>
      <c r="L1272" s="28">
        <v>1</v>
      </c>
    </row>
    <row r="1273" spans="1:12" ht="14.25" customHeight="1" x14ac:dyDescent="0.2">
      <c r="A1273" s="28">
        <v>1272</v>
      </c>
      <c r="B1273" s="28" t="s">
        <v>1922</v>
      </c>
      <c r="C1273" s="28" t="s">
        <v>1839</v>
      </c>
      <c r="D1273" s="28" t="s">
        <v>1839</v>
      </c>
      <c r="E1273" s="28" t="s">
        <v>211</v>
      </c>
      <c r="F1273" s="28" t="s">
        <v>470</v>
      </c>
      <c r="G1273" s="28" t="s">
        <v>1852</v>
      </c>
      <c r="H1273" s="28">
        <v>10276872</v>
      </c>
      <c r="I1273" s="28">
        <v>428016</v>
      </c>
      <c r="J1273" s="28">
        <v>0.99</v>
      </c>
      <c r="K1273" s="28">
        <v>57</v>
      </c>
      <c r="L1273" s="28">
        <v>1</v>
      </c>
    </row>
    <row r="1274" spans="1:12" ht="14.25" customHeight="1" x14ac:dyDescent="0.2">
      <c r="A1274" s="28">
        <v>1273</v>
      </c>
      <c r="B1274" s="28" t="s">
        <v>1923</v>
      </c>
      <c r="C1274" s="28" t="s">
        <v>1839</v>
      </c>
      <c r="D1274" s="28" t="s">
        <v>1839</v>
      </c>
      <c r="E1274" s="28" t="s">
        <v>211</v>
      </c>
      <c r="F1274" s="28" t="s">
        <v>470</v>
      </c>
      <c r="G1274" s="28" t="s">
        <v>1852</v>
      </c>
      <c r="H1274" s="28">
        <v>6226048</v>
      </c>
      <c r="I1274" s="28">
        <v>259343</v>
      </c>
      <c r="J1274" s="28">
        <v>0.99</v>
      </c>
      <c r="K1274" s="28">
        <v>72</v>
      </c>
      <c r="L1274" s="28">
        <v>0</v>
      </c>
    </row>
    <row r="1275" spans="1:12" ht="14.25" customHeight="1" x14ac:dyDescent="0.2">
      <c r="A1275" s="28">
        <v>1274</v>
      </c>
      <c r="B1275" s="28" t="s">
        <v>1924</v>
      </c>
      <c r="C1275" s="28" t="s">
        <v>1839</v>
      </c>
      <c r="D1275" s="28" t="s">
        <v>1839</v>
      </c>
      <c r="E1275" s="28" t="s">
        <v>211</v>
      </c>
      <c r="F1275" s="28" t="s">
        <v>470</v>
      </c>
      <c r="G1275" s="28" t="s">
        <v>1852</v>
      </c>
      <c r="H1275" s="28">
        <v>7981184</v>
      </c>
      <c r="I1275" s="28">
        <v>332460</v>
      </c>
      <c r="J1275" s="28">
        <v>0.99</v>
      </c>
      <c r="K1275" s="28">
        <v>31</v>
      </c>
      <c r="L1275" s="28">
        <v>0</v>
      </c>
    </row>
    <row r="1276" spans="1:12" ht="14.25" customHeight="1" x14ac:dyDescent="0.2">
      <c r="A1276" s="28">
        <v>1275</v>
      </c>
      <c r="B1276" s="28" t="s">
        <v>1925</v>
      </c>
      <c r="C1276" s="28" t="s">
        <v>1839</v>
      </c>
      <c r="D1276" s="28" t="s">
        <v>1839</v>
      </c>
      <c r="E1276" s="28" t="s">
        <v>211</v>
      </c>
      <c r="F1276" s="28" t="s">
        <v>470</v>
      </c>
      <c r="G1276" s="28" t="s">
        <v>1926</v>
      </c>
      <c r="H1276" s="28">
        <v>6066304</v>
      </c>
      <c r="I1276" s="28">
        <v>252708</v>
      </c>
      <c r="J1276" s="28">
        <v>0.99</v>
      </c>
      <c r="K1276" s="28">
        <v>7</v>
      </c>
      <c r="L1276" s="28">
        <v>0</v>
      </c>
    </row>
    <row r="1277" spans="1:12" ht="14.25" customHeight="1" x14ac:dyDescent="0.2">
      <c r="A1277" s="28">
        <v>1276</v>
      </c>
      <c r="B1277" s="28" t="s">
        <v>1927</v>
      </c>
      <c r="C1277" s="28" t="s">
        <v>1839</v>
      </c>
      <c r="D1277" s="28" t="s">
        <v>1839</v>
      </c>
      <c r="E1277" s="28" t="s">
        <v>211</v>
      </c>
      <c r="F1277" s="28" t="s">
        <v>470</v>
      </c>
      <c r="G1277" s="28" t="s">
        <v>1852</v>
      </c>
      <c r="H1277" s="28">
        <v>5189891</v>
      </c>
      <c r="I1277" s="28">
        <v>216058</v>
      </c>
      <c r="J1277" s="28">
        <v>0.99</v>
      </c>
      <c r="K1277" s="28">
        <v>65</v>
      </c>
      <c r="L1277" s="28">
        <v>1</v>
      </c>
    </row>
    <row r="1278" spans="1:12" ht="14.25" customHeight="1" x14ac:dyDescent="0.2">
      <c r="A1278" s="28">
        <v>1277</v>
      </c>
      <c r="B1278" s="28" t="s">
        <v>1928</v>
      </c>
      <c r="C1278" s="28" t="s">
        <v>1929</v>
      </c>
      <c r="D1278" s="28" t="s">
        <v>1839</v>
      </c>
      <c r="E1278" s="28" t="s">
        <v>211</v>
      </c>
      <c r="F1278" s="28" t="s">
        <v>1898</v>
      </c>
      <c r="G1278" s="28" t="s">
        <v>1852</v>
      </c>
      <c r="H1278" s="28">
        <v>2543744</v>
      </c>
      <c r="I1278" s="28">
        <v>105926</v>
      </c>
      <c r="J1278" s="28">
        <v>0.99</v>
      </c>
      <c r="K1278" s="28">
        <v>69</v>
      </c>
      <c r="L1278" s="28">
        <v>1</v>
      </c>
    </row>
    <row r="1279" spans="1:12" ht="14.25" customHeight="1" x14ac:dyDescent="0.2">
      <c r="A1279" s="28">
        <v>1278</v>
      </c>
      <c r="B1279" s="28" t="s">
        <v>1930</v>
      </c>
      <c r="C1279" s="28" t="s">
        <v>1929</v>
      </c>
      <c r="D1279" s="28" t="s">
        <v>1839</v>
      </c>
      <c r="E1279" s="28" t="s">
        <v>211</v>
      </c>
      <c r="F1279" s="28" t="s">
        <v>1898</v>
      </c>
      <c r="G1279" s="28" t="s">
        <v>1852</v>
      </c>
      <c r="H1279" s="28">
        <v>4188288</v>
      </c>
      <c r="I1279" s="28">
        <v>174471</v>
      </c>
      <c r="J1279" s="28">
        <v>0.99</v>
      </c>
      <c r="K1279" s="28">
        <v>62</v>
      </c>
      <c r="L1279" s="28">
        <v>0</v>
      </c>
    </row>
    <row r="1280" spans="1:12" ht="14.25" customHeight="1" x14ac:dyDescent="0.2">
      <c r="A1280" s="28">
        <v>1279</v>
      </c>
      <c r="B1280" s="28" t="s">
        <v>1931</v>
      </c>
      <c r="C1280" s="28" t="s">
        <v>1929</v>
      </c>
      <c r="D1280" s="28" t="s">
        <v>1839</v>
      </c>
      <c r="E1280" s="28" t="s">
        <v>211</v>
      </c>
      <c r="F1280" s="28" t="s">
        <v>1898</v>
      </c>
      <c r="G1280" s="28" t="s">
        <v>1852</v>
      </c>
      <c r="H1280" s="28">
        <v>6205786</v>
      </c>
      <c r="I1280" s="28">
        <v>258377</v>
      </c>
      <c r="J1280" s="28">
        <v>0.99</v>
      </c>
      <c r="K1280" s="28">
        <v>15</v>
      </c>
      <c r="L1280" s="28">
        <v>0</v>
      </c>
    </row>
    <row r="1281" spans="1:12" ht="14.25" customHeight="1" x14ac:dyDescent="0.2">
      <c r="A1281" s="28">
        <v>1280</v>
      </c>
      <c r="B1281" s="28" t="s">
        <v>1932</v>
      </c>
      <c r="C1281" s="28" t="s">
        <v>1929</v>
      </c>
      <c r="D1281" s="28" t="s">
        <v>1839</v>
      </c>
      <c r="E1281" s="28" t="s">
        <v>211</v>
      </c>
      <c r="F1281" s="28" t="s">
        <v>1898</v>
      </c>
      <c r="G1281" s="28" t="s">
        <v>1852</v>
      </c>
      <c r="H1281" s="28">
        <v>4874368</v>
      </c>
      <c r="I1281" s="28">
        <v>203049</v>
      </c>
      <c r="J1281" s="28">
        <v>0.99</v>
      </c>
      <c r="K1281" s="28">
        <v>55</v>
      </c>
      <c r="L1281" s="28">
        <v>1</v>
      </c>
    </row>
    <row r="1282" spans="1:12" ht="14.25" customHeight="1" x14ac:dyDescent="0.2">
      <c r="A1282" s="28">
        <v>1281</v>
      </c>
      <c r="B1282" s="28" t="s">
        <v>1933</v>
      </c>
      <c r="C1282" s="28" t="s">
        <v>1929</v>
      </c>
      <c r="D1282" s="28" t="s">
        <v>1839</v>
      </c>
      <c r="E1282" s="28" t="s">
        <v>211</v>
      </c>
      <c r="F1282" s="28" t="s">
        <v>1898</v>
      </c>
      <c r="G1282" s="28" t="s">
        <v>1852</v>
      </c>
      <c r="H1282" s="28">
        <v>4493440</v>
      </c>
      <c r="I1282" s="28">
        <v>187141</v>
      </c>
      <c r="J1282" s="28">
        <v>0.99</v>
      </c>
      <c r="K1282" s="28">
        <v>50</v>
      </c>
      <c r="L1282" s="28">
        <v>1</v>
      </c>
    </row>
    <row r="1283" spans="1:12" ht="14.25" customHeight="1" x14ac:dyDescent="0.2">
      <c r="A1283" s="28">
        <v>1282</v>
      </c>
      <c r="B1283" s="28" t="s">
        <v>1934</v>
      </c>
      <c r="C1283" s="28" t="s">
        <v>1929</v>
      </c>
      <c r="D1283" s="28" t="s">
        <v>1839</v>
      </c>
      <c r="E1283" s="28" t="s">
        <v>211</v>
      </c>
      <c r="F1283" s="28" t="s">
        <v>1898</v>
      </c>
      <c r="G1283" s="28" t="s">
        <v>1935</v>
      </c>
      <c r="H1283" s="28">
        <v>5584861</v>
      </c>
      <c r="I1283" s="28">
        <v>232515</v>
      </c>
      <c r="J1283" s="28">
        <v>0.99</v>
      </c>
      <c r="K1283" s="28">
        <v>98</v>
      </c>
      <c r="L1283" s="28">
        <v>0</v>
      </c>
    </row>
    <row r="1284" spans="1:12" ht="14.25" customHeight="1" x14ac:dyDescent="0.2">
      <c r="A1284" s="28">
        <v>1283</v>
      </c>
      <c r="B1284" s="28" t="s">
        <v>1929</v>
      </c>
      <c r="C1284" s="28" t="s">
        <v>1929</v>
      </c>
      <c r="D1284" s="28" t="s">
        <v>1839</v>
      </c>
      <c r="E1284" s="28" t="s">
        <v>211</v>
      </c>
      <c r="F1284" s="28" t="s">
        <v>1898</v>
      </c>
      <c r="G1284" s="28" t="s">
        <v>1852</v>
      </c>
      <c r="H1284" s="28">
        <v>7227440</v>
      </c>
      <c r="I1284" s="28">
        <v>300956</v>
      </c>
      <c r="J1284" s="28">
        <v>0.99</v>
      </c>
      <c r="K1284" s="28">
        <v>14</v>
      </c>
      <c r="L1284" s="28">
        <v>0</v>
      </c>
    </row>
    <row r="1285" spans="1:12" ht="14.25" customHeight="1" x14ac:dyDescent="0.2">
      <c r="A1285" s="28">
        <v>1284</v>
      </c>
      <c r="B1285" s="28" t="s">
        <v>1936</v>
      </c>
      <c r="C1285" s="28" t="s">
        <v>1929</v>
      </c>
      <c r="D1285" s="28" t="s">
        <v>1839</v>
      </c>
      <c r="E1285" s="28" t="s">
        <v>211</v>
      </c>
      <c r="F1285" s="28" t="s">
        <v>1898</v>
      </c>
      <c r="G1285" s="28" t="s">
        <v>1852</v>
      </c>
      <c r="H1285" s="28">
        <v>8937600</v>
      </c>
      <c r="I1285" s="28">
        <v>372349</v>
      </c>
      <c r="J1285" s="28">
        <v>0.99</v>
      </c>
      <c r="K1285" s="28">
        <v>54</v>
      </c>
      <c r="L1285" s="28">
        <v>0</v>
      </c>
    </row>
    <row r="1286" spans="1:12" ht="14.25" customHeight="1" x14ac:dyDescent="0.2">
      <c r="A1286" s="28">
        <v>1285</v>
      </c>
      <c r="B1286" s="28" t="s">
        <v>1937</v>
      </c>
      <c r="C1286" s="28" t="s">
        <v>1929</v>
      </c>
      <c r="D1286" s="28" t="s">
        <v>1839</v>
      </c>
      <c r="E1286" s="28" t="s">
        <v>211</v>
      </c>
      <c r="F1286" s="28" t="s">
        <v>1898</v>
      </c>
      <c r="G1286" s="28" t="s">
        <v>1852</v>
      </c>
      <c r="H1286" s="28">
        <v>4804736</v>
      </c>
      <c r="I1286" s="28">
        <v>200150</v>
      </c>
      <c r="J1286" s="28">
        <v>0.99</v>
      </c>
      <c r="K1286" s="28">
        <v>44</v>
      </c>
      <c r="L1286" s="28">
        <v>1</v>
      </c>
    </row>
    <row r="1287" spans="1:12" ht="14.25" customHeight="1" x14ac:dyDescent="0.2">
      <c r="A1287" s="28">
        <v>1286</v>
      </c>
      <c r="B1287" s="28" t="s">
        <v>1239</v>
      </c>
      <c r="C1287" s="28" t="s">
        <v>1929</v>
      </c>
      <c r="D1287" s="28" t="s">
        <v>1839</v>
      </c>
      <c r="E1287" s="28" t="s">
        <v>211</v>
      </c>
      <c r="F1287" s="28" t="s">
        <v>1898</v>
      </c>
      <c r="G1287" s="28" t="s">
        <v>1852</v>
      </c>
      <c r="H1287" s="28">
        <v>6934660</v>
      </c>
      <c r="I1287" s="28">
        <v>288757</v>
      </c>
      <c r="J1287" s="28">
        <v>0.99</v>
      </c>
      <c r="K1287" s="28">
        <v>25</v>
      </c>
      <c r="L1287" s="28">
        <v>1</v>
      </c>
    </row>
    <row r="1288" spans="1:12" ht="14.25" customHeight="1" x14ac:dyDescent="0.2">
      <c r="A1288" s="28">
        <v>1287</v>
      </c>
      <c r="B1288" s="28" t="s">
        <v>1938</v>
      </c>
      <c r="C1288" s="28" t="s">
        <v>1939</v>
      </c>
      <c r="D1288" s="28" t="s">
        <v>1839</v>
      </c>
      <c r="E1288" s="28" t="s">
        <v>211</v>
      </c>
      <c r="F1288" s="28" t="s">
        <v>1898</v>
      </c>
      <c r="G1288" s="28"/>
      <c r="H1288" s="28">
        <v>1154488</v>
      </c>
      <c r="I1288" s="28">
        <v>48013</v>
      </c>
      <c r="J1288" s="28">
        <v>0.99</v>
      </c>
      <c r="K1288" s="28">
        <v>95</v>
      </c>
      <c r="L1288" s="28">
        <v>0</v>
      </c>
    </row>
    <row r="1289" spans="1:12" ht="14.25" customHeight="1" x14ac:dyDescent="0.2">
      <c r="A1289" s="28">
        <v>1288</v>
      </c>
      <c r="B1289" s="28" t="s">
        <v>1940</v>
      </c>
      <c r="C1289" s="28" t="s">
        <v>1939</v>
      </c>
      <c r="D1289" s="28" t="s">
        <v>1839</v>
      </c>
      <c r="E1289" s="28" t="s">
        <v>211</v>
      </c>
      <c r="F1289" s="28" t="s">
        <v>1898</v>
      </c>
      <c r="G1289" s="28"/>
      <c r="H1289" s="28">
        <v>6635187</v>
      </c>
      <c r="I1289" s="28">
        <v>276375</v>
      </c>
      <c r="J1289" s="28">
        <v>0.99</v>
      </c>
      <c r="K1289" s="28">
        <v>3</v>
      </c>
      <c r="L1289" s="28">
        <v>0</v>
      </c>
    </row>
    <row r="1290" spans="1:12" ht="14.25" customHeight="1" x14ac:dyDescent="0.2">
      <c r="A1290" s="28">
        <v>1289</v>
      </c>
      <c r="B1290" s="28" t="s">
        <v>1863</v>
      </c>
      <c r="C1290" s="28" t="s">
        <v>1939</v>
      </c>
      <c r="D1290" s="28" t="s">
        <v>1839</v>
      </c>
      <c r="E1290" s="28" t="s">
        <v>211</v>
      </c>
      <c r="F1290" s="28" t="s">
        <v>322</v>
      </c>
      <c r="G1290" s="28" t="s">
        <v>1941</v>
      </c>
      <c r="H1290" s="28">
        <v>8799380</v>
      </c>
      <c r="I1290" s="28">
        <v>366550</v>
      </c>
      <c r="J1290" s="28">
        <v>0.99</v>
      </c>
      <c r="K1290" s="28">
        <v>17</v>
      </c>
      <c r="L1290" s="28">
        <v>1</v>
      </c>
    </row>
    <row r="1291" spans="1:12" ht="14.25" customHeight="1" x14ac:dyDescent="0.2">
      <c r="A1291" s="28">
        <v>1290</v>
      </c>
      <c r="B1291" s="28" t="s">
        <v>1853</v>
      </c>
      <c r="C1291" s="28" t="s">
        <v>1939</v>
      </c>
      <c r="D1291" s="28" t="s">
        <v>1839</v>
      </c>
      <c r="E1291" s="28" t="s">
        <v>211</v>
      </c>
      <c r="F1291" s="28" t="s">
        <v>322</v>
      </c>
      <c r="G1291" s="28" t="s">
        <v>1942</v>
      </c>
      <c r="H1291" s="28">
        <v>6455255</v>
      </c>
      <c r="I1291" s="28">
        <v>268878</v>
      </c>
      <c r="J1291" s="28">
        <v>0.99</v>
      </c>
      <c r="K1291" s="28">
        <v>15</v>
      </c>
      <c r="L1291" s="28">
        <v>1</v>
      </c>
    </row>
    <row r="1292" spans="1:12" ht="14.25" customHeight="1" x14ac:dyDescent="0.2">
      <c r="A1292" s="28">
        <v>1291</v>
      </c>
      <c r="B1292" s="28" t="s">
        <v>1943</v>
      </c>
      <c r="C1292" s="28" t="s">
        <v>1939</v>
      </c>
      <c r="D1292" s="28" t="s">
        <v>1839</v>
      </c>
      <c r="E1292" s="28" t="s">
        <v>211</v>
      </c>
      <c r="F1292" s="28" t="s">
        <v>322</v>
      </c>
      <c r="G1292" s="28" t="s">
        <v>1944</v>
      </c>
      <c r="H1292" s="28">
        <v>8926021</v>
      </c>
      <c r="I1292" s="28">
        <v>371826</v>
      </c>
      <c r="J1292" s="28">
        <v>0.99</v>
      </c>
      <c r="K1292" s="28">
        <v>64</v>
      </c>
      <c r="L1292" s="28">
        <v>0</v>
      </c>
    </row>
    <row r="1293" spans="1:12" ht="14.25" customHeight="1" x14ac:dyDescent="0.2">
      <c r="A1293" s="28">
        <v>1292</v>
      </c>
      <c r="B1293" s="28" t="s">
        <v>1945</v>
      </c>
      <c r="C1293" s="28" t="s">
        <v>1939</v>
      </c>
      <c r="D1293" s="28" t="s">
        <v>1839</v>
      </c>
      <c r="E1293" s="28" t="s">
        <v>211</v>
      </c>
      <c r="F1293" s="28" t="s">
        <v>322</v>
      </c>
      <c r="G1293" s="28" t="s">
        <v>1941</v>
      </c>
      <c r="H1293" s="28">
        <v>5521744</v>
      </c>
      <c r="I1293" s="28">
        <v>229982</v>
      </c>
      <c r="J1293" s="28">
        <v>0.99</v>
      </c>
      <c r="K1293" s="28">
        <v>83</v>
      </c>
      <c r="L1293" s="28">
        <v>0</v>
      </c>
    </row>
    <row r="1294" spans="1:12" ht="14.25" customHeight="1" x14ac:dyDescent="0.2">
      <c r="A1294" s="28">
        <v>1293</v>
      </c>
      <c r="B1294" s="28" t="s">
        <v>1946</v>
      </c>
      <c r="C1294" s="28" t="s">
        <v>1939</v>
      </c>
      <c r="D1294" s="28" t="s">
        <v>1839</v>
      </c>
      <c r="E1294" s="28" t="s">
        <v>211</v>
      </c>
      <c r="F1294" s="28" t="s">
        <v>322</v>
      </c>
      <c r="G1294" s="28"/>
      <c r="H1294" s="28">
        <v>18949518</v>
      </c>
      <c r="I1294" s="28">
        <v>789472</v>
      </c>
      <c r="J1294" s="28">
        <v>0.99</v>
      </c>
      <c r="K1294" s="28">
        <v>53</v>
      </c>
      <c r="L1294" s="28">
        <v>0</v>
      </c>
    </row>
    <row r="1295" spans="1:12" ht="14.25" customHeight="1" x14ac:dyDescent="0.2">
      <c r="A1295" s="28">
        <v>1294</v>
      </c>
      <c r="B1295" s="28" t="s">
        <v>1947</v>
      </c>
      <c r="C1295" s="28" t="s">
        <v>1939</v>
      </c>
      <c r="D1295" s="28" t="s">
        <v>1839</v>
      </c>
      <c r="E1295" s="28" t="s">
        <v>211</v>
      </c>
      <c r="F1295" s="28" t="s">
        <v>322</v>
      </c>
      <c r="G1295" s="28"/>
      <c r="H1295" s="28">
        <v>10921567</v>
      </c>
      <c r="I1295" s="28">
        <v>454974</v>
      </c>
      <c r="J1295" s="28">
        <v>0.99</v>
      </c>
      <c r="K1295" s="28">
        <v>19</v>
      </c>
      <c r="L1295" s="28">
        <v>1</v>
      </c>
    </row>
    <row r="1296" spans="1:12" ht="14.25" customHeight="1" x14ac:dyDescent="0.2">
      <c r="A1296" s="28">
        <v>1295</v>
      </c>
      <c r="B1296" s="28" t="s">
        <v>1850</v>
      </c>
      <c r="C1296" s="28" t="s">
        <v>1939</v>
      </c>
      <c r="D1296" s="28" t="s">
        <v>1839</v>
      </c>
      <c r="E1296" s="28" t="s">
        <v>211</v>
      </c>
      <c r="F1296" s="28" t="s">
        <v>322</v>
      </c>
      <c r="G1296" s="28" t="s">
        <v>1942</v>
      </c>
      <c r="H1296" s="28">
        <v>6605094</v>
      </c>
      <c r="I1296" s="28">
        <v>275121</v>
      </c>
      <c r="J1296" s="28">
        <v>0.99</v>
      </c>
      <c r="K1296" s="28">
        <v>22</v>
      </c>
      <c r="L1296" s="28">
        <v>1</v>
      </c>
    </row>
    <row r="1297" spans="1:12" ht="14.25" customHeight="1" x14ac:dyDescent="0.2">
      <c r="A1297" s="28">
        <v>1296</v>
      </c>
      <c r="B1297" s="28" t="s">
        <v>1865</v>
      </c>
      <c r="C1297" s="28" t="s">
        <v>1939</v>
      </c>
      <c r="D1297" s="28" t="s">
        <v>1839</v>
      </c>
      <c r="E1297" s="28" t="s">
        <v>211</v>
      </c>
      <c r="F1297" s="28" t="s">
        <v>322</v>
      </c>
      <c r="G1297" s="28" t="s">
        <v>1942</v>
      </c>
      <c r="H1297" s="28">
        <v>10836304</v>
      </c>
      <c r="I1297" s="28">
        <v>451422</v>
      </c>
      <c r="J1297" s="28">
        <v>0.99</v>
      </c>
      <c r="K1297" s="28">
        <v>3</v>
      </c>
      <c r="L1297" s="28">
        <v>0</v>
      </c>
    </row>
    <row r="1298" spans="1:12" ht="14.25" customHeight="1" x14ac:dyDescent="0.2">
      <c r="A1298" s="28">
        <v>1297</v>
      </c>
      <c r="B1298" s="28" t="s">
        <v>1839</v>
      </c>
      <c r="C1298" s="28" t="s">
        <v>1939</v>
      </c>
      <c r="D1298" s="28" t="s">
        <v>1839</v>
      </c>
      <c r="E1298" s="28" t="s">
        <v>211</v>
      </c>
      <c r="F1298" s="28" t="s">
        <v>322</v>
      </c>
      <c r="G1298" s="28" t="s">
        <v>1942</v>
      </c>
      <c r="H1298" s="28">
        <v>6289117</v>
      </c>
      <c r="I1298" s="28">
        <v>261955</v>
      </c>
      <c r="J1298" s="28">
        <v>0.99</v>
      </c>
      <c r="K1298" s="28">
        <v>93</v>
      </c>
      <c r="L1298" s="28">
        <v>0</v>
      </c>
    </row>
    <row r="1299" spans="1:12" ht="14.25" customHeight="1" x14ac:dyDescent="0.2">
      <c r="A1299" s="28">
        <v>1298</v>
      </c>
      <c r="B1299" s="28" t="s">
        <v>1948</v>
      </c>
      <c r="C1299" s="28" t="s">
        <v>1939</v>
      </c>
      <c r="D1299" s="28" t="s">
        <v>1839</v>
      </c>
      <c r="E1299" s="28" t="s">
        <v>211</v>
      </c>
      <c r="F1299" s="28" t="s">
        <v>322</v>
      </c>
      <c r="G1299" s="28" t="s">
        <v>1942</v>
      </c>
      <c r="H1299" s="28">
        <v>5561241</v>
      </c>
      <c r="I1299" s="28">
        <v>231627</v>
      </c>
      <c r="J1299" s="28">
        <v>0.99</v>
      </c>
      <c r="K1299" s="28">
        <v>19</v>
      </c>
      <c r="L1299" s="28">
        <v>1</v>
      </c>
    </row>
    <row r="1300" spans="1:12" ht="14.25" customHeight="1" x14ac:dyDescent="0.2">
      <c r="A1300" s="28">
        <v>1299</v>
      </c>
      <c r="B1300" s="28" t="s">
        <v>1861</v>
      </c>
      <c r="C1300" s="28" t="s">
        <v>1939</v>
      </c>
      <c r="D1300" s="28" t="s">
        <v>1839</v>
      </c>
      <c r="E1300" s="28" t="s">
        <v>211</v>
      </c>
      <c r="F1300" s="28" t="s">
        <v>322</v>
      </c>
      <c r="G1300" s="28" t="s">
        <v>1949</v>
      </c>
      <c r="H1300" s="28">
        <v>4912986</v>
      </c>
      <c r="I1300" s="28">
        <v>204617</v>
      </c>
      <c r="J1300" s="28">
        <v>0.99</v>
      </c>
      <c r="K1300" s="28">
        <v>9</v>
      </c>
      <c r="L1300" s="28">
        <v>1</v>
      </c>
    </row>
    <row r="1301" spans="1:12" ht="14.25" customHeight="1" x14ac:dyDescent="0.2">
      <c r="A1301" s="28">
        <v>1300</v>
      </c>
      <c r="B1301" s="28" t="s">
        <v>1930</v>
      </c>
      <c r="C1301" s="28" t="s">
        <v>1939</v>
      </c>
      <c r="D1301" s="28" t="s">
        <v>1839</v>
      </c>
      <c r="E1301" s="28" t="s">
        <v>211</v>
      </c>
      <c r="F1301" s="28" t="s">
        <v>1898</v>
      </c>
      <c r="G1301" s="28" t="s">
        <v>1852</v>
      </c>
      <c r="H1301" s="28">
        <v>4410181</v>
      </c>
      <c r="I1301" s="28">
        <v>183666</v>
      </c>
      <c r="J1301" s="28">
        <v>0.99</v>
      </c>
      <c r="K1301" s="28">
        <v>91</v>
      </c>
      <c r="L1301" s="28">
        <v>0</v>
      </c>
    </row>
    <row r="1302" spans="1:12" ht="14.25" customHeight="1" x14ac:dyDescent="0.2">
      <c r="A1302" s="28">
        <v>1301</v>
      </c>
      <c r="B1302" s="28" t="s">
        <v>1950</v>
      </c>
      <c r="C1302" s="28" t="s">
        <v>1939</v>
      </c>
      <c r="D1302" s="28" t="s">
        <v>1839</v>
      </c>
      <c r="E1302" s="28" t="s">
        <v>211</v>
      </c>
      <c r="F1302" s="28" t="s">
        <v>1898</v>
      </c>
      <c r="G1302" s="28"/>
      <c r="H1302" s="28">
        <v>9119118</v>
      </c>
      <c r="I1302" s="28">
        <v>379872</v>
      </c>
      <c r="J1302" s="28">
        <v>0.99</v>
      </c>
      <c r="K1302" s="28">
        <v>93</v>
      </c>
      <c r="L1302" s="28">
        <v>0</v>
      </c>
    </row>
    <row r="1303" spans="1:12" ht="14.25" customHeight="1" x14ac:dyDescent="0.2">
      <c r="A1303" s="28">
        <v>1302</v>
      </c>
      <c r="B1303" s="28" t="s">
        <v>1951</v>
      </c>
      <c r="C1303" s="28" t="s">
        <v>1939</v>
      </c>
      <c r="D1303" s="28" t="s">
        <v>1839</v>
      </c>
      <c r="E1303" s="28" t="s">
        <v>211</v>
      </c>
      <c r="F1303" s="28" t="s">
        <v>1898</v>
      </c>
      <c r="G1303" s="28" t="s">
        <v>1852</v>
      </c>
      <c r="H1303" s="28">
        <v>6678446</v>
      </c>
      <c r="I1303" s="28">
        <v>278177</v>
      </c>
      <c r="J1303" s="28">
        <v>0.99</v>
      </c>
      <c r="K1303" s="28">
        <v>32</v>
      </c>
      <c r="L1303" s="28">
        <v>0</v>
      </c>
    </row>
    <row r="1304" spans="1:12" ht="14.25" customHeight="1" x14ac:dyDescent="0.2">
      <c r="A1304" s="28">
        <v>1303</v>
      </c>
      <c r="B1304" s="28" t="s">
        <v>1952</v>
      </c>
      <c r="C1304" s="28" t="s">
        <v>1939</v>
      </c>
      <c r="D1304" s="28" t="s">
        <v>1839</v>
      </c>
      <c r="E1304" s="28" t="s">
        <v>211</v>
      </c>
      <c r="F1304" s="28" t="s">
        <v>1898</v>
      </c>
      <c r="G1304" s="28" t="s">
        <v>1871</v>
      </c>
      <c r="H1304" s="28">
        <v>7542367</v>
      </c>
      <c r="I1304" s="28">
        <v>314174</v>
      </c>
      <c r="J1304" s="28">
        <v>0.99</v>
      </c>
      <c r="K1304" s="28">
        <v>8</v>
      </c>
      <c r="L1304" s="28">
        <v>1</v>
      </c>
    </row>
    <row r="1305" spans="1:12" ht="14.25" customHeight="1" x14ac:dyDescent="0.2">
      <c r="A1305" s="28">
        <v>1304</v>
      </c>
      <c r="B1305" s="28" t="s">
        <v>1953</v>
      </c>
      <c r="C1305" s="28" t="s">
        <v>1939</v>
      </c>
      <c r="D1305" s="28" t="s">
        <v>1839</v>
      </c>
      <c r="E1305" s="28" t="s">
        <v>211</v>
      </c>
      <c r="F1305" s="28" t="s">
        <v>1898</v>
      </c>
      <c r="G1305" s="28" t="s">
        <v>1852</v>
      </c>
      <c r="H1305" s="28">
        <v>10589917</v>
      </c>
      <c r="I1305" s="28">
        <v>441155</v>
      </c>
      <c r="J1305" s="28">
        <v>0.99</v>
      </c>
      <c r="K1305" s="28">
        <v>15</v>
      </c>
      <c r="L1305" s="28">
        <v>1</v>
      </c>
    </row>
    <row r="1306" spans="1:12" ht="14.25" customHeight="1" x14ac:dyDescent="0.2">
      <c r="A1306" s="28">
        <v>1305</v>
      </c>
      <c r="B1306" s="28" t="s">
        <v>1866</v>
      </c>
      <c r="C1306" s="28" t="s">
        <v>1954</v>
      </c>
      <c r="D1306" s="28" t="s">
        <v>1839</v>
      </c>
      <c r="E1306" s="28" t="s">
        <v>211</v>
      </c>
      <c r="F1306" s="28" t="s">
        <v>212</v>
      </c>
      <c r="G1306" s="28"/>
      <c r="H1306" s="28">
        <v>5599853</v>
      </c>
      <c r="I1306" s="28">
        <v>233142</v>
      </c>
      <c r="J1306" s="28">
        <v>0.99</v>
      </c>
      <c r="K1306" s="28">
        <v>32</v>
      </c>
      <c r="L1306" s="28">
        <v>0</v>
      </c>
    </row>
    <row r="1307" spans="1:12" ht="14.25" customHeight="1" x14ac:dyDescent="0.2">
      <c r="A1307" s="28">
        <v>1306</v>
      </c>
      <c r="B1307" s="28" t="s">
        <v>1850</v>
      </c>
      <c r="C1307" s="28" t="s">
        <v>1954</v>
      </c>
      <c r="D1307" s="28" t="s">
        <v>1839</v>
      </c>
      <c r="E1307" s="28" t="s">
        <v>211</v>
      </c>
      <c r="F1307" s="28" t="s">
        <v>212</v>
      </c>
      <c r="G1307" s="28"/>
      <c r="H1307" s="28">
        <v>7060625</v>
      </c>
      <c r="I1307" s="28">
        <v>294008</v>
      </c>
      <c r="J1307" s="28">
        <v>0.99</v>
      </c>
      <c r="K1307" s="28">
        <v>85</v>
      </c>
      <c r="L1307" s="28">
        <v>0</v>
      </c>
    </row>
    <row r="1308" spans="1:12" ht="14.25" customHeight="1" x14ac:dyDescent="0.2">
      <c r="A1308" s="28">
        <v>1307</v>
      </c>
      <c r="B1308" s="28" t="s">
        <v>1930</v>
      </c>
      <c r="C1308" s="28" t="s">
        <v>1954</v>
      </c>
      <c r="D1308" s="28" t="s">
        <v>1839</v>
      </c>
      <c r="E1308" s="28" t="s">
        <v>211</v>
      </c>
      <c r="F1308" s="28" t="s">
        <v>212</v>
      </c>
      <c r="G1308" s="28"/>
      <c r="H1308" s="28">
        <v>4182963</v>
      </c>
      <c r="I1308" s="28">
        <v>174106</v>
      </c>
      <c r="J1308" s="28">
        <v>0.99</v>
      </c>
      <c r="K1308" s="28">
        <v>45</v>
      </c>
      <c r="L1308" s="28">
        <v>1</v>
      </c>
    </row>
    <row r="1309" spans="1:12" ht="14.25" customHeight="1" x14ac:dyDescent="0.2">
      <c r="A1309" s="28">
        <v>1308</v>
      </c>
      <c r="B1309" s="28" t="s">
        <v>1869</v>
      </c>
      <c r="C1309" s="28" t="s">
        <v>1954</v>
      </c>
      <c r="D1309" s="28" t="s">
        <v>1839</v>
      </c>
      <c r="E1309" s="28" t="s">
        <v>211</v>
      </c>
      <c r="F1309" s="28" t="s">
        <v>212</v>
      </c>
      <c r="G1309" s="28"/>
      <c r="H1309" s="28">
        <v>6831163</v>
      </c>
      <c r="I1309" s="28">
        <v>284447</v>
      </c>
      <c r="J1309" s="28">
        <v>0.99</v>
      </c>
      <c r="K1309" s="28">
        <v>2</v>
      </c>
      <c r="L1309" s="28">
        <v>1</v>
      </c>
    </row>
    <row r="1310" spans="1:12" ht="14.25" customHeight="1" x14ac:dyDescent="0.2">
      <c r="A1310" s="28">
        <v>1309</v>
      </c>
      <c r="B1310" s="28" t="s">
        <v>1870</v>
      </c>
      <c r="C1310" s="28" t="s">
        <v>1954</v>
      </c>
      <c r="D1310" s="28" t="s">
        <v>1839</v>
      </c>
      <c r="E1310" s="28" t="s">
        <v>211</v>
      </c>
      <c r="F1310" s="28" t="s">
        <v>212</v>
      </c>
      <c r="G1310" s="28"/>
      <c r="H1310" s="28">
        <v>5118995</v>
      </c>
      <c r="I1310" s="28">
        <v>213106</v>
      </c>
      <c r="J1310" s="28">
        <v>0.99</v>
      </c>
      <c r="K1310" s="28">
        <v>55</v>
      </c>
      <c r="L1310" s="28">
        <v>0</v>
      </c>
    </row>
    <row r="1311" spans="1:12" ht="14.25" customHeight="1" x14ac:dyDescent="0.2">
      <c r="A1311" s="28">
        <v>1310</v>
      </c>
      <c r="B1311" s="28" t="s">
        <v>1872</v>
      </c>
      <c r="C1311" s="28" t="s">
        <v>1954</v>
      </c>
      <c r="D1311" s="28" t="s">
        <v>1839</v>
      </c>
      <c r="E1311" s="28" t="s">
        <v>211</v>
      </c>
      <c r="F1311" s="28" t="s">
        <v>212</v>
      </c>
      <c r="G1311" s="28"/>
      <c r="H1311" s="28">
        <v>8091301</v>
      </c>
      <c r="I1311" s="28">
        <v>336953</v>
      </c>
      <c r="J1311" s="28">
        <v>0.99</v>
      </c>
      <c r="K1311" s="28">
        <v>2</v>
      </c>
      <c r="L1311" s="28">
        <v>0</v>
      </c>
    </row>
    <row r="1312" spans="1:12" ht="14.25" customHeight="1" x14ac:dyDescent="0.2">
      <c r="A1312" s="28">
        <v>1311</v>
      </c>
      <c r="B1312" s="28" t="s">
        <v>1873</v>
      </c>
      <c r="C1312" s="28" t="s">
        <v>1954</v>
      </c>
      <c r="D1312" s="28" t="s">
        <v>1839</v>
      </c>
      <c r="E1312" s="28" t="s">
        <v>211</v>
      </c>
      <c r="F1312" s="28" t="s">
        <v>212</v>
      </c>
      <c r="G1312" s="28"/>
      <c r="H1312" s="28">
        <v>5947795</v>
      </c>
      <c r="I1312" s="28">
        <v>247640</v>
      </c>
      <c r="J1312" s="28">
        <v>0.99</v>
      </c>
      <c r="K1312" s="28">
        <v>99</v>
      </c>
      <c r="L1312" s="28">
        <v>0</v>
      </c>
    </row>
    <row r="1313" spans="1:12" ht="14.25" customHeight="1" x14ac:dyDescent="0.2">
      <c r="A1313" s="28">
        <v>1312</v>
      </c>
      <c r="B1313" s="28" t="s">
        <v>1875</v>
      </c>
      <c r="C1313" s="28" t="s">
        <v>1954</v>
      </c>
      <c r="D1313" s="28" t="s">
        <v>1839</v>
      </c>
      <c r="E1313" s="28" t="s">
        <v>211</v>
      </c>
      <c r="F1313" s="28" t="s">
        <v>212</v>
      </c>
      <c r="G1313" s="28"/>
      <c r="H1313" s="28">
        <v>11479913</v>
      </c>
      <c r="I1313" s="28">
        <v>478145</v>
      </c>
      <c r="J1313" s="28">
        <v>0.99</v>
      </c>
      <c r="K1313" s="28">
        <v>34</v>
      </c>
      <c r="L1313" s="28">
        <v>1</v>
      </c>
    </row>
    <row r="1314" spans="1:12" ht="14.25" customHeight="1" x14ac:dyDescent="0.2">
      <c r="A1314" s="28">
        <v>1313</v>
      </c>
      <c r="B1314" s="28" t="s">
        <v>1876</v>
      </c>
      <c r="C1314" s="28" t="s">
        <v>1954</v>
      </c>
      <c r="D1314" s="28" t="s">
        <v>1839</v>
      </c>
      <c r="E1314" s="28" t="s">
        <v>211</v>
      </c>
      <c r="F1314" s="28" t="s">
        <v>212</v>
      </c>
      <c r="G1314" s="28"/>
      <c r="H1314" s="28">
        <v>9905048</v>
      </c>
      <c r="I1314" s="28">
        <v>412525</v>
      </c>
      <c r="J1314" s="28">
        <v>0.99</v>
      </c>
      <c r="K1314" s="28">
        <v>24</v>
      </c>
      <c r="L1314" s="28">
        <v>1</v>
      </c>
    </row>
    <row r="1315" spans="1:12" ht="14.25" customHeight="1" x14ac:dyDescent="0.2">
      <c r="A1315" s="28">
        <v>1314</v>
      </c>
      <c r="B1315" s="28" t="s">
        <v>1880</v>
      </c>
      <c r="C1315" s="28" t="s">
        <v>1954</v>
      </c>
      <c r="D1315" s="28" t="s">
        <v>1839</v>
      </c>
      <c r="E1315" s="28" t="s">
        <v>211</v>
      </c>
      <c r="F1315" s="28" t="s">
        <v>212</v>
      </c>
      <c r="G1315" s="28"/>
      <c r="H1315" s="28">
        <v>10361452</v>
      </c>
      <c r="I1315" s="28">
        <v>431542</v>
      </c>
      <c r="J1315" s="28">
        <v>0.99</v>
      </c>
      <c r="K1315" s="28">
        <v>75</v>
      </c>
      <c r="L1315" s="28">
        <v>0</v>
      </c>
    </row>
    <row r="1316" spans="1:12" ht="14.25" customHeight="1" x14ac:dyDescent="0.2">
      <c r="A1316" s="28">
        <v>1315</v>
      </c>
      <c r="B1316" s="28" t="s">
        <v>1955</v>
      </c>
      <c r="C1316" s="28" t="s">
        <v>1956</v>
      </c>
      <c r="D1316" s="28" t="s">
        <v>1839</v>
      </c>
      <c r="E1316" s="28" t="s">
        <v>211</v>
      </c>
      <c r="F1316" s="28" t="s">
        <v>212</v>
      </c>
      <c r="G1316" s="28"/>
      <c r="H1316" s="28">
        <v>9045532</v>
      </c>
      <c r="I1316" s="28">
        <v>376711</v>
      </c>
      <c r="J1316" s="28">
        <v>0.99</v>
      </c>
      <c r="K1316" s="28">
        <v>89</v>
      </c>
      <c r="L1316" s="28">
        <v>0</v>
      </c>
    </row>
    <row r="1317" spans="1:12" ht="14.25" customHeight="1" x14ac:dyDescent="0.2">
      <c r="A1317" s="28">
        <v>1316</v>
      </c>
      <c r="B1317" s="28" t="s">
        <v>1879</v>
      </c>
      <c r="C1317" s="28" t="s">
        <v>1956</v>
      </c>
      <c r="D1317" s="28" t="s">
        <v>1839</v>
      </c>
      <c r="E1317" s="28" t="s">
        <v>211</v>
      </c>
      <c r="F1317" s="28" t="s">
        <v>212</v>
      </c>
      <c r="G1317" s="28"/>
      <c r="H1317" s="28">
        <v>6302648</v>
      </c>
      <c r="I1317" s="28">
        <v>262426</v>
      </c>
      <c r="J1317" s="28">
        <v>0.99</v>
      </c>
      <c r="K1317" s="28">
        <v>12</v>
      </c>
      <c r="L1317" s="28">
        <v>0</v>
      </c>
    </row>
    <row r="1318" spans="1:12" ht="14.25" customHeight="1" x14ac:dyDescent="0.2">
      <c r="A1318" s="28">
        <v>1317</v>
      </c>
      <c r="B1318" s="28" t="s">
        <v>1878</v>
      </c>
      <c r="C1318" s="28" t="s">
        <v>1956</v>
      </c>
      <c r="D1318" s="28" t="s">
        <v>1839</v>
      </c>
      <c r="E1318" s="28" t="s">
        <v>211</v>
      </c>
      <c r="F1318" s="28" t="s">
        <v>212</v>
      </c>
      <c r="G1318" s="28"/>
      <c r="H1318" s="28">
        <v>10577743</v>
      </c>
      <c r="I1318" s="28">
        <v>440555</v>
      </c>
      <c r="J1318" s="28">
        <v>0.99</v>
      </c>
      <c r="K1318" s="28">
        <v>50</v>
      </c>
      <c r="L1318" s="28">
        <v>1</v>
      </c>
    </row>
    <row r="1319" spans="1:12" ht="14.25" customHeight="1" x14ac:dyDescent="0.2">
      <c r="A1319" s="28">
        <v>1318</v>
      </c>
      <c r="B1319" s="28" t="s">
        <v>1948</v>
      </c>
      <c r="C1319" s="28" t="s">
        <v>1956</v>
      </c>
      <c r="D1319" s="28" t="s">
        <v>1839</v>
      </c>
      <c r="E1319" s="28" t="s">
        <v>211</v>
      </c>
      <c r="F1319" s="28" t="s">
        <v>212</v>
      </c>
      <c r="G1319" s="28"/>
      <c r="H1319" s="28">
        <v>5665052</v>
      </c>
      <c r="I1319" s="28">
        <v>235859</v>
      </c>
      <c r="J1319" s="28">
        <v>0.99</v>
      </c>
      <c r="K1319" s="28">
        <v>97</v>
      </c>
      <c r="L1319" s="28">
        <v>0</v>
      </c>
    </row>
    <row r="1320" spans="1:12" ht="14.25" customHeight="1" x14ac:dyDescent="0.2">
      <c r="A1320" s="28">
        <v>1319</v>
      </c>
      <c r="B1320" s="28" t="s">
        <v>1863</v>
      </c>
      <c r="C1320" s="28" t="s">
        <v>1956</v>
      </c>
      <c r="D1320" s="28" t="s">
        <v>1839</v>
      </c>
      <c r="E1320" s="28" t="s">
        <v>211</v>
      </c>
      <c r="F1320" s="28" t="s">
        <v>212</v>
      </c>
      <c r="G1320" s="28" t="s">
        <v>1864</v>
      </c>
      <c r="H1320" s="28">
        <v>8122030</v>
      </c>
      <c r="I1320" s="28">
        <v>338233</v>
      </c>
      <c r="J1320" s="28">
        <v>0.99</v>
      </c>
      <c r="K1320" s="28">
        <v>17</v>
      </c>
      <c r="L1320" s="28">
        <v>0</v>
      </c>
    </row>
    <row r="1321" spans="1:12" ht="14.25" customHeight="1" x14ac:dyDescent="0.2">
      <c r="A1321" s="28">
        <v>1320</v>
      </c>
      <c r="B1321" s="28" t="s">
        <v>1839</v>
      </c>
      <c r="C1321" s="28" t="s">
        <v>1956</v>
      </c>
      <c r="D1321" s="28" t="s">
        <v>1839</v>
      </c>
      <c r="E1321" s="28" t="s">
        <v>211</v>
      </c>
      <c r="F1321" s="28" t="s">
        <v>212</v>
      </c>
      <c r="G1321" s="28"/>
      <c r="H1321" s="28">
        <v>11874875</v>
      </c>
      <c r="I1321" s="28">
        <v>494602</v>
      </c>
      <c r="J1321" s="28">
        <v>0.99</v>
      </c>
      <c r="K1321" s="28">
        <v>90</v>
      </c>
      <c r="L1321" s="28">
        <v>0</v>
      </c>
    </row>
    <row r="1322" spans="1:12" ht="14.25" customHeight="1" x14ac:dyDescent="0.2">
      <c r="A1322" s="28">
        <v>1321</v>
      </c>
      <c r="B1322" s="28" t="s">
        <v>1865</v>
      </c>
      <c r="C1322" s="28" t="s">
        <v>1956</v>
      </c>
      <c r="D1322" s="28" t="s">
        <v>1839</v>
      </c>
      <c r="E1322" s="28" t="s">
        <v>211</v>
      </c>
      <c r="F1322" s="28" t="s">
        <v>212</v>
      </c>
      <c r="G1322" s="28"/>
      <c r="H1322" s="28">
        <v>10751410</v>
      </c>
      <c r="I1322" s="28">
        <v>447791</v>
      </c>
      <c r="J1322" s="28">
        <v>0.99</v>
      </c>
      <c r="K1322" s="28">
        <v>9</v>
      </c>
      <c r="L1322" s="28">
        <v>2</v>
      </c>
    </row>
    <row r="1323" spans="1:12" ht="14.25" customHeight="1" x14ac:dyDescent="0.2">
      <c r="A1323" s="28">
        <v>1322</v>
      </c>
      <c r="B1323" s="28" t="s">
        <v>1853</v>
      </c>
      <c r="C1323" s="28" t="s">
        <v>1956</v>
      </c>
      <c r="D1323" s="28" t="s">
        <v>1839</v>
      </c>
      <c r="E1323" s="28" t="s">
        <v>211</v>
      </c>
      <c r="F1323" s="28" t="s">
        <v>212</v>
      </c>
      <c r="G1323" s="28"/>
      <c r="H1323" s="28">
        <v>5588560</v>
      </c>
      <c r="I1323" s="28">
        <v>232672</v>
      </c>
      <c r="J1323" s="28">
        <v>0.99</v>
      </c>
      <c r="K1323" s="28">
        <v>41</v>
      </c>
      <c r="L1323" s="28">
        <v>2</v>
      </c>
    </row>
    <row r="1324" spans="1:12" ht="14.25" customHeight="1" x14ac:dyDescent="0.2">
      <c r="A1324" s="28">
        <v>1323</v>
      </c>
      <c r="B1324" s="28" t="s">
        <v>1859</v>
      </c>
      <c r="C1324" s="28" t="s">
        <v>1956</v>
      </c>
      <c r="D1324" s="28" t="s">
        <v>1839</v>
      </c>
      <c r="E1324" s="28" t="s">
        <v>211</v>
      </c>
      <c r="F1324" s="28" t="s">
        <v>212</v>
      </c>
      <c r="G1324" s="28"/>
      <c r="H1324" s="28">
        <v>7648679</v>
      </c>
      <c r="I1324" s="28">
        <v>318511</v>
      </c>
      <c r="J1324" s="28">
        <v>0.99</v>
      </c>
      <c r="K1324" s="28">
        <v>92</v>
      </c>
      <c r="L1324" s="28">
        <v>1</v>
      </c>
    </row>
    <row r="1325" spans="1:12" ht="14.25" customHeight="1" x14ac:dyDescent="0.2">
      <c r="A1325" s="28">
        <v>1324</v>
      </c>
      <c r="B1325" s="28" t="s">
        <v>1861</v>
      </c>
      <c r="C1325" s="28" t="s">
        <v>1956</v>
      </c>
      <c r="D1325" s="28" t="s">
        <v>1839</v>
      </c>
      <c r="E1325" s="28" t="s">
        <v>211</v>
      </c>
      <c r="F1325" s="28" t="s">
        <v>212</v>
      </c>
      <c r="G1325" s="28"/>
      <c r="H1325" s="28">
        <v>11380851</v>
      </c>
      <c r="I1325" s="28">
        <v>474017</v>
      </c>
      <c r="J1325" s="28">
        <v>0.99</v>
      </c>
      <c r="K1325" s="28">
        <v>21</v>
      </c>
      <c r="L1325" s="28">
        <v>0</v>
      </c>
    </row>
    <row r="1326" spans="1:12" ht="14.25" customHeight="1" x14ac:dyDescent="0.2">
      <c r="A1326" s="28">
        <v>1325</v>
      </c>
      <c r="B1326" s="28" t="s">
        <v>1873</v>
      </c>
      <c r="C1326" s="28" t="s">
        <v>1957</v>
      </c>
      <c r="D1326" s="28" t="s">
        <v>1839</v>
      </c>
      <c r="E1326" s="28" t="s">
        <v>211</v>
      </c>
      <c r="F1326" s="28" t="s">
        <v>322</v>
      </c>
      <c r="G1326" s="28" t="s">
        <v>1874</v>
      </c>
      <c r="H1326" s="28">
        <v>4089856</v>
      </c>
      <c r="I1326" s="28">
        <v>255582</v>
      </c>
      <c r="J1326" s="28">
        <v>0.99</v>
      </c>
      <c r="K1326" s="28">
        <v>16</v>
      </c>
      <c r="L1326" s="28">
        <v>1</v>
      </c>
    </row>
    <row r="1327" spans="1:12" ht="14.25" customHeight="1" x14ac:dyDescent="0.2">
      <c r="A1327" s="28">
        <v>1326</v>
      </c>
      <c r="B1327" s="28" t="s">
        <v>1958</v>
      </c>
      <c r="C1327" s="28" t="s">
        <v>1957</v>
      </c>
      <c r="D1327" s="28" t="s">
        <v>1839</v>
      </c>
      <c r="E1327" s="28" t="s">
        <v>211</v>
      </c>
      <c r="F1327" s="28" t="s">
        <v>322</v>
      </c>
      <c r="G1327" s="28" t="s">
        <v>1874</v>
      </c>
      <c r="H1327" s="28">
        <v>3672064</v>
      </c>
      <c r="I1327" s="28">
        <v>229459</v>
      </c>
      <c r="J1327" s="28">
        <v>0.99</v>
      </c>
      <c r="K1327" s="28">
        <v>81</v>
      </c>
      <c r="L1327" s="28">
        <v>1</v>
      </c>
    </row>
    <row r="1328" spans="1:12" ht="14.25" customHeight="1" x14ac:dyDescent="0.2">
      <c r="A1328" s="28">
        <v>1327</v>
      </c>
      <c r="B1328" s="28" t="s">
        <v>1957</v>
      </c>
      <c r="C1328" s="28" t="s">
        <v>1957</v>
      </c>
      <c r="D1328" s="28" t="s">
        <v>1839</v>
      </c>
      <c r="E1328" s="28" t="s">
        <v>211</v>
      </c>
      <c r="F1328" s="28" t="s">
        <v>322</v>
      </c>
      <c r="G1328" s="28" t="s">
        <v>1852</v>
      </c>
      <c r="H1328" s="28">
        <v>4225024</v>
      </c>
      <c r="I1328" s="28">
        <v>263941</v>
      </c>
      <c r="J1328" s="28">
        <v>0.99</v>
      </c>
      <c r="K1328" s="28">
        <v>71</v>
      </c>
      <c r="L1328" s="28">
        <v>1</v>
      </c>
    </row>
    <row r="1329" spans="1:12" ht="14.25" customHeight="1" x14ac:dyDescent="0.2">
      <c r="A1329" s="28">
        <v>1328</v>
      </c>
      <c r="B1329" s="28" t="s">
        <v>1959</v>
      </c>
      <c r="C1329" s="28" t="s">
        <v>1957</v>
      </c>
      <c r="D1329" s="28" t="s">
        <v>1839</v>
      </c>
      <c r="E1329" s="28" t="s">
        <v>211</v>
      </c>
      <c r="F1329" s="28" t="s">
        <v>322</v>
      </c>
      <c r="G1329" s="28" t="s">
        <v>1913</v>
      </c>
      <c r="H1329" s="28">
        <v>4071587</v>
      </c>
      <c r="I1329" s="28">
        <v>254197</v>
      </c>
      <c r="J1329" s="28">
        <v>0.99</v>
      </c>
      <c r="K1329" s="28">
        <v>87</v>
      </c>
      <c r="L1329" s="28">
        <v>0</v>
      </c>
    </row>
    <row r="1330" spans="1:12" ht="14.25" customHeight="1" x14ac:dyDescent="0.2">
      <c r="A1330" s="28">
        <v>1329</v>
      </c>
      <c r="B1330" s="28" t="s">
        <v>1960</v>
      </c>
      <c r="C1330" s="28" t="s">
        <v>1957</v>
      </c>
      <c r="D1330" s="28" t="s">
        <v>1839</v>
      </c>
      <c r="E1330" s="28" t="s">
        <v>211</v>
      </c>
      <c r="F1330" s="28" t="s">
        <v>322</v>
      </c>
      <c r="G1330" s="28" t="s">
        <v>1893</v>
      </c>
      <c r="H1330" s="28">
        <v>4018088</v>
      </c>
      <c r="I1330" s="28">
        <v>250853</v>
      </c>
      <c r="J1330" s="28">
        <v>0.99</v>
      </c>
      <c r="K1330" s="28">
        <v>14</v>
      </c>
      <c r="L1330" s="28">
        <v>1</v>
      </c>
    </row>
    <row r="1331" spans="1:12" ht="14.25" customHeight="1" x14ac:dyDescent="0.2">
      <c r="A1331" s="28">
        <v>1330</v>
      </c>
      <c r="B1331" s="28" t="s">
        <v>1961</v>
      </c>
      <c r="C1331" s="28" t="s">
        <v>1957</v>
      </c>
      <c r="D1331" s="28" t="s">
        <v>1839</v>
      </c>
      <c r="E1331" s="28" t="s">
        <v>211</v>
      </c>
      <c r="F1331" s="28" t="s">
        <v>322</v>
      </c>
      <c r="G1331" s="28" t="s">
        <v>1852</v>
      </c>
      <c r="H1331" s="28">
        <v>4141056</v>
      </c>
      <c r="I1331" s="28">
        <v>258768</v>
      </c>
      <c r="J1331" s="28">
        <v>0.99</v>
      </c>
      <c r="K1331" s="28">
        <v>42</v>
      </c>
      <c r="L1331" s="28">
        <v>1</v>
      </c>
    </row>
    <row r="1332" spans="1:12" ht="14.25" customHeight="1" x14ac:dyDescent="0.2">
      <c r="A1332" s="28">
        <v>1331</v>
      </c>
      <c r="B1332" s="28" t="s">
        <v>1962</v>
      </c>
      <c r="C1332" s="28" t="s">
        <v>1957</v>
      </c>
      <c r="D1332" s="28" t="s">
        <v>1839</v>
      </c>
      <c r="E1332" s="28" t="s">
        <v>211</v>
      </c>
      <c r="F1332" s="28" t="s">
        <v>322</v>
      </c>
      <c r="G1332" s="28" t="s">
        <v>1874</v>
      </c>
      <c r="H1332" s="28">
        <v>4407296</v>
      </c>
      <c r="I1332" s="28">
        <v>275408</v>
      </c>
      <c r="J1332" s="28">
        <v>0.99</v>
      </c>
      <c r="K1332" s="28">
        <v>23</v>
      </c>
      <c r="L1332" s="28">
        <v>2</v>
      </c>
    </row>
    <row r="1333" spans="1:12" ht="14.25" customHeight="1" x14ac:dyDescent="0.2">
      <c r="A1333" s="28">
        <v>1332</v>
      </c>
      <c r="B1333" s="28" t="s">
        <v>1963</v>
      </c>
      <c r="C1333" s="28" t="s">
        <v>1957</v>
      </c>
      <c r="D1333" s="28" t="s">
        <v>1839</v>
      </c>
      <c r="E1333" s="28" t="s">
        <v>211</v>
      </c>
      <c r="F1333" s="28" t="s">
        <v>322</v>
      </c>
      <c r="G1333" s="28" t="s">
        <v>1864</v>
      </c>
      <c r="H1333" s="28">
        <v>3960832</v>
      </c>
      <c r="I1333" s="28">
        <v>247510</v>
      </c>
      <c r="J1333" s="28">
        <v>0.99</v>
      </c>
      <c r="K1333" s="28">
        <v>59</v>
      </c>
      <c r="L1333" s="28">
        <v>0</v>
      </c>
    </row>
    <row r="1334" spans="1:12" ht="14.25" customHeight="1" x14ac:dyDescent="0.2">
      <c r="A1334" s="28">
        <v>1333</v>
      </c>
      <c r="B1334" s="28" t="s">
        <v>1964</v>
      </c>
      <c r="C1334" s="28" t="s">
        <v>1957</v>
      </c>
      <c r="D1334" s="28" t="s">
        <v>1839</v>
      </c>
      <c r="E1334" s="28" t="s">
        <v>211</v>
      </c>
      <c r="F1334" s="28" t="s">
        <v>322</v>
      </c>
      <c r="G1334" s="28" t="s">
        <v>454</v>
      </c>
      <c r="H1334" s="28">
        <v>4548608</v>
      </c>
      <c r="I1334" s="28">
        <v>284238</v>
      </c>
      <c r="J1334" s="28">
        <v>0.99</v>
      </c>
      <c r="K1334" s="28">
        <v>69</v>
      </c>
      <c r="L1334" s="28">
        <v>1</v>
      </c>
    </row>
    <row r="1335" spans="1:12" ht="14.25" customHeight="1" x14ac:dyDescent="0.2">
      <c r="A1335" s="28">
        <v>1334</v>
      </c>
      <c r="B1335" s="28" t="s">
        <v>1965</v>
      </c>
      <c r="C1335" s="28" t="s">
        <v>1957</v>
      </c>
      <c r="D1335" s="28" t="s">
        <v>1839</v>
      </c>
      <c r="E1335" s="28" t="s">
        <v>211</v>
      </c>
      <c r="F1335" s="28" t="s">
        <v>322</v>
      </c>
      <c r="G1335" s="28" t="s">
        <v>1852</v>
      </c>
      <c r="H1335" s="28">
        <v>5322752</v>
      </c>
      <c r="I1335" s="28">
        <v>332617</v>
      </c>
      <c r="J1335" s="28">
        <v>0.99</v>
      </c>
      <c r="K1335" s="28">
        <v>83</v>
      </c>
      <c r="L1335" s="28">
        <v>0</v>
      </c>
    </row>
    <row r="1336" spans="1:12" ht="14.25" customHeight="1" x14ac:dyDescent="0.2">
      <c r="A1336" s="28">
        <v>1335</v>
      </c>
      <c r="B1336" s="28" t="s">
        <v>1858</v>
      </c>
      <c r="C1336" s="28" t="s">
        <v>1966</v>
      </c>
      <c r="D1336" s="28" t="s">
        <v>1839</v>
      </c>
      <c r="E1336" s="28" t="s">
        <v>211</v>
      </c>
      <c r="F1336" s="28" t="s">
        <v>322</v>
      </c>
      <c r="G1336" s="28" t="s">
        <v>1852</v>
      </c>
      <c r="H1336" s="28">
        <v>5914624</v>
      </c>
      <c r="I1336" s="28">
        <v>369554</v>
      </c>
      <c r="J1336" s="28">
        <v>0.99</v>
      </c>
      <c r="K1336" s="28">
        <v>86</v>
      </c>
      <c r="L1336" s="28">
        <v>2</v>
      </c>
    </row>
    <row r="1337" spans="1:12" ht="14.25" customHeight="1" x14ac:dyDescent="0.2">
      <c r="A1337" s="28">
        <v>1336</v>
      </c>
      <c r="B1337" s="28" t="s">
        <v>1943</v>
      </c>
      <c r="C1337" s="28" t="s">
        <v>1966</v>
      </c>
      <c r="D1337" s="28" t="s">
        <v>1839</v>
      </c>
      <c r="E1337" s="28" t="s">
        <v>211</v>
      </c>
      <c r="F1337" s="28" t="s">
        <v>322</v>
      </c>
      <c r="G1337" s="28" t="s">
        <v>454</v>
      </c>
      <c r="H1337" s="28">
        <v>6539264</v>
      </c>
      <c r="I1337" s="28">
        <v>408607</v>
      </c>
      <c r="J1337" s="28">
        <v>0.99</v>
      </c>
      <c r="K1337" s="28">
        <v>53</v>
      </c>
      <c r="L1337" s="28">
        <v>0</v>
      </c>
    </row>
    <row r="1338" spans="1:12" ht="14.25" customHeight="1" x14ac:dyDescent="0.2">
      <c r="A1338" s="28">
        <v>1337</v>
      </c>
      <c r="B1338" s="28" t="s">
        <v>1967</v>
      </c>
      <c r="C1338" s="28" t="s">
        <v>1966</v>
      </c>
      <c r="D1338" s="28" t="s">
        <v>1839</v>
      </c>
      <c r="E1338" s="28" t="s">
        <v>211</v>
      </c>
      <c r="F1338" s="28" t="s">
        <v>322</v>
      </c>
      <c r="G1338" s="28" t="s">
        <v>1864</v>
      </c>
      <c r="H1338" s="28">
        <v>3686400</v>
      </c>
      <c r="I1338" s="28">
        <v>230269</v>
      </c>
      <c r="J1338" s="28">
        <v>0.99</v>
      </c>
      <c r="K1338" s="28">
        <v>95</v>
      </c>
      <c r="L1338" s="28">
        <v>0</v>
      </c>
    </row>
    <row r="1339" spans="1:12" ht="14.25" customHeight="1" x14ac:dyDescent="0.2">
      <c r="A1339" s="28">
        <v>1338</v>
      </c>
      <c r="B1339" s="28" t="s">
        <v>1952</v>
      </c>
      <c r="C1339" s="28" t="s">
        <v>1966</v>
      </c>
      <c r="D1339" s="28" t="s">
        <v>1839</v>
      </c>
      <c r="E1339" s="28" t="s">
        <v>211</v>
      </c>
      <c r="F1339" s="28" t="s">
        <v>322</v>
      </c>
      <c r="G1339" s="28" t="s">
        <v>1871</v>
      </c>
      <c r="H1339" s="28">
        <v>5212160</v>
      </c>
      <c r="I1339" s="28">
        <v>325694</v>
      </c>
      <c r="J1339" s="28">
        <v>0.99</v>
      </c>
      <c r="K1339" s="28">
        <v>5</v>
      </c>
      <c r="L1339" s="28">
        <v>0</v>
      </c>
    </row>
    <row r="1340" spans="1:12" ht="14.25" customHeight="1" x14ac:dyDescent="0.2">
      <c r="A1340" s="28">
        <v>1339</v>
      </c>
      <c r="B1340" s="28" t="s">
        <v>1853</v>
      </c>
      <c r="C1340" s="28" t="s">
        <v>1966</v>
      </c>
      <c r="D1340" s="28" t="s">
        <v>1839</v>
      </c>
      <c r="E1340" s="28" t="s">
        <v>211</v>
      </c>
      <c r="F1340" s="28" t="s">
        <v>322</v>
      </c>
      <c r="G1340" s="28" t="s">
        <v>1852</v>
      </c>
      <c r="H1340" s="28">
        <v>4024320</v>
      </c>
      <c r="I1340" s="28">
        <v>251454</v>
      </c>
      <c r="J1340" s="28">
        <v>0.99</v>
      </c>
      <c r="K1340" s="28">
        <v>69</v>
      </c>
      <c r="L1340" s="28">
        <v>1</v>
      </c>
    </row>
    <row r="1341" spans="1:12" ht="14.25" customHeight="1" x14ac:dyDescent="0.2">
      <c r="A1341" s="28">
        <v>1340</v>
      </c>
      <c r="B1341" s="28" t="s">
        <v>1968</v>
      </c>
      <c r="C1341" s="28" t="s">
        <v>1966</v>
      </c>
      <c r="D1341" s="28" t="s">
        <v>1839</v>
      </c>
      <c r="E1341" s="28" t="s">
        <v>211</v>
      </c>
      <c r="F1341" s="28" t="s">
        <v>322</v>
      </c>
      <c r="G1341" s="28" t="s">
        <v>1893</v>
      </c>
      <c r="H1341" s="28">
        <v>4710400</v>
      </c>
      <c r="I1341" s="28">
        <v>294347</v>
      </c>
      <c r="J1341" s="28">
        <v>0.99</v>
      </c>
      <c r="K1341" s="28">
        <v>34</v>
      </c>
      <c r="L1341" s="28">
        <v>1</v>
      </c>
    </row>
    <row r="1342" spans="1:12" ht="14.25" customHeight="1" x14ac:dyDescent="0.2">
      <c r="A1342" s="28">
        <v>1341</v>
      </c>
      <c r="B1342" s="28" t="s">
        <v>1969</v>
      </c>
      <c r="C1342" s="28" t="s">
        <v>1966</v>
      </c>
      <c r="D1342" s="28" t="s">
        <v>1839</v>
      </c>
      <c r="E1342" s="28" t="s">
        <v>211</v>
      </c>
      <c r="F1342" s="28" t="s">
        <v>322</v>
      </c>
      <c r="G1342" s="28" t="s">
        <v>1852</v>
      </c>
      <c r="H1342" s="28">
        <v>3543040</v>
      </c>
      <c r="I1342" s="28">
        <v>221309</v>
      </c>
      <c r="J1342" s="28">
        <v>0.99</v>
      </c>
      <c r="K1342" s="28">
        <v>32</v>
      </c>
      <c r="L1342" s="28">
        <v>0</v>
      </c>
    </row>
    <row r="1343" spans="1:12" ht="14.25" customHeight="1" x14ac:dyDescent="0.2">
      <c r="A1343" s="28">
        <v>1342</v>
      </c>
      <c r="B1343" s="28" t="s">
        <v>1970</v>
      </c>
      <c r="C1343" s="28" t="s">
        <v>1966</v>
      </c>
      <c r="D1343" s="28" t="s">
        <v>1839</v>
      </c>
      <c r="E1343" s="28" t="s">
        <v>211</v>
      </c>
      <c r="F1343" s="28" t="s">
        <v>322</v>
      </c>
      <c r="G1343" s="28" t="s">
        <v>1864</v>
      </c>
      <c r="H1343" s="28">
        <v>3306324</v>
      </c>
      <c r="I1343" s="28">
        <v>206367</v>
      </c>
      <c r="J1343" s="28">
        <v>0.99</v>
      </c>
      <c r="K1343" s="28">
        <v>97</v>
      </c>
      <c r="L1343" s="28">
        <v>0</v>
      </c>
    </row>
    <row r="1344" spans="1:12" ht="14.25" customHeight="1" x14ac:dyDescent="0.2">
      <c r="A1344" s="28">
        <v>1343</v>
      </c>
      <c r="B1344" s="28" t="s">
        <v>1971</v>
      </c>
      <c r="C1344" s="28" t="s">
        <v>1966</v>
      </c>
      <c r="D1344" s="28" t="s">
        <v>1839</v>
      </c>
      <c r="E1344" s="28" t="s">
        <v>211</v>
      </c>
      <c r="F1344" s="28" t="s">
        <v>322</v>
      </c>
      <c r="G1344" s="28" t="s">
        <v>1852</v>
      </c>
      <c r="H1344" s="28">
        <v>7129264</v>
      </c>
      <c r="I1344" s="28">
        <v>445283</v>
      </c>
      <c r="J1344" s="28">
        <v>0.99</v>
      </c>
      <c r="K1344" s="28">
        <v>90</v>
      </c>
      <c r="L1344" s="28">
        <v>1</v>
      </c>
    </row>
    <row r="1345" spans="1:12" ht="14.25" customHeight="1" x14ac:dyDescent="0.2">
      <c r="A1345" s="28">
        <v>1344</v>
      </c>
      <c r="B1345" s="28" t="s">
        <v>1940</v>
      </c>
      <c r="C1345" s="28" t="s">
        <v>1947</v>
      </c>
      <c r="D1345" s="28" t="s">
        <v>1839</v>
      </c>
      <c r="E1345" s="28" t="s">
        <v>211</v>
      </c>
      <c r="F1345" s="28" t="s">
        <v>322</v>
      </c>
      <c r="G1345" s="28" t="s">
        <v>1942</v>
      </c>
      <c r="H1345" s="28">
        <v>6472088</v>
      </c>
      <c r="I1345" s="28">
        <v>269531</v>
      </c>
      <c r="J1345" s="28">
        <v>0.99</v>
      </c>
      <c r="K1345" s="28">
        <v>7</v>
      </c>
      <c r="L1345" s="28">
        <v>2</v>
      </c>
    </row>
    <row r="1346" spans="1:12" ht="14.25" customHeight="1" x14ac:dyDescent="0.2">
      <c r="A1346" s="28">
        <v>1345</v>
      </c>
      <c r="B1346" s="28" t="s">
        <v>1863</v>
      </c>
      <c r="C1346" s="28" t="s">
        <v>1947</v>
      </c>
      <c r="D1346" s="28" t="s">
        <v>1839</v>
      </c>
      <c r="E1346" s="28" t="s">
        <v>211</v>
      </c>
      <c r="F1346" s="28" t="s">
        <v>322</v>
      </c>
      <c r="G1346" s="28" t="s">
        <v>1941</v>
      </c>
      <c r="H1346" s="28">
        <v>8638809</v>
      </c>
      <c r="I1346" s="28">
        <v>359810</v>
      </c>
      <c r="J1346" s="28">
        <v>0.99</v>
      </c>
      <c r="K1346" s="28">
        <v>40</v>
      </c>
      <c r="L1346" s="28">
        <v>1</v>
      </c>
    </row>
    <row r="1347" spans="1:12" ht="14.25" customHeight="1" x14ac:dyDescent="0.2">
      <c r="A1347" s="28">
        <v>1346</v>
      </c>
      <c r="B1347" s="28" t="s">
        <v>1972</v>
      </c>
      <c r="C1347" s="28" t="s">
        <v>1947</v>
      </c>
      <c r="D1347" s="28" t="s">
        <v>1839</v>
      </c>
      <c r="E1347" s="28" t="s">
        <v>211</v>
      </c>
      <c r="F1347" s="28" t="s">
        <v>322</v>
      </c>
      <c r="G1347" s="28" t="s">
        <v>1852</v>
      </c>
      <c r="H1347" s="28">
        <v>6074756</v>
      </c>
      <c r="I1347" s="28">
        <v>252891</v>
      </c>
      <c r="J1347" s="28">
        <v>0.99</v>
      </c>
      <c r="K1347" s="28">
        <v>97</v>
      </c>
      <c r="L1347" s="28">
        <v>1</v>
      </c>
    </row>
    <row r="1348" spans="1:12" ht="14.25" customHeight="1" x14ac:dyDescent="0.2">
      <c r="A1348" s="28">
        <v>1347</v>
      </c>
      <c r="B1348" s="28" t="s">
        <v>1973</v>
      </c>
      <c r="C1348" s="28" t="s">
        <v>1947</v>
      </c>
      <c r="D1348" s="28" t="s">
        <v>1839</v>
      </c>
      <c r="E1348" s="28" t="s">
        <v>211</v>
      </c>
      <c r="F1348" s="28" t="s">
        <v>322</v>
      </c>
      <c r="G1348" s="28" t="s">
        <v>1944</v>
      </c>
      <c r="H1348" s="28">
        <v>5828861</v>
      </c>
      <c r="I1348" s="28">
        <v>242729</v>
      </c>
      <c r="J1348" s="28">
        <v>0.99</v>
      </c>
      <c r="K1348" s="28">
        <v>22</v>
      </c>
      <c r="L1348" s="28">
        <v>1</v>
      </c>
    </row>
    <row r="1349" spans="1:12" ht="14.25" customHeight="1" x14ac:dyDescent="0.2">
      <c r="A1349" s="28">
        <v>1348</v>
      </c>
      <c r="B1349" s="28" t="s">
        <v>1974</v>
      </c>
      <c r="C1349" s="28" t="s">
        <v>1947</v>
      </c>
      <c r="D1349" s="28" t="s">
        <v>1839</v>
      </c>
      <c r="E1349" s="28" t="s">
        <v>211</v>
      </c>
      <c r="F1349" s="28" t="s">
        <v>322</v>
      </c>
      <c r="G1349" s="28" t="s">
        <v>1852</v>
      </c>
      <c r="H1349" s="28">
        <v>8800686</v>
      </c>
      <c r="I1349" s="28">
        <v>366471</v>
      </c>
      <c r="J1349" s="28">
        <v>0.99</v>
      </c>
      <c r="K1349" s="28">
        <v>69</v>
      </c>
      <c r="L1349" s="28">
        <v>1</v>
      </c>
    </row>
    <row r="1350" spans="1:12" ht="14.25" customHeight="1" x14ac:dyDescent="0.2">
      <c r="A1350" s="28">
        <v>1349</v>
      </c>
      <c r="B1350" s="28" t="s">
        <v>1975</v>
      </c>
      <c r="C1350" s="28" t="s">
        <v>1947</v>
      </c>
      <c r="D1350" s="28" t="s">
        <v>1839</v>
      </c>
      <c r="E1350" s="28" t="s">
        <v>211</v>
      </c>
      <c r="F1350" s="28" t="s">
        <v>322</v>
      </c>
      <c r="G1350" s="28" t="s">
        <v>1976</v>
      </c>
      <c r="H1350" s="28">
        <v>7696518</v>
      </c>
      <c r="I1350" s="28">
        <v>320548</v>
      </c>
      <c r="J1350" s="28">
        <v>0.99</v>
      </c>
      <c r="K1350" s="28">
        <v>83</v>
      </c>
      <c r="L1350" s="28">
        <v>1</v>
      </c>
    </row>
    <row r="1351" spans="1:12" ht="14.25" customHeight="1" x14ac:dyDescent="0.2">
      <c r="A1351" s="28">
        <v>1350</v>
      </c>
      <c r="B1351" s="28" t="s">
        <v>1947</v>
      </c>
      <c r="C1351" s="28" t="s">
        <v>1947</v>
      </c>
      <c r="D1351" s="28" t="s">
        <v>1839</v>
      </c>
      <c r="E1351" s="28" t="s">
        <v>211</v>
      </c>
      <c r="F1351" s="28" t="s">
        <v>322</v>
      </c>
      <c r="G1351" s="28" t="s">
        <v>1944</v>
      </c>
      <c r="H1351" s="28">
        <v>9791106</v>
      </c>
      <c r="I1351" s="28">
        <v>407823</v>
      </c>
      <c r="J1351" s="28">
        <v>0.99</v>
      </c>
      <c r="K1351" s="28">
        <v>30</v>
      </c>
      <c r="L1351" s="28">
        <v>1</v>
      </c>
    </row>
    <row r="1352" spans="1:12" ht="14.25" customHeight="1" x14ac:dyDescent="0.2">
      <c r="A1352" s="28">
        <v>1351</v>
      </c>
      <c r="B1352" s="28" t="s">
        <v>1977</v>
      </c>
      <c r="C1352" s="28" t="s">
        <v>1947</v>
      </c>
      <c r="D1352" s="28" t="s">
        <v>1839</v>
      </c>
      <c r="E1352" s="28" t="s">
        <v>211</v>
      </c>
      <c r="F1352" s="28" t="s">
        <v>322</v>
      </c>
      <c r="G1352" s="28" t="s">
        <v>1942</v>
      </c>
      <c r="H1352" s="28">
        <v>19599577</v>
      </c>
      <c r="I1352" s="28">
        <v>816509</v>
      </c>
      <c r="J1352" s="28">
        <v>0.99</v>
      </c>
      <c r="K1352" s="28">
        <v>25</v>
      </c>
      <c r="L1352" s="28">
        <v>1</v>
      </c>
    </row>
    <row r="1353" spans="1:12" ht="14.25" customHeight="1" x14ac:dyDescent="0.2">
      <c r="A1353" s="28">
        <v>1352</v>
      </c>
      <c r="B1353" s="28" t="s">
        <v>1978</v>
      </c>
      <c r="C1353" s="28" t="s">
        <v>1979</v>
      </c>
      <c r="D1353" s="28" t="s">
        <v>1839</v>
      </c>
      <c r="E1353" s="28" t="s">
        <v>211</v>
      </c>
      <c r="F1353" s="28" t="s">
        <v>322</v>
      </c>
      <c r="G1353" s="28"/>
      <c r="H1353" s="28">
        <v>4638848</v>
      </c>
      <c r="I1353" s="28">
        <v>115931</v>
      </c>
      <c r="J1353" s="28">
        <v>0.99</v>
      </c>
      <c r="K1353" s="28">
        <v>42</v>
      </c>
      <c r="L1353" s="28">
        <v>1</v>
      </c>
    </row>
    <row r="1354" spans="1:12" ht="14.25" customHeight="1" x14ac:dyDescent="0.2">
      <c r="A1354" s="28">
        <v>1353</v>
      </c>
      <c r="B1354" s="28" t="s">
        <v>1881</v>
      </c>
      <c r="C1354" s="28" t="s">
        <v>1979</v>
      </c>
      <c r="D1354" s="28" t="s">
        <v>1839</v>
      </c>
      <c r="E1354" s="28" t="s">
        <v>211</v>
      </c>
      <c r="F1354" s="28" t="s">
        <v>322</v>
      </c>
      <c r="G1354" s="28" t="s">
        <v>1871</v>
      </c>
      <c r="H1354" s="28">
        <v>11272320</v>
      </c>
      <c r="I1354" s="28">
        <v>281782</v>
      </c>
      <c r="J1354" s="28">
        <v>0.99</v>
      </c>
      <c r="K1354" s="28">
        <v>7</v>
      </c>
      <c r="L1354" s="28">
        <v>1</v>
      </c>
    </row>
    <row r="1355" spans="1:12" ht="14.25" customHeight="1" x14ac:dyDescent="0.2">
      <c r="A1355" s="28">
        <v>1354</v>
      </c>
      <c r="B1355" s="28" t="s">
        <v>1883</v>
      </c>
      <c r="C1355" s="28" t="s">
        <v>1979</v>
      </c>
      <c r="D1355" s="28" t="s">
        <v>1839</v>
      </c>
      <c r="E1355" s="28" t="s">
        <v>211</v>
      </c>
      <c r="F1355" s="28" t="s">
        <v>322</v>
      </c>
      <c r="G1355" s="28" t="s">
        <v>1884</v>
      </c>
      <c r="H1355" s="28">
        <v>16345216</v>
      </c>
      <c r="I1355" s="28">
        <v>408607</v>
      </c>
      <c r="J1355" s="28">
        <v>0.99</v>
      </c>
      <c r="K1355" s="28">
        <v>94</v>
      </c>
      <c r="L1355" s="28">
        <v>1</v>
      </c>
    </row>
    <row r="1356" spans="1:12" ht="14.25" customHeight="1" x14ac:dyDescent="0.2">
      <c r="A1356" s="28">
        <v>1355</v>
      </c>
      <c r="B1356" s="28" t="s">
        <v>1882</v>
      </c>
      <c r="C1356" s="28" t="s">
        <v>1979</v>
      </c>
      <c r="D1356" s="28" t="s">
        <v>1839</v>
      </c>
      <c r="E1356" s="28" t="s">
        <v>211</v>
      </c>
      <c r="F1356" s="28" t="s">
        <v>322</v>
      </c>
      <c r="G1356" s="28" t="s">
        <v>1885</v>
      </c>
      <c r="H1356" s="28">
        <v>14676148</v>
      </c>
      <c r="I1356" s="28">
        <v>366785</v>
      </c>
      <c r="J1356" s="28">
        <v>0.99</v>
      </c>
      <c r="K1356" s="28">
        <v>91</v>
      </c>
      <c r="L1356" s="28">
        <v>1</v>
      </c>
    </row>
    <row r="1357" spans="1:12" ht="14.25" customHeight="1" x14ac:dyDescent="0.2">
      <c r="A1357" s="28">
        <v>1356</v>
      </c>
      <c r="B1357" s="28" t="s">
        <v>1930</v>
      </c>
      <c r="C1357" s="28" t="s">
        <v>1979</v>
      </c>
      <c r="D1357" s="28" t="s">
        <v>1839</v>
      </c>
      <c r="E1357" s="28" t="s">
        <v>211</v>
      </c>
      <c r="F1357" s="28" t="s">
        <v>322</v>
      </c>
      <c r="G1357" s="28" t="s">
        <v>1852</v>
      </c>
      <c r="H1357" s="28">
        <v>7434368</v>
      </c>
      <c r="I1357" s="28">
        <v>185808</v>
      </c>
      <c r="J1357" s="28">
        <v>0.99</v>
      </c>
      <c r="K1357" s="28">
        <v>56</v>
      </c>
      <c r="L1357" s="28">
        <v>1</v>
      </c>
    </row>
    <row r="1358" spans="1:12" ht="14.25" customHeight="1" x14ac:dyDescent="0.2">
      <c r="A1358" s="28">
        <v>1357</v>
      </c>
      <c r="B1358" s="28" t="s">
        <v>1863</v>
      </c>
      <c r="C1358" s="28" t="s">
        <v>1979</v>
      </c>
      <c r="D1358" s="28" t="s">
        <v>1839</v>
      </c>
      <c r="E1358" s="28" t="s">
        <v>211</v>
      </c>
      <c r="F1358" s="28" t="s">
        <v>322</v>
      </c>
      <c r="G1358" s="28" t="s">
        <v>1864</v>
      </c>
      <c r="H1358" s="28">
        <v>15474816</v>
      </c>
      <c r="I1358" s="28">
        <v>386821</v>
      </c>
      <c r="J1358" s="28">
        <v>0.99</v>
      </c>
      <c r="K1358" s="28">
        <v>21</v>
      </c>
      <c r="L1358" s="28">
        <v>0</v>
      </c>
    </row>
    <row r="1359" spans="1:12" ht="14.25" customHeight="1" x14ac:dyDescent="0.2">
      <c r="A1359" s="28">
        <v>1358</v>
      </c>
      <c r="B1359" s="28" t="s">
        <v>1886</v>
      </c>
      <c r="C1359" s="28" t="s">
        <v>1979</v>
      </c>
      <c r="D1359" s="28" t="s">
        <v>1839</v>
      </c>
      <c r="E1359" s="28" t="s">
        <v>211</v>
      </c>
      <c r="F1359" s="28" t="s">
        <v>322</v>
      </c>
      <c r="G1359" s="28" t="s">
        <v>1852</v>
      </c>
      <c r="H1359" s="28">
        <v>17422464</v>
      </c>
      <c r="I1359" s="28">
        <v>435513</v>
      </c>
      <c r="J1359" s="28">
        <v>0.99</v>
      </c>
      <c r="K1359" s="28">
        <v>54</v>
      </c>
      <c r="L1359" s="28">
        <v>2</v>
      </c>
    </row>
    <row r="1360" spans="1:12" ht="14.25" customHeight="1" x14ac:dyDescent="0.2">
      <c r="A1360" s="28">
        <v>1359</v>
      </c>
      <c r="B1360" s="28" t="s">
        <v>1980</v>
      </c>
      <c r="C1360" s="28" t="s">
        <v>1979</v>
      </c>
      <c r="D1360" s="28" t="s">
        <v>1839</v>
      </c>
      <c r="E1360" s="28" t="s">
        <v>211</v>
      </c>
      <c r="F1360" s="28" t="s">
        <v>322</v>
      </c>
      <c r="G1360" s="28" t="s">
        <v>1852</v>
      </c>
      <c r="H1360" s="28">
        <v>25966720</v>
      </c>
      <c r="I1360" s="28">
        <v>649116</v>
      </c>
      <c r="J1360" s="28">
        <v>0.99</v>
      </c>
      <c r="K1360" s="28">
        <v>61</v>
      </c>
      <c r="L1360" s="28">
        <v>1</v>
      </c>
    </row>
    <row r="1361" spans="1:12" ht="14.25" customHeight="1" x14ac:dyDescent="0.2">
      <c r="A1361" s="28">
        <v>1360</v>
      </c>
      <c r="B1361" s="28" t="s">
        <v>1887</v>
      </c>
      <c r="C1361" s="28" t="s">
        <v>1979</v>
      </c>
      <c r="D1361" s="28" t="s">
        <v>1839</v>
      </c>
      <c r="E1361" s="28" t="s">
        <v>211</v>
      </c>
      <c r="F1361" s="28" t="s">
        <v>322</v>
      </c>
      <c r="G1361" s="28" t="s">
        <v>1888</v>
      </c>
      <c r="H1361" s="28">
        <v>11309184</v>
      </c>
      <c r="I1361" s="28">
        <v>282697</v>
      </c>
      <c r="J1361" s="28">
        <v>0.99</v>
      </c>
      <c r="K1361" s="28">
        <v>58</v>
      </c>
      <c r="L1361" s="28">
        <v>0</v>
      </c>
    </row>
    <row r="1362" spans="1:12" ht="14.25" customHeight="1" x14ac:dyDescent="0.2">
      <c r="A1362" s="28">
        <v>1361</v>
      </c>
      <c r="B1362" s="28" t="s">
        <v>1853</v>
      </c>
      <c r="C1362" s="28" t="s">
        <v>1979</v>
      </c>
      <c r="D1362" s="28" t="s">
        <v>1839</v>
      </c>
      <c r="E1362" s="28" t="s">
        <v>211</v>
      </c>
      <c r="F1362" s="28" t="s">
        <v>322</v>
      </c>
      <c r="G1362" s="28" t="s">
        <v>1852</v>
      </c>
      <c r="H1362" s="28">
        <v>10942592</v>
      </c>
      <c r="I1362" s="28">
        <v>273528</v>
      </c>
      <c r="J1362" s="28">
        <v>0.99</v>
      </c>
      <c r="K1362" s="28">
        <v>95</v>
      </c>
      <c r="L1362" s="28">
        <v>0</v>
      </c>
    </row>
    <row r="1363" spans="1:12" ht="14.25" customHeight="1" x14ac:dyDescent="0.2">
      <c r="A1363" s="28">
        <v>1362</v>
      </c>
      <c r="B1363" s="28" t="s">
        <v>1889</v>
      </c>
      <c r="C1363" s="28" t="s">
        <v>1981</v>
      </c>
      <c r="D1363" s="28" t="s">
        <v>1839</v>
      </c>
      <c r="E1363" s="28" t="s">
        <v>211</v>
      </c>
      <c r="F1363" s="28" t="s">
        <v>212</v>
      </c>
      <c r="G1363" s="28" t="s">
        <v>1888</v>
      </c>
      <c r="H1363" s="28">
        <v>23134336</v>
      </c>
      <c r="I1363" s="28">
        <v>578324</v>
      </c>
      <c r="J1363" s="28">
        <v>0.99</v>
      </c>
      <c r="K1363" s="28">
        <v>79</v>
      </c>
      <c r="L1363" s="28">
        <v>1</v>
      </c>
    </row>
    <row r="1364" spans="1:12" ht="14.25" customHeight="1" x14ac:dyDescent="0.2">
      <c r="A1364" s="28">
        <v>1363</v>
      </c>
      <c r="B1364" s="28" t="s">
        <v>1982</v>
      </c>
      <c r="C1364" s="28" t="s">
        <v>1981</v>
      </c>
      <c r="D1364" s="28" t="s">
        <v>1839</v>
      </c>
      <c r="E1364" s="28" t="s">
        <v>211</v>
      </c>
      <c r="F1364" s="28" t="s">
        <v>212</v>
      </c>
      <c r="G1364" s="28" t="s">
        <v>1852</v>
      </c>
      <c r="H1364" s="28">
        <v>22370432</v>
      </c>
      <c r="I1364" s="28">
        <v>559203</v>
      </c>
      <c r="J1364" s="28">
        <v>0.99</v>
      </c>
      <c r="K1364" s="28">
        <v>97</v>
      </c>
      <c r="L1364" s="28">
        <v>0</v>
      </c>
    </row>
    <row r="1365" spans="1:12" ht="14.25" customHeight="1" x14ac:dyDescent="0.2">
      <c r="A1365" s="28">
        <v>1364</v>
      </c>
      <c r="B1365" s="28" t="s">
        <v>1875</v>
      </c>
      <c r="C1365" s="28" t="s">
        <v>1981</v>
      </c>
      <c r="D1365" s="28" t="s">
        <v>1839</v>
      </c>
      <c r="E1365" s="28" t="s">
        <v>211</v>
      </c>
      <c r="F1365" s="28" t="s">
        <v>322</v>
      </c>
      <c r="G1365" s="28" t="s">
        <v>1871</v>
      </c>
      <c r="H1365" s="28">
        <v>11231360</v>
      </c>
      <c r="I1365" s="28">
        <v>280737</v>
      </c>
      <c r="J1365" s="28">
        <v>0.99</v>
      </c>
      <c r="K1365" s="28">
        <v>88</v>
      </c>
      <c r="L1365" s="28">
        <v>0</v>
      </c>
    </row>
    <row r="1366" spans="1:12" ht="14.25" customHeight="1" x14ac:dyDescent="0.2">
      <c r="A1366" s="28">
        <v>1365</v>
      </c>
      <c r="B1366" s="28" t="s">
        <v>1880</v>
      </c>
      <c r="C1366" s="28" t="s">
        <v>1981</v>
      </c>
      <c r="D1366" s="28" t="s">
        <v>1839</v>
      </c>
      <c r="E1366" s="28" t="s">
        <v>211</v>
      </c>
      <c r="F1366" s="28" t="s">
        <v>212</v>
      </c>
      <c r="G1366" s="28" t="s">
        <v>1852</v>
      </c>
      <c r="H1366" s="28">
        <v>18430080</v>
      </c>
      <c r="I1366" s="28">
        <v>460695</v>
      </c>
      <c r="J1366" s="28">
        <v>0.99</v>
      </c>
      <c r="K1366" s="28">
        <v>65</v>
      </c>
      <c r="L1366" s="28">
        <v>1</v>
      </c>
    </row>
    <row r="1367" spans="1:12" ht="14.25" customHeight="1" x14ac:dyDescent="0.2">
      <c r="A1367" s="28">
        <v>1366</v>
      </c>
      <c r="B1367" s="28" t="s">
        <v>1839</v>
      </c>
      <c r="C1367" s="28" t="s">
        <v>1981</v>
      </c>
      <c r="D1367" s="28" t="s">
        <v>1839</v>
      </c>
      <c r="E1367" s="28" t="s">
        <v>211</v>
      </c>
      <c r="F1367" s="28" t="s">
        <v>212</v>
      </c>
      <c r="G1367" s="28" t="s">
        <v>1852</v>
      </c>
      <c r="H1367" s="28">
        <v>14076032</v>
      </c>
      <c r="I1367" s="28">
        <v>351869</v>
      </c>
      <c r="J1367" s="28">
        <v>0.99</v>
      </c>
      <c r="K1367" s="28">
        <v>17</v>
      </c>
      <c r="L1367" s="28">
        <v>1</v>
      </c>
    </row>
    <row r="1368" spans="1:12" ht="14.25" customHeight="1" x14ac:dyDescent="0.2">
      <c r="A1368" s="28">
        <v>1367</v>
      </c>
      <c r="B1368" s="28" t="s">
        <v>1850</v>
      </c>
      <c r="C1368" s="28" t="s">
        <v>1981</v>
      </c>
      <c r="D1368" s="28" t="s">
        <v>1839</v>
      </c>
      <c r="E1368" s="28" t="s">
        <v>211</v>
      </c>
      <c r="F1368" s="28" t="s">
        <v>212</v>
      </c>
      <c r="G1368" s="28" t="s">
        <v>1852</v>
      </c>
      <c r="H1368" s="28">
        <v>12022107</v>
      </c>
      <c r="I1368" s="28">
        <v>300434</v>
      </c>
      <c r="J1368" s="28">
        <v>0.99</v>
      </c>
      <c r="K1368" s="28">
        <v>39</v>
      </c>
      <c r="L1368" s="28">
        <v>2</v>
      </c>
    </row>
    <row r="1369" spans="1:12" ht="14.25" customHeight="1" x14ac:dyDescent="0.2">
      <c r="A1369" s="28">
        <v>1368</v>
      </c>
      <c r="B1369" s="28" t="s">
        <v>1865</v>
      </c>
      <c r="C1369" s="28" t="s">
        <v>1981</v>
      </c>
      <c r="D1369" s="28" t="s">
        <v>1839</v>
      </c>
      <c r="E1369" s="28" t="s">
        <v>211</v>
      </c>
      <c r="F1369" s="28" t="s">
        <v>212</v>
      </c>
      <c r="G1369" s="28" t="s">
        <v>1852</v>
      </c>
      <c r="H1369" s="28">
        <v>17760384</v>
      </c>
      <c r="I1369" s="28">
        <v>443977</v>
      </c>
      <c r="J1369" s="28">
        <v>0.99</v>
      </c>
      <c r="K1369" s="28">
        <v>38</v>
      </c>
      <c r="L1369" s="28">
        <v>1</v>
      </c>
    </row>
    <row r="1370" spans="1:12" ht="14.25" customHeight="1" x14ac:dyDescent="0.2">
      <c r="A1370" s="28">
        <v>1369</v>
      </c>
      <c r="B1370" s="28" t="s">
        <v>1859</v>
      </c>
      <c r="C1370" s="28" t="s">
        <v>1981</v>
      </c>
      <c r="D1370" s="28" t="s">
        <v>1839</v>
      </c>
      <c r="E1370" s="28" t="s">
        <v>211</v>
      </c>
      <c r="F1370" s="28" t="s">
        <v>212</v>
      </c>
      <c r="G1370" s="28" t="s">
        <v>1860</v>
      </c>
      <c r="H1370" s="28">
        <v>12695680</v>
      </c>
      <c r="I1370" s="28">
        <v>317335</v>
      </c>
      <c r="J1370" s="28">
        <v>0.99</v>
      </c>
      <c r="K1370" s="28">
        <v>96</v>
      </c>
      <c r="L1370" s="28">
        <v>1</v>
      </c>
    </row>
    <row r="1371" spans="1:12" ht="14.25" customHeight="1" x14ac:dyDescent="0.2">
      <c r="A1371" s="28">
        <v>1370</v>
      </c>
      <c r="B1371" s="28" t="s">
        <v>1948</v>
      </c>
      <c r="C1371" s="28" t="s">
        <v>1981</v>
      </c>
      <c r="D1371" s="28" t="s">
        <v>1839</v>
      </c>
      <c r="E1371" s="28" t="s">
        <v>211</v>
      </c>
      <c r="F1371" s="28" t="s">
        <v>212</v>
      </c>
      <c r="G1371" s="28" t="s">
        <v>1852</v>
      </c>
      <c r="H1371" s="28">
        <v>11688064</v>
      </c>
      <c r="I1371" s="28">
        <v>292179</v>
      </c>
      <c r="J1371" s="28">
        <v>0.99</v>
      </c>
      <c r="K1371" s="28">
        <v>50</v>
      </c>
      <c r="L1371" s="28">
        <v>1</v>
      </c>
    </row>
    <row r="1372" spans="1:12" ht="14.25" customHeight="1" x14ac:dyDescent="0.2">
      <c r="A1372" s="28">
        <v>1371</v>
      </c>
      <c r="B1372" s="28" t="s">
        <v>1983</v>
      </c>
      <c r="C1372" s="28" t="s">
        <v>1984</v>
      </c>
      <c r="D1372" s="28" t="s">
        <v>1839</v>
      </c>
      <c r="E1372" s="28" t="s">
        <v>211</v>
      </c>
      <c r="F1372" s="28" t="s">
        <v>322</v>
      </c>
      <c r="G1372" s="28" t="s">
        <v>1985</v>
      </c>
      <c r="H1372" s="28">
        <v>8179151</v>
      </c>
      <c r="I1372" s="28">
        <v>340767</v>
      </c>
      <c r="J1372" s="28">
        <v>0.99</v>
      </c>
      <c r="K1372" s="28">
        <v>67</v>
      </c>
      <c r="L1372" s="28">
        <v>2</v>
      </c>
    </row>
    <row r="1373" spans="1:12" ht="14.25" customHeight="1" x14ac:dyDescent="0.2">
      <c r="A1373" s="28">
        <v>1372</v>
      </c>
      <c r="B1373" s="28" t="s">
        <v>1986</v>
      </c>
      <c r="C1373" s="28" t="s">
        <v>1984</v>
      </c>
      <c r="D1373" s="28" t="s">
        <v>1839</v>
      </c>
      <c r="E1373" s="28" t="s">
        <v>211</v>
      </c>
      <c r="F1373" s="28" t="s">
        <v>322</v>
      </c>
      <c r="G1373" s="28" t="s">
        <v>1852</v>
      </c>
      <c r="H1373" s="28">
        <v>8858669</v>
      </c>
      <c r="I1373" s="28">
        <v>369005</v>
      </c>
      <c r="J1373" s="28">
        <v>0.99</v>
      </c>
      <c r="K1373" s="28">
        <v>57</v>
      </c>
      <c r="L1373" s="28">
        <v>0</v>
      </c>
    </row>
    <row r="1374" spans="1:12" ht="14.25" customHeight="1" x14ac:dyDescent="0.2">
      <c r="A1374" s="28">
        <v>1373</v>
      </c>
      <c r="B1374" s="28" t="s">
        <v>1870</v>
      </c>
      <c r="C1374" s="28" t="s">
        <v>1984</v>
      </c>
      <c r="D1374" s="28" t="s">
        <v>1839</v>
      </c>
      <c r="E1374" s="28" t="s">
        <v>211</v>
      </c>
      <c r="F1374" s="28" t="s">
        <v>322</v>
      </c>
      <c r="G1374" s="28" t="s">
        <v>1987</v>
      </c>
      <c r="H1374" s="28">
        <v>5067867</v>
      </c>
      <c r="I1374" s="28">
        <v>211043</v>
      </c>
      <c r="J1374" s="28">
        <v>0.99</v>
      </c>
      <c r="K1374" s="28">
        <v>80</v>
      </c>
      <c r="L1374" s="28">
        <v>1</v>
      </c>
    </row>
    <row r="1375" spans="1:12" ht="14.25" customHeight="1" x14ac:dyDescent="0.2">
      <c r="A1375" s="28">
        <v>1374</v>
      </c>
      <c r="B1375" s="28" t="s">
        <v>1875</v>
      </c>
      <c r="C1375" s="28" t="s">
        <v>1984</v>
      </c>
      <c r="D1375" s="28" t="s">
        <v>1839</v>
      </c>
      <c r="E1375" s="28" t="s">
        <v>211</v>
      </c>
      <c r="F1375" s="28" t="s">
        <v>322</v>
      </c>
      <c r="G1375" s="28" t="s">
        <v>1987</v>
      </c>
      <c r="H1375" s="28">
        <v>6578930</v>
      </c>
      <c r="I1375" s="28">
        <v>273998</v>
      </c>
      <c r="J1375" s="28">
        <v>0.99</v>
      </c>
      <c r="K1375" s="28">
        <v>96</v>
      </c>
      <c r="L1375" s="28">
        <v>1</v>
      </c>
    </row>
    <row r="1376" spans="1:12" ht="14.25" customHeight="1" x14ac:dyDescent="0.2">
      <c r="A1376" s="28">
        <v>1375</v>
      </c>
      <c r="B1376" s="28" t="s">
        <v>1984</v>
      </c>
      <c r="C1376" s="28" t="s">
        <v>1984</v>
      </c>
      <c r="D1376" s="28" t="s">
        <v>1839</v>
      </c>
      <c r="E1376" s="28" t="s">
        <v>211</v>
      </c>
      <c r="F1376" s="28" t="s">
        <v>322</v>
      </c>
      <c r="G1376" s="28" t="s">
        <v>1852</v>
      </c>
      <c r="H1376" s="28">
        <v>14249000</v>
      </c>
      <c r="I1376" s="28">
        <v>593580</v>
      </c>
      <c r="J1376" s="28">
        <v>0.99</v>
      </c>
      <c r="K1376" s="28">
        <v>70</v>
      </c>
      <c r="L1376" s="28">
        <v>1</v>
      </c>
    </row>
    <row r="1377" spans="1:12" ht="14.25" customHeight="1" x14ac:dyDescent="0.2">
      <c r="A1377" s="28">
        <v>1376</v>
      </c>
      <c r="B1377" s="28" t="s">
        <v>1988</v>
      </c>
      <c r="C1377" s="28" t="s">
        <v>1984</v>
      </c>
      <c r="D1377" s="28" t="s">
        <v>1839</v>
      </c>
      <c r="E1377" s="28" t="s">
        <v>211</v>
      </c>
      <c r="F1377" s="28" t="s">
        <v>322</v>
      </c>
      <c r="G1377" s="28" t="s">
        <v>1989</v>
      </c>
      <c r="H1377" s="28">
        <v>7334450</v>
      </c>
      <c r="I1377" s="28">
        <v>305475</v>
      </c>
      <c r="J1377" s="28">
        <v>0.99</v>
      </c>
      <c r="K1377" s="28">
        <v>68</v>
      </c>
      <c r="L1377" s="28">
        <v>1</v>
      </c>
    </row>
    <row r="1378" spans="1:12" ht="14.25" customHeight="1" x14ac:dyDescent="0.2">
      <c r="A1378" s="28">
        <v>1377</v>
      </c>
      <c r="B1378" s="28" t="s">
        <v>1879</v>
      </c>
      <c r="C1378" s="28" t="s">
        <v>1984</v>
      </c>
      <c r="D1378" s="28" t="s">
        <v>1839</v>
      </c>
      <c r="E1378" s="28" t="s">
        <v>211</v>
      </c>
      <c r="F1378" s="28" t="s">
        <v>322</v>
      </c>
      <c r="G1378" s="28" t="s">
        <v>1987</v>
      </c>
      <c r="H1378" s="28">
        <v>6411510</v>
      </c>
      <c r="I1378" s="28">
        <v>267023</v>
      </c>
      <c r="J1378" s="28">
        <v>0.99</v>
      </c>
      <c r="K1378" s="28">
        <v>22</v>
      </c>
      <c r="L1378" s="28">
        <v>2</v>
      </c>
    </row>
    <row r="1379" spans="1:12" ht="14.25" customHeight="1" x14ac:dyDescent="0.2">
      <c r="A1379" s="28">
        <v>1378</v>
      </c>
      <c r="B1379" s="28" t="s">
        <v>1990</v>
      </c>
      <c r="C1379" s="28" t="s">
        <v>1984</v>
      </c>
      <c r="D1379" s="28" t="s">
        <v>1839</v>
      </c>
      <c r="E1379" s="28" t="s">
        <v>211</v>
      </c>
      <c r="F1379" s="28" t="s">
        <v>322</v>
      </c>
      <c r="G1379" s="28" t="s">
        <v>1991</v>
      </c>
      <c r="H1379" s="28">
        <v>6744431</v>
      </c>
      <c r="I1379" s="28">
        <v>280894</v>
      </c>
      <c r="J1379" s="28">
        <v>0.99</v>
      </c>
      <c r="K1379" s="28">
        <v>87</v>
      </c>
      <c r="L1379" s="28">
        <v>1</v>
      </c>
    </row>
    <row r="1380" spans="1:12" ht="14.25" customHeight="1" x14ac:dyDescent="0.2">
      <c r="A1380" s="28">
        <v>1379</v>
      </c>
      <c r="B1380" s="28" t="s">
        <v>1992</v>
      </c>
      <c r="C1380" s="28" t="s">
        <v>1993</v>
      </c>
      <c r="D1380" s="28" t="s">
        <v>1839</v>
      </c>
      <c r="E1380" s="28" t="s">
        <v>211</v>
      </c>
      <c r="F1380" s="28" t="s">
        <v>322</v>
      </c>
      <c r="G1380" s="28" t="s">
        <v>1852</v>
      </c>
      <c r="H1380" s="28">
        <v>10701149</v>
      </c>
      <c r="I1380" s="28">
        <v>445779</v>
      </c>
      <c r="J1380" s="28">
        <v>0.99</v>
      </c>
      <c r="K1380" s="28">
        <v>23</v>
      </c>
      <c r="L1380" s="28">
        <v>1</v>
      </c>
    </row>
    <row r="1381" spans="1:12" ht="14.25" customHeight="1" x14ac:dyDescent="0.2">
      <c r="A1381" s="28">
        <v>1380</v>
      </c>
      <c r="B1381" s="28" t="s">
        <v>1994</v>
      </c>
      <c r="C1381" s="28" t="s">
        <v>1993</v>
      </c>
      <c r="D1381" s="28" t="s">
        <v>1839</v>
      </c>
      <c r="E1381" s="28" t="s">
        <v>211</v>
      </c>
      <c r="F1381" s="28" t="s">
        <v>322</v>
      </c>
      <c r="G1381" s="28" t="s">
        <v>458</v>
      </c>
      <c r="H1381" s="28">
        <v>7384358</v>
      </c>
      <c r="I1381" s="28">
        <v>307565</v>
      </c>
      <c r="J1381" s="28">
        <v>0.99</v>
      </c>
      <c r="K1381" s="28">
        <v>71</v>
      </c>
      <c r="L1381" s="28">
        <v>0</v>
      </c>
    </row>
    <row r="1382" spans="1:12" ht="14.25" customHeight="1" x14ac:dyDescent="0.2">
      <c r="A1382" s="28">
        <v>1381</v>
      </c>
      <c r="B1382" s="28" t="s">
        <v>1995</v>
      </c>
      <c r="C1382" s="28" t="s">
        <v>1993</v>
      </c>
      <c r="D1382" s="28" t="s">
        <v>1839</v>
      </c>
      <c r="E1382" s="28" t="s">
        <v>211</v>
      </c>
      <c r="F1382" s="28" t="s">
        <v>322</v>
      </c>
      <c r="G1382" s="28" t="s">
        <v>458</v>
      </c>
      <c r="H1382" s="28">
        <v>8210695</v>
      </c>
      <c r="I1382" s="28">
        <v>341995</v>
      </c>
      <c r="J1382" s="28">
        <v>0.99</v>
      </c>
      <c r="K1382" s="28">
        <v>64</v>
      </c>
      <c r="L1382" s="28">
        <v>1</v>
      </c>
    </row>
    <row r="1383" spans="1:12" ht="14.25" customHeight="1" x14ac:dyDescent="0.2">
      <c r="A1383" s="28">
        <v>1382</v>
      </c>
      <c r="B1383" s="28" t="s">
        <v>1878</v>
      </c>
      <c r="C1383" s="28" t="s">
        <v>1993</v>
      </c>
      <c r="D1383" s="28" t="s">
        <v>1839</v>
      </c>
      <c r="E1383" s="28" t="s">
        <v>211</v>
      </c>
      <c r="F1383" s="28" t="s">
        <v>322</v>
      </c>
      <c r="G1383" s="28" t="s">
        <v>1852</v>
      </c>
      <c r="H1383" s="28">
        <v>10596431</v>
      </c>
      <c r="I1383" s="28">
        <v>441417</v>
      </c>
      <c r="J1383" s="28">
        <v>0.99</v>
      </c>
      <c r="K1383" s="28">
        <v>14</v>
      </c>
      <c r="L1383" s="28">
        <v>1</v>
      </c>
    </row>
    <row r="1384" spans="1:12" ht="14.25" customHeight="1" x14ac:dyDescent="0.2">
      <c r="A1384" s="28">
        <v>1383</v>
      </c>
      <c r="B1384" s="28" t="s">
        <v>1996</v>
      </c>
      <c r="C1384" s="28" t="s">
        <v>1993</v>
      </c>
      <c r="D1384" s="28" t="s">
        <v>1839</v>
      </c>
      <c r="E1384" s="28" t="s">
        <v>211</v>
      </c>
      <c r="F1384" s="28" t="s">
        <v>322</v>
      </c>
      <c r="G1384" s="28" t="s">
        <v>458</v>
      </c>
      <c r="H1384" s="28">
        <v>8270899</v>
      </c>
      <c r="I1384" s="28">
        <v>344502</v>
      </c>
      <c r="J1384" s="28">
        <v>0.99</v>
      </c>
      <c r="K1384" s="28">
        <v>37</v>
      </c>
      <c r="L1384" s="28">
        <v>1</v>
      </c>
    </row>
    <row r="1385" spans="1:12" ht="14.25" customHeight="1" x14ac:dyDescent="0.2">
      <c r="A1385" s="28">
        <v>1384</v>
      </c>
      <c r="B1385" s="28" t="s">
        <v>1997</v>
      </c>
      <c r="C1385" s="28" t="s">
        <v>1993</v>
      </c>
      <c r="D1385" s="28" t="s">
        <v>1839</v>
      </c>
      <c r="E1385" s="28" t="s">
        <v>211</v>
      </c>
      <c r="F1385" s="28" t="s">
        <v>322</v>
      </c>
      <c r="G1385" s="28" t="s">
        <v>1852</v>
      </c>
      <c r="H1385" s="28">
        <v>12377742</v>
      </c>
      <c r="I1385" s="28">
        <v>515631</v>
      </c>
      <c r="J1385" s="28">
        <v>0.99</v>
      </c>
      <c r="K1385" s="28">
        <v>46</v>
      </c>
      <c r="L1385" s="28">
        <v>0</v>
      </c>
    </row>
    <row r="1386" spans="1:12" ht="14.25" customHeight="1" x14ac:dyDescent="0.2">
      <c r="A1386" s="28">
        <v>1385</v>
      </c>
      <c r="B1386" s="28" t="s">
        <v>1998</v>
      </c>
      <c r="C1386" s="28" t="s">
        <v>1993</v>
      </c>
      <c r="D1386" s="28" t="s">
        <v>1839</v>
      </c>
      <c r="E1386" s="28" t="s">
        <v>211</v>
      </c>
      <c r="F1386" s="28" t="s">
        <v>322</v>
      </c>
      <c r="G1386" s="28" t="s">
        <v>1893</v>
      </c>
      <c r="H1386" s="28">
        <v>7113035</v>
      </c>
      <c r="I1386" s="28">
        <v>296176</v>
      </c>
      <c r="J1386" s="28">
        <v>0.99</v>
      </c>
      <c r="K1386" s="28">
        <v>2</v>
      </c>
      <c r="L1386" s="28">
        <v>1</v>
      </c>
    </row>
    <row r="1387" spans="1:12" ht="14.25" customHeight="1" x14ac:dyDescent="0.2">
      <c r="A1387" s="28">
        <v>1386</v>
      </c>
      <c r="B1387" s="28" t="s">
        <v>1999</v>
      </c>
      <c r="C1387" s="28" t="s">
        <v>1993</v>
      </c>
      <c r="D1387" s="28" t="s">
        <v>1839</v>
      </c>
      <c r="E1387" s="28" t="s">
        <v>211</v>
      </c>
      <c r="F1387" s="28" t="s">
        <v>322</v>
      </c>
      <c r="G1387" s="28" t="s">
        <v>1852</v>
      </c>
      <c r="H1387" s="28">
        <v>9393598</v>
      </c>
      <c r="I1387" s="28">
        <v>391314</v>
      </c>
      <c r="J1387" s="28">
        <v>0.99</v>
      </c>
      <c r="K1387" s="28">
        <v>73</v>
      </c>
      <c r="L1387" s="28">
        <v>0</v>
      </c>
    </row>
    <row r="1388" spans="1:12" ht="14.25" customHeight="1" x14ac:dyDescent="0.2">
      <c r="A1388" s="28">
        <v>1387</v>
      </c>
      <c r="B1388" s="28" t="s">
        <v>2000</v>
      </c>
      <c r="C1388" s="28" t="s">
        <v>2001</v>
      </c>
      <c r="D1388" s="28" t="s">
        <v>1839</v>
      </c>
      <c r="E1388" s="28" t="s">
        <v>211</v>
      </c>
      <c r="F1388" s="28" t="s">
        <v>322</v>
      </c>
      <c r="G1388" s="28" t="s">
        <v>1891</v>
      </c>
      <c r="H1388" s="28">
        <v>5542516</v>
      </c>
      <c r="I1388" s="28">
        <v>395572</v>
      </c>
      <c r="J1388" s="28">
        <v>0.99</v>
      </c>
      <c r="K1388" s="28">
        <v>43</v>
      </c>
      <c r="L1388" s="28">
        <v>0</v>
      </c>
    </row>
    <row r="1389" spans="1:12" ht="14.25" customHeight="1" x14ac:dyDescent="0.2">
      <c r="A1389" s="28">
        <v>1388</v>
      </c>
      <c r="B1389" s="28" t="s">
        <v>2002</v>
      </c>
      <c r="C1389" s="28" t="s">
        <v>2001</v>
      </c>
      <c r="D1389" s="28" t="s">
        <v>1839</v>
      </c>
      <c r="E1389" s="28" t="s">
        <v>211</v>
      </c>
      <c r="F1389" s="28" t="s">
        <v>322</v>
      </c>
      <c r="G1389" s="28" t="s">
        <v>1852</v>
      </c>
      <c r="H1389" s="28">
        <v>3845631</v>
      </c>
      <c r="I1389" s="28">
        <v>274364</v>
      </c>
      <c r="J1389" s="28">
        <v>0.99</v>
      </c>
      <c r="K1389" s="28">
        <v>44</v>
      </c>
      <c r="L1389" s="28">
        <v>1</v>
      </c>
    </row>
    <row r="1390" spans="1:12" ht="14.25" customHeight="1" x14ac:dyDescent="0.2">
      <c r="A1390" s="28">
        <v>1389</v>
      </c>
      <c r="B1390" s="28" t="s">
        <v>2003</v>
      </c>
      <c r="C1390" s="28" t="s">
        <v>2001</v>
      </c>
      <c r="D1390" s="28" t="s">
        <v>1839</v>
      </c>
      <c r="E1390" s="28" t="s">
        <v>211</v>
      </c>
      <c r="F1390" s="28" t="s">
        <v>322</v>
      </c>
      <c r="G1390" s="28" t="s">
        <v>2004</v>
      </c>
      <c r="H1390" s="28">
        <v>3202866</v>
      </c>
      <c r="I1390" s="28">
        <v>228440</v>
      </c>
      <c r="J1390" s="28">
        <v>0.99</v>
      </c>
      <c r="K1390" s="28">
        <v>62</v>
      </c>
      <c r="L1390" s="28">
        <v>2</v>
      </c>
    </row>
    <row r="1391" spans="1:12" ht="14.25" customHeight="1" x14ac:dyDescent="0.2">
      <c r="A1391" s="28">
        <v>1390</v>
      </c>
      <c r="B1391" s="28" t="s">
        <v>1865</v>
      </c>
      <c r="C1391" s="28" t="s">
        <v>2001</v>
      </c>
      <c r="D1391" s="28" t="s">
        <v>1839</v>
      </c>
      <c r="E1391" s="28" t="s">
        <v>211</v>
      </c>
      <c r="F1391" s="28" t="s">
        <v>322</v>
      </c>
      <c r="G1391" s="28" t="s">
        <v>1852</v>
      </c>
      <c r="H1391" s="28">
        <v>6006107</v>
      </c>
      <c r="I1391" s="28">
        <v>428669</v>
      </c>
      <c r="J1391" s="28">
        <v>0.99</v>
      </c>
      <c r="K1391" s="28">
        <v>38</v>
      </c>
      <c r="L1391" s="28">
        <v>1</v>
      </c>
    </row>
    <row r="1392" spans="1:12" ht="14.25" customHeight="1" x14ac:dyDescent="0.2">
      <c r="A1392" s="28">
        <v>1391</v>
      </c>
      <c r="B1392" s="28" t="s">
        <v>2005</v>
      </c>
      <c r="C1392" s="28" t="s">
        <v>2001</v>
      </c>
      <c r="D1392" s="28" t="s">
        <v>1839</v>
      </c>
      <c r="E1392" s="28" t="s">
        <v>211</v>
      </c>
      <c r="F1392" s="28" t="s">
        <v>322</v>
      </c>
      <c r="G1392" s="28" t="s">
        <v>1852</v>
      </c>
      <c r="H1392" s="28">
        <v>2849181</v>
      </c>
      <c r="I1392" s="28">
        <v>203180</v>
      </c>
      <c r="J1392" s="28">
        <v>0.99</v>
      </c>
      <c r="K1392" s="28">
        <v>95</v>
      </c>
      <c r="L1392" s="28">
        <v>1</v>
      </c>
    </row>
    <row r="1393" spans="1:12" ht="14.25" customHeight="1" x14ac:dyDescent="0.2">
      <c r="A1393" s="28">
        <v>1392</v>
      </c>
      <c r="B1393" s="28" t="s">
        <v>2006</v>
      </c>
      <c r="C1393" s="28" t="s">
        <v>2001</v>
      </c>
      <c r="D1393" s="28" t="s">
        <v>1839</v>
      </c>
      <c r="E1393" s="28" t="s">
        <v>211</v>
      </c>
      <c r="F1393" s="28" t="s">
        <v>322</v>
      </c>
      <c r="G1393" s="28" t="s">
        <v>1852</v>
      </c>
      <c r="H1393" s="28">
        <v>3209124</v>
      </c>
      <c r="I1393" s="28">
        <v>228884</v>
      </c>
      <c r="J1393" s="28">
        <v>0.99</v>
      </c>
      <c r="K1393" s="28">
        <v>67</v>
      </c>
      <c r="L1393" s="28">
        <v>1</v>
      </c>
    </row>
    <row r="1394" spans="1:12" ht="14.25" customHeight="1" x14ac:dyDescent="0.2">
      <c r="A1394" s="28">
        <v>1393</v>
      </c>
      <c r="B1394" s="28" t="s">
        <v>1850</v>
      </c>
      <c r="C1394" s="28" t="s">
        <v>2001</v>
      </c>
      <c r="D1394" s="28" t="s">
        <v>1839</v>
      </c>
      <c r="E1394" s="28" t="s">
        <v>211</v>
      </c>
      <c r="F1394" s="28" t="s">
        <v>212</v>
      </c>
      <c r="G1394" s="28" t="s">
        <v>1852</v>
      </c>
      <c r="H1394" s="28">
        <v>11737216</v>
      </c>
      <c r="I1394" s="28">
        <v>293407</v>
      </c>
      <c r="J1394" s="28">
        <v>0.99</v>
      </c>
      <c r="K1394" s="28">
        <v>30</v>
      </c>
      <c r="L1394" s="28">
        <v>1</v>
      </c>
    </row>
    <row r="1395" spans="1:12" ht="14.25" customHeight="1" x14ac:dyDescent="0.2">
      <c r="A1395" s="28">
        <v>1394</v>
      </c>
      <c r="B1395" s="28" t="s">
        <v>2007</v>
      </c>
      <c r="C1395" s="28" t="s">
        <v>2001</v>
      </c>
      <c r="D1395" s="28" t="s">
        <v>1839</v>
      </c>
      <c r="E1395" s="28" t="s">
        <v>211</v>
      </c>
      <c r="F1395" s="28" t="s">
        <v>322</v>
      </c>
      <c r="G1395" s="28" t="s">
        <v>1891</v>
      </c>
      <c r="H1395" s="28">
        <v>5062906</v>
      </c>
      <c r="I1395" s="28">
        <v>361299</v>
      </c>
      <c r="J1395" s="28">
        <v>0.99</v>
      </c>
      <c r="K1395" s="28">
        <v>32</v>
      </c>
      <c r="L1395" s="28">
        <v>2</v>
      </c>
    </row>
    <row r="1396" spans="1:12" ht="14.25" customHeight="1" x14ac:dyDescent="0.2">
      <c r="A1396" s="28">
        <v>1395</v>
      </c>
      <c r="B1396" s="28" t="s">
        <v>1980</v>
      </c>
      <c r="C1396" s="28" t="s">
        <v>2008</v>
      </c>
      <c r="D1396" s="28" t="s">
        <v>1839</v>
      </c>
      <c r="E1396" s="28" t="s">
        <v>211</v>
      </c>
      <c r="F1396" s="28" t="s">
        <v>212</v>
      </c>
      <c r="G1396" s="28" t="s">
        <v>1852</v>
      </c>
      <c r="H1396" s="28">
        <v>27121792</v>
      </c>
      <c r="I1396" s="28">
        <v>678008</v>
      </c>
      <c r="J1396" s="28">
        <v>0.99</v>
      </c>
      <c r="K1396" s="28">
        <v>51</v>
      </c>
      <c r="L1396" s="28">
        <v>1</v>
      </c>
    </row>
    <row r="1397" spans="1:12" ht="14.25" customHeight="1" x14ac:dyDescent="0.2">
      <c r="A1397" s="28">
        <v>1396</v>
      </c>
      <c r="B1397" s="28" t="s">
        <v>2009</v>
      </c>
      <c r="C1397" s="28" t="s">
        <v>2008</v>
      </c>
      <c r="D1397" s="28" t="s">
        <v>1839</v>
      </c>
      <c r="E1397" s="28" t="s">
        <v>211</v>
      </c>
      <c r="F1397" s="28" t="s">
        <v>212</v>
      </c>
      <c r="G1397" s="28" t="s">
        <v>1888</v>
      </c>
      <c r="H1397" s="28">
        <v>12148864</v>
      </c>
      <c r="I1397" s="28">
        <v>303699</v>
      </c>
      <c r="J1397" s="28">
        <v>0.99</v>
      </c>
      <c r="K1397" s="28">
        <v>43</v>
      </c>
      <c r="L1397" s="28">
        <v>1</v>
      </c>
    </row>
    <row r="1398" spans="1:12" ht="14.25" customHeight="1" x14ac:dyDescent="0.2">
      <c r="A1398" s="28">
        <v>1397</v>
      </c>
      <c r="B1398" s="28" t="s">
        <v>2010</v>
      </c>
      <c r="C1398" s="28" t="s">
        <v>2008</v>
      </c>
      <c r="D1398" s="28" t="s">
        <v>1839</v>
      </c>
      <c r="E1398" s="28" t="s">
        <v>211</v>
      </c>
      <c r="F1398" s="28" t="s">
        <v>212</v>
      </c>
      <c r="G1398" s="28" t="s">
        <v>2011</v>
      </c>
      <c r="H1398" s="28">
        <v>10137728</v>
      </c>
      <c r="I1398" s="28">
        <v>253413</v>
      </c>
      <c r="J1398" s="28">
        <v>0.99</v>
      </c>
      <c r="K1398" s="28">
        <v>65</v>
      </c>
      <c r="L1398" s="28">
        <v>1</v>
      </c>
    </row>
    <row r="1399" spans="1:12" ht="14.25" customHeight="1" x14ac:dyDescent="0.2">
      <c r="A1399" s="28">
        <v>1398</v>
      </c>
      <c r="B1399" s="28" t="s">
        <v>2012</v>
      </c>
      <c r="C1399" s="28" t="s">
        <v>2008</v>
      </c>
      <c r="D1399" s="28" t="s">
        <v>1839</v>
      </c>
      <c r="E1399" s="28" t="s">
        <v>211</v>
      </c>
      <c r="F1399" s="28" t="s">
        <v>212</v>
      </c>
      <c r="G1399" s="28" t="s">
        <v>1852</v>
      </c>
      <c r="H1399" s="28">
        <v>17760384</v>
      </c>
      <c r="I1399" s="28">
        <v>443977</v>
      </c>
      <c r="J1399" s="28">
        <v>0.99</v>
      </c>
      <c r="K1399" s="28">
        <v>75</v>
      </c>
      <c r="L1399" s="28">
        <v>1</v>
      </c>
    </row>
    <row r="1400" spans="1:12" ht="14.25" customHeight="1" x14ac:dyDescent="0.2">
      <c r="A1400" s="28">
        <v>1399</v>
      </c>
      <c r="B1400" s="28" t="s">
        <v>2013</v>
      </c>
      <c r="C1400" s="28" t="s">
        <v>2008</v>
      </c>
      <c r="D1400" s="28" t="s">
        <v>1839</v>
      </c>
      <c r="E1400" s="28" t="s">
        <v>211</v>
      </c>
      <c r="F1400" s="28" t="s">
        <v>212</v>
      </c>
      <c r="G1400" s="28" t="s">
        <v>2014</v>
      </c>
      <c r="H1400" s="28">
        <v>12411008</v>
      </c>
      <c r="I1400" s="28">
        <v>310230</v>
      </c>
      <c r="J1400" s="28">
        <v>0.99</v>
      </c>
      <c r="K1400" s="28">
        <v>26</v>
      </c>
      <c r="L1400" s="28">
        <v>0</v>
      </c>
    </row>
    <row r="1401" spans="1:12" ht="14.25" customHeight="1" x14ac:dyDescent="0.2">
      <c r="A1401" s="28">
        <v>1400</v>
      </c>
      <c r="B1401" s="28" t="s">
        <v>2015</v>
      </c>
      <c r="C1401" s="28" t="s">
        <v>2008</v>
      </c>
      <c r="D1401" s="28" t="s">
        <v>1839</v>
      </c>
      <c r="E1401" s="28" t="s">
        <v>211</v>
      </c>
      <c r="F1401" s="28" t="s">
        <v>212</v>
      </c>
      <c r="G1401" s="28" t="s">
        <v>2014</v>
      </c>
      <c r="H1401" s="28">
        <v>15233152</v>
      </c>
      <c r="I1401" s="28">
        <v>380786</v>
      </c>
      <c r="J1401" s="28">
        <v>0.99</v>
      </c>
      <c r="K1401" s="28">
        <v>59</v>
      </c>
      <c r="L1401" s="28">
        <v>2</v>
      </c>
    </row>
    <row r="1402" spans="1:12" ht="14.25" customHeight="1" x14ac:dyDescent="0.2">
      <c r="A1402" s="28">
        <v>1401</v>
      </c>
      <c r="B1402" s="28" t="s">
        <v>2016</v>
      </c>
      <c r="C1402" s="28" t="s">
        <v>2008</v>
      </c>
      <c r="D1402" s="28" t="s">
        <v>1839</v>
      </c>
      <c r="E1402" s="28" t="s">
        <v>211</v>
      </c>
      <c r="F1402" s="28" t="s">
        <v>212</v>
      </c>
      <c r="G1402" s="28" t="s">
        <v>1852</v>
      </c>
      <c r="H1402" s="28">
        <v>12501120</v>
      </c>
      <c r="I1402" s="28">
        <v>312476</v>
      </c>
      <c r="J1402" s="28">
        <v>0.99</v>
      </c>
      <c r="K1402" s="28">
        <v>12</v>
      </c>
      <c r="L1402" s="28">
        <v>2</v>
      </c>
    </row>
    <row r="1403" spans="1:12" ht="14.25" customHeight="1" x14ac:dyDescent="0.2">
      <c r="A1403" s="28">
        <v>1402</v>
      </c>
      <c r="B1403" s="28" t="s">
        <v>2017</v>
      </c>
      <c r="C1403" s="28" t="s">
        <v>2008</v>
      </c>
      <c r="D1403" s="28" t="s">
        <v>1839</v>
      </c>
      <c r="E1403" s="28" t="s">
        <v>211</v>
      </c>
      <c r="F1403" s="28" t="s">
        <v>212</v>
      </c>
      <c r="G1403" s="28" t="s">
        <v>1852</v>
      </c>
      <c r="H1403" s="28">
        <v>14313600</v>
      </c>
      <c r="I1403" s="28">
        <v>357799</v>
      </c>
      <c r="J1403" s="28">
        <v>0.99</v>
      </c>
      <c r="K1403" s="28">
        <v>16</v>
      </c>
      <c r="L1403" s="28">
        <v>1</v>
      </c>
    </row>
    <row r="1404" spans="1:12" ht="14.25" customHeight="1" x14ac:dyDescent="0.2">
      <c r="A1404" s="28">
        <v>1403</v>
      </c>
      <c r="B1404" s="28" t="s">
        <v>2018</v>
      </c>
      <c r="C1404" s="28" t="s">
        <v>2008</v>
      </c>
      <c r="D1404" s="28" t="s">
        <v>1839</v>
      </c>
      <c r="E1404" s="28" t="s">
        <v>211</v>
      </c>
      <c r="F1404" s="28" t="s">
        <v>212</v>
      </c>
      <c r="G1404" s="28" t="s">
        <v>2014</v>
      </c>
      <c r="H1404" s="28">
        <v>15974528</v>
      </c>
      <c r="I1404" s="28">
        <v>399333</v>
      </c>
      <c r="J1404" s="28">
        <v>0.99</v>
      </c>
      <c r="K1404" s="28">
        <v>83</v>
      </c>
      <c r="L1404" s="28">
        <v>0</v>
      </c>
    </row>
    <row r="1405" spans="1:12" ht="14.25" customHeight="1" x14ac:dyDescent="0.2">
      <c r="A1405" s="28">
        <v>1404</v>
      </c>
      <c r="B1405" s="28" t="s">
        <v>2019</v>
      </c>
      <c r="C1405" s="28" t="s">
        <v>2008</v>
      </c>
      <c r="D1405" s="28" t="s">
        <v>1839</v>
      </c>
      <c r="E1405" s="28" t="s">
        <v>211</v>
      </c>
      <c r="F1405" s="28" t="s">
        <v>212</v>
      </c>
      <c r="G1405" s="28" t="s">
        <v>2014</v>
      </c>
      <c r="H1405" s="28">
        <v>13511087</v>
      </c>
      <c r="I1405" s="28">
        <v>337658</v>
      </c>
      <c r="J1405" s="28">
        <v>0.99</v>
      </c>
      <c r="K1405" s="28">
        <v>36</v>
      </c>
      <c r="L1405" s="28">
        <v>1</v>
      </c>
    </row>
    <row r="1406" spans="1:12" ht="14.25" customHeight="1" x14ac:dyDescent="0.2">
      <c r="A1406" s="28">
        <v>1405</v>
      </c>
      <c r="B1406" s="28" t="s">
        <v>2020</v>
      </c>
      <c r="C1406" s="28" t="s">
        <v>2008</v>
      </c>
      <c r="D1406" s="28" t="s">
        <v>1839</v>
      </c>
      <c r="E1406" s="28" t="s">
        <v>211</v>
      </c>
      <c r="F1406" s="28" t="s">
        <v>212</v>
      </c>
      <c r="G1406" s="28" t="s">
        <v>1888</v>
      </c>
      <c r="H1406" s="28">
        <v>19617920</v>
      </c>
      <c r="I1406" s="28">
        <v>490422</v>
      </c>
      <c r="J1406" s="28">
        <v>0.99</v>
      </c>
      <c r="K1406" s="28">
        <v>82</v>
      </c>
      <c r="L1406" s="28">
        <v>1</v>
      </c>
    </row>
    <row r="1407" spans="1:12" ht="14.25" customHeight="1" x14ac:dyDescent="0.2">
      <c r="A1407" s="28">
        <v>1406</v>
      </c>
      <c r="B1407" s="28" t="s">
        <v>2021</v>
      </c>
      <c r="C1407" s="28" t="s">
        <v>2022</v>
      </c>
      <c r="D1407" s="28" t="s">
        <v>1839</v>
      </c>
      <c r="E1407" s="28" t="s">
        <v>211</v>
      </c>
      <c r="F1407" s="28" t="s">
        <v>212</v>
      </c>
      <c r="G1407" s="28" t="s">
        <v>2023</v>
      </c>
      <c r="H1407" s="28">
        <v>7032960</v>
      </c>
      <c r="I1407" s="28">
        <v>175777</v>
      </c>
      <c r="J1407" s="28">
        <v>0.99</v>
      </c>
      <c r="K1407" s="28">
        <v>22</v>
      </c>
      <c r="L1407" s="28">
        <v>1</v>
      </c>
    </row>
    <row r="1408" spans="1:12" ht="14.25" customHeight="1" x14ac:dyDescent="0.2">
      <c r="A1408" s="28">
        <v>1407</v>
      </c>
      <c r="B1408" s="28" t="s">
        <v>2024</v>
      </c>
      <c r="C1408" s="28" t="s">
        <v>2022</v>
      </c>
      <c r="D1408" s="28" t="s">
        <v>1839</v>
      </c>
      <c r="E1408" s="28" t="s">
        <v>211</v>
      </c>
      <c r="F1408" s="28" t="s">
        <v>212</v>
      </c>
      <c r="G1408" s="28" t="s">
        <v>1852</v>
      </c>
      <c r="H1408" s="28">
        <v>23711872</v>
      </c>
      <c r="I1408" s="28">
        <v>592744</v>
      </c>
      <c r="J1408" s="28">
        <v>0.99</v>
      </c>
      <c r="K1408" s="28">
        <v>8</v>
      </c>
      <c r="L1408" s="28">
        <v>1</v>
      </c>
    </row>
    <row r="1409" spans="1:12" ht="14.25" customHeight="1" x14ac:dyDescent="0.2">
      <c r="A1409" s="28">
        <v>1408</v>
      </c>
      <c r="B1409" s="28" t="s">
        <v>2025</v>
      </c>
      <c r="C1409" s="28" t="s">
        <v>2022</v>
      </c>
      <c r="D1409" s="28" t="s">
        <v>1839</v>
      </c>
      <c r="E1409" s="28" t="s">
        <v>211</v>
      </c>
      <c r="F1409" s="28" t="s">
        <v>212</v>
      </c>
      <c r="G1409" s="28" t="s">
        <v>1893</v>
      </c>
      <c r="H1409" s="28">
        <v>11616384</v>
      </c>
      <c r="I1409" s="28">
        <v>290377</v>
      </c>
      <c r="J1409" s="28">
        <v>0.99</v>
      </c>
      <c r="K1409" s="28">
        <v>25</v>
      </c>
      <c r="L1409" s="28">
        <v>1</v>
      </c>
    </row>
    <row r="1410" spans="1:12" ht="14.25" customHeight="1" x14ac:dyDescent="0.2">
      <c r="A1410" s="28">
        <v>1409</v>
      </c>
      <c r="B1410" s="28" t="s">
        <v>1982</v>
      </c>
      <c r="C1410" s="28" t="s">
        <v>2022</v>
      </c>
      <c r="D1410" s="28" t="s">
        <v>1839</v>
      </c>
      <c r="E1410" s="28" t="s">
        <v>211</v>
      </c>
      <c r="F1410" s="28" t="s">
        <v>212</v>
      </c>
      <c r="G1410" s="28" t="s">
        <v>1852</v>
      </c>
      <c r="H1410" s="28">
        <v>21592327</v>
      </c>
      <c r="I1410" s="28">
        <v>539689</v>
      </c>
      <c r="J1410" s="28">
        <v>0.99</v>
      </c>
      <c r="K1410" s="28">
        <v>11</v>
      </c>
      <c r="L1410" s="28">
        <v>0</v>
      </c>
    </row>
    <row r="1411" spans="1:12" ht="14.25" customHeight="1" x14ac:dyDescent="0.2">
      <c r="A1411" s="28">
        <v>1410</v>
      </c>
      <c r="B1411" s="28" t="s">
        <v>2026</v>
      </c>
      <c r="C1411" s="28" t="s">
        <v>2022</v>
      </c>
      <c r="D1411" s="28" t="s">
        <v>1839</v>
      </c>
      <c r="E1411" s="28" t="s">
        <v>211</v>
      </c>
      <c r="F1411" s="28" t="s">
        <v>212</v>
      </c>
      <c r="G1411" s="28" t="s">
        <v>2027</v>
      </c>
      <c r="H1411" s="28">
        <v>15093888</v>
      </c>
      <c r="I1411" s="28">
        <v>377312</v>
      </c>
      <c r="J1411" s="28">
        <v>0.99</v>
      </c>
      <c r="K1411" s="28">
        <v>8</v>
      </c>
      <c r="L1411" s="28">
        <v>0</v>
      </c>
    </row>
    <row r="1412" spans="1:12" ht="14.25" customHeight="1" x14ac:dyDescent="0.2">
      <c r="A1412" s="28">
        <v>1411</v>
      </c>
      <c r="B1412" s="28" t="s">
        <v>2028</v>
      </c>
      <c r="C1412" s="28" t="s">
        <v>2022</v>
      </c>
      <c r="D1412" s="28" t="s">
        <v>1839</v>
      </c>
      <c r="E1412" s="28" t="s">
        <v>211</v>
      </c>
      <c r="F1412" s="28" t="s">
        <v>212</v>
      </c>
      <c r="G1412" s="28" t="s">
        <v>1852</v>
      </c>
      <c r="H1412" s="28">
        <v>16191616</v>
      </c>
      <c r="I1412" s="28">
        <v>404767</v>
      </c>
      <c r="J1412" s="28">
        <v>0.99</v>
      </c>
      <c r="K1412" s="28">
        <v>4</v>
      </c>
      <c r="L1412" s="28">
        <v>1</v>
      </c>
    </row>
    <row r="1413" spans="1:12" ht="14.25" customHeight="1" x14ac:dyDescent="0.2">
      <c r="A1413" s="28">
        <v>1412</v>
      </c>
      <c r="B1413" s="28" t="s">
        <v>2029</v>
      </c>
      <c r="C1413" s="28" t="s">
        <v>2022</v>
      </c>
      <c r="D1413" s="28" t="s">
        <v>1839</v>
      </c>
      <c r="E1413" s="28" t="s">
        <v>211</v>
      </c>
      <c r="F1413" s="28" t="s">
        <v>212</v>
      </c>
      <c r="G1413" s="28" t="s">
        <v>1852</v>
      </c>
      <c r="H1413" s="28">
        <v>19347584</v>
      </c>
      <c r="I1413" s="28">
        <v>483657</v>
      </c>
      <c r="J1413" s="28">
        <v>0.99</v>
      </c>
      <c r="K1413" s="28">
        <v>96</v>
      </c>
      <c r="L1413" s="28">
        <v>2</v>
      </c>
    </row>
    <row r="1414" spans="1:12" ht="14.25" customHeight="1" x14ac:dyDescent="0.2">
      <c r="A1414" s="28">
        <v>1413</v>
      </c>
      <c r="B1414" s="28" t="s">
        <v>2030</v>
      </c>
      <c r="C1414" s="28" t="s">
        <v>2022</v>
      </c>
      <c r="D1414" s="28" t="s">
        <v>1839</v>
      </c>
      <c r="E1414" s="28" t="s">
        <v>211</v>
      </c>
      <c r="F1414" s="28" t="s">
        <v>212</v>
      </c>
      <c r="G1414" s="28" t="s">
        <v>2011</v>
      </c>
      <c r="H1414" s="28">
        <v>13213824</v>
      </c>
      <c r="I1414" s="28">
        <v>330292</v>
      </c>
      <c r="J1414" s="28">
        <v>0.99</v>
      </c>
      <c r="K1414" s="28">
        <v>17</v>
      </c>
      <c r="L1414" s="28">
        <v>1</v>
      </c>
    </row>
    <row r="1415" spans="1:12" ht="14.25" customHeight="1" x14ac:dyDescent="0.2">
      <c r="A1415" s="28">
        <v>1414</v>
      </c>
      <c r="B1415" s="28" t="s">
        <v>2031</v>
      </c>
      <c r="C1415" s="28" t="s">
        <v>2032</v>
      </c>
      <c r="D1415" s="28" t="s">
        <v>2033</v>
      </c>
      <c r="E1415" s="28" t="s">
        <v>211</v>
      </c>
      <c r="F1415" s="28" t="s">
        <v>2034</v>
      </c>
      <c r="G1415" s="28" t="s">
        <v>2035</v>
      </c>
      <c r="H1415" s="28">
        <v>5394585</v>
      </c>
      <c r="I1415" s="28">
        <v>165067</v>
      </c>
      <c r="J1415" s="28">
        <v>0.99</v>
      </c>
      <c r="K1415" s="28">
        <v>9</v>
      </c>
      <c r="L1415" s="28">
        <v>0</v>
      </c>
    </row>
    <row r="1416" spans="1:12" ht="14.25" customHeight="1" x14ac:dyDescent="0.2">
      <c r="A1416" s="28">
        <v>1415</v>
      </c>
      <c r="B1416" s="28" t="s">
        <v>2036</v>
      </c>
      <c r="C1416" s="28" t="s">
        <v>2032</v>
      </c>
      <c r="D1416" s="28" t="s">
        <v>2033</v>
      </c>
      <c r="E1416" s="28" t="s">
        <v>211</v>
      </c>
      <c r="F1416" s="28" t="s">
        <v>2034</v>
      </c>
      <c r="G1416" s="28" t="s">
        <v>2037</v>
      </c>
      <c r="H1416" s="28">
        <v>5513208</v>
      </c>
      <c r="I1416" s="28">
        <v>166739</v>
      </c>
      <c r="J1416" s="28">
        <v>0.99</v>
      </c>
      <c r="K1416" s="28">
        <v>73</v>
      </c>
      <c r="L1416" s="28">
        <v>0</v>
      </c>
    </row>
    <row r="1417" spans="1:12" ht="14.25" customHeight="1" x14ac:dyDescent="0.2">
      <c r="A1417" s="28">
        <v>1416</v>
      </c>
      <c r="B1417" s="28" t="s">
        <v>2038</v>
      </c>
      <c r="C1417" s="28" t="s">
        <v>2032</v>
      </c>
      <c r="D1417" s="28" t="s">
        <v>2033</v>
      </c>
      <c r="E1417" s="28" t="s">
        <v>211</v>
      </c>
      <c r="F1417" s="28" t="s">
        <v>2034</v>
      </c>
      <c r="G1417" s="28" t="s">
        <v>2039</v>
      </c>
      <c r="H1417" s="28">
        <v>7027377</v>
      </c>
      <c r="I1417" s="28">
        <v>212401</v>
      </c>
      <c r="J1417" s="28">
        <v>0.99</v>
      </c>
      <c r="K1417" s="28">
        <v>76</v>
      </c>
      <c r="L1417" s="28">
        <v>1</v>
      </c>
    </row>
    <row r="1418" spans="1:12" ht="14.25" customHeight="1" x14ac:dyDescent="0.2">
      <c r="A1418" s="28">
        <v>1417</v>
      </c>
      <c r="B1418" s="28" t="s">
        <v>2040</v>
      </c>
      <c r="C1418" s="28" t="s">
        <v>2032</v>
      </c>
      <c r="D1418" s="28" t="s">
        <v>2033</v>
      </c>
      <c r="E1418" s="28" t="s">
        <v>211</v>
      </c>
      <c r="F1418" s="28" t="s">
        <v>2034</v>
      </c>
      <c r="G1418" s="28" t="s">
        <v>2041</v>
      </c>
      <c r="H1418" s="28">
        <v>4711323</v>
      </c>
      <c r="I1418" s="28">
        <v>143725</v>
      </c>
      <c r="J1418" s="28">
        <v>0.99</v>
      </c>
      <c r="K1418" s="28">
        <v>32</v>
      </c>
      <c r="L1418" s="28">
        <v>1</v>
      </c>
    </row>
    <row r="1419" spans="1:12" ht="14.25" customHeight="1" x14ac:dyDescent="0.2">
      <c r="A1419" s="28">
        <v>1418</v>
      </c>
      <c r="B1419" s="28" t="s">
        <v>2042</v>
      </c>
      <c r="C1419" s="28" t="s">
        <v>2032</v>
      </c>
      <c r="D1419" s="28" t="s">
        <v>2033</v>
      </c>
      <c r="E1419" s="28" t="s">
        <v>211</v>
      </c>
      <c r="F1419" s="28" t="s">
        <v>2034</v>
      </c>
      <c r="G1419" s="28" t="s">
        <v>2033</v>
      </c>
      <c r="H1419" s="28">
        <v>4174420</v>
      </c>
      <c r="I1419" s="28">
        <v>127399</v>
      </c>
      <c r="J1419" s="28">
        <v>0.99</v>
      </c>
      <c r="K1419" s="28">
        <v>7</v>
      </c>
      <c r="L1419" s="28">
        <v>1</v>
      </c>
    </row>
    <row r="1420" spans="1:12" ht="14.25" customHeight="1" x14ac:dyDescent="0.2">
      <c r="A1420" s="28">
        <v>1419</v>
      </c>
      <c r="B1420" s="28" t="s">
        <v>2043</v>
      </c>
      <c r="C1420" s="28" t="s">
        <v>2032</v>
      </c>
      <c r="D1420" s="28" t="s">
        <v>2033</v>
      </c>
      <c r="E1420" s="28" t="s">
        <v>211</v>
      </c>
      <c r="F1420" s="28" t="s">
        <v>2034</v>
      </c>
      <c r="G1420" s="28" t="s">
        <v>2033</v>
      </c>
      <c r="H1420" s="28">
        <v>5468472</v>
      </c>
      <c r="I1420" s="28">
        <v>167392</v>
      </c>
      <c r="J1420" s="28">
        <v>0.99</v>
      </c>
      <c r="K1420" s="28">
        <v>85</v>
      </c>
      <c r="L1420" s="28">
        <v>0</v>
      </c>
    </row>
    <row r="1421" spans="1:12" ht="14.25" customHeight="1" x14ac:dyDescent="0.2">
      <c r="A1421" s="28">
        <v>1420</v>
      </c>
      <c r="B1421" s="28" t="s">
        <v>2044</v>
      </c>
      <c r="C1421" s="28" t="s">
        <v>2032</v>
      </c>
      <c r="D1421" s="28" t="s">
        <v>2033</v>
      </c>
      <c r="E1421" s="28" t="s">
        <v>211</v>
      </c>
      <c r="F1421" s="28" t="s">
        <v>2034</v>
      </c>
      <c r="G1421" s="28" t="s">
        <v>2045</v>
      </c>
      <c r="H1421" s="28">
        <v>5541611</v>
      </c>
      <c r="I1421" s="28">
        <v>168228</v>
      </c>
      <c r="J1421" s="28">
        <v>0.99</v>
      </c>
      <c r="K1421" s="28">
        <v>96</v>
      </c>
      <c r="L1421" s="28">
        <v>1</v>
      </c>
    </row>
    <row r="1422" spans="1:12" ht="14.25" customHeight="1" x14ac:dyDescent="0.2">
      <c r="A1422" s="28">
        <v>1421</v>
      </c>
      <c r="B1422" s="28" t="s">
        <v>2046</v>
      </c>
      <c r="C1422" s="28" t="s">
        <v>2032</v>
      </c>
      <c r="D1422" s="28" t="s">
        <v>2033</v>
      </c>
      <c r="E1422" s="28" t="s">
        <v>211</v>
      </c>
      <c r="F1422" s="28" t="s">
        <v>2034</v>
      </c>
      <c r="G1422" s="28" t="s">
        <v>2047</v>
      </c>
      <c r="H1422" s="28">
        <v>5643213</v>
      </c>
      <c r="I1422" s="28">
        <v>172408</v>
      </c>
      <c r="J1422" s="28">
        <v>0.99</v>
      </c>
      <c r="K1422" s="28">
        <v>40</v>
      </c>
      <c r="L1422" s="28">
        <v>0</v>
      </c>
    </row>
    <row r="1423" spans="1:12" ht="14.25" customHeight="1" x14ac:dyDescent="0.2">
      <c r="A1423" s="28">
        <v>1422</v>
      </c>
      <c r="B1423" s="28" t="s">
        <v>2048</v>
      </c>
      <c r="C1423" s="28" t="s">
        <v>2032</v>
      </c>
      <c r="D1423" s="28" t="s">
        <v>2033</v>
      </c>
      <c r="E1423" s="28" t="s">
        <v>211</v>
      </c>
      <c r="F1423" s="28" t="s">
        <v>2034</v>
      </c>
      <c r="G1423" s="28" t="s">
        <v>2047</v>
      </c>
      <c r="H1423" s="28">
        <v>5478117</v>
      </c>
      <c r="I1423" s="28">
        <v>167392</v>
      </c>
      <c r="J1423" s="28">
        <v>0.99</v>
      </c>
      <c r="K1423" s="28">
        <v>33</v>
      </c>
      <c r="L1423" s="28">
        <v>1</v>
      </c>
    </row>
    <row r="1424" spans="1:12" ht="14.25" customHeight="1" x14ac:dyDescent="0.2">
      <c r="A1424" s="28">
        <v>1423</v>
      </c>
      <c r="B1424" s="28" t="s">
        <v>2049</v>
      </c>
      <c r="C1424" s="28" t="s">
        <v>2032</v>
      </c>
      <c r="D1424" s="28" t="s">
        <v>2033</v>
      </c>
      <c r="E1424" s="28" t="s">
        <v>211</v>
      </c>
      <c r="F1424" s="28" t="s">
        <v>2034</v>
      </c>
      <c r="G1424" s="28" t="s">
        <v>2050</v>
      </c>
      <c r="H1424" s="28">
        <v>10498031</v>
      </c>
      <c r="I1424" s="28">
        <v>316551</v>
      </c>
      <c r="J1424" s="28">
        <v>0.99</v>
      </c>
      <c r="K1424" s="28">
        <v>21</v>
      </c>
      <c r="L1424" s="28">
        <v>1</v>
      </c>
    </row>
    <row r="1425" spans="1:12" ht="14.25" customHeight="1" x14ac:dyDescent="0.2">
      <c r="A1425" s="28">
        <v>1424</v>
      </c>
      <c r="B1425" s="28" t="s">
        <v>2051</v>
      </c>
      <c r="C1425" s="28" t="s">
        <v>2032</v>
      </c>
      <c r="D1425" s="28" t="s">
        <v>2033</v>
      </c>
      <c r="E1425" s="28" t="s">
        <v>211</v>
      </c>
      <c r="F1425" s="28" t="s">
        <v>2034</v>
      </c>
      <c r="G1425" s="28" t="s">
        <v>2052</v>
      </c>
      <c r="H1425" s="28">
        <v>7187857</v>
      </c>
      <c r="I1425" s="28">
        <v>218226</v>
      </c>
      <c r="J1425" s="28">
        <v>0.99</v>
      </c>
      <c r="K1425" s="28">
        <v>30</v>
      </c>
      <c r="L1425" s="28">
        <v>2</v>
      </c>
    </row>
    <row r="1426" spans="1:12" ht="14.25" customHeight="1" x14ac:dyDescent="0.2">
      <c r="A1426" s="28">
        <v>1425</v>
      </c>
      <c r="B1426" s="28" t="s">
        <v>2053</v>
      </c>
      <c r="C1426" s="28" t="s">
        <v>2032</v>
      </c>
      <c r="D1426" s="28" t="s">
        <v>2033</v>
      </c>
      <c r="E1426" s="28" t="s">
        <v>211</v>
      </c>
      <c r="F1426" s="28" t="s">
        <v>2034</v>
      </c>
      <c r="G1426" s="28" t="s">
        <v>2054</v>
      </c>
      <c r="H1426" s="28">
        <v>6507782</v>
      </c>
      <c r="I1426" s="28">
        <v>196231</v>
      </c>
      <c r="J1426" s="28">
        <v>0.99</v>
      </c>
      <c r="K1426" s="28">
        <v>15</v>
      </c>
      <c r="L1426" s="28">
        <v>0</v>
      </c>
    </row>
    <row r="1427" spans="1:12" ht="14.25" customHeight="1" x14ac:dyDescent="0.2">
      <c r="A1427" s="28">
        <v>1426</v>
      </c>
      <c r="B1427" s="28" t="s">
        <v>2055</v>
      </c>
      <c r="C1427" s="28" t="s">
        <v>2032</v>
      </c>
      <c r="D1427" s="28" t="s">
        <v>2033</v>
      </c>
      <c r="E1427" s="28" t="s">
        <v>211</v>
      </c>
      <c r="F1427" s="28" t="s">
        <v>2034</v>
      </c>
      <c r="G1427" s="28" t="s">
        <v>2054</v>
      </c>
      <c r="H1427" s="28">
        <v>7251211</v>
      </c>
      <c r="I1427" s="28">
        <v>217730</v>
      </c>
      <c r="J1427" s="28">
        <v>0.99</v>
      </c>
      <c r="K1427" s="28">
        <v>70</v>
      </c>
      <c r="L1427" s="28">
        <v>0</v>
      </c>
    </row>
    <row r="1428" spans="1:12" ht="14.25" customHeight="1" x14ac:dyDescent="0.2">
      <c r="A1428" s="28">
        <v>1427</v>
      </c>
      <c r="B1428" s="28" t="s">
        <v>2056</v>
      </c>
      <c r="C1428" s="28" t="s">
        <v>2032</v>
      </c>
      <c r="D1428" s="28" t="s">
        <v>2033</v>
      </c>
      <c r="E1428" s="28" t="s">
        <v>211</v>
      </c>
      <c r="F1428" s="28" t="s">
        <v>2034</v>
      </c>
      <c r="G1428" s="28" t="s">
        <v>2057</v>
      </c>
      <c r="H1428" s="28">
        <v>7182736</v>
      </c>
      <c r="I1428" s="28">
        <v>215902</v>
      </c>
      <c r="J1428" s="28">
        <v>0.99</v>
      </c>
      <c r="K1428" s="28">
        <v>60</v>
      </c>
      <c r="L1428" s="28">
        <v>0</v>
      </c>
    </row>
    <row r="1429" spans="1:12" ht="14.25" customHeight="1" x14ac:dyDescent="0.2">
      <c r="A1429" s="28">
        <v>1428</v>
      </c>
      <c r="B1429" s="28" t="s">
        <v>2058</v>
      </c>
      <c r="C1429" s="28" t="s">
        <v>2032</v>
      </c>
      <c r="D1429" s="28" t="s">
        <v>2033</v>
      </c>
      <c r="E1429" s="28" t="s">
        <v>211</v>
      </c>
      <c r="F1429" s="28" t="s">
        <v>2034</v>
      </c>
      <c r="G1429" s="28" t="s">
        <v>2059</v>
      </c>
      <c r="H1429" s="28">
        <v>8355989</v>
      </c>
      <c r="I1429" s="28">
        <v>250723</v>
      </c>
      <c r="J1429" s="28">
        <v>0.99</v>
      </c>
      <c r="K1429" s="28">
        <v>92</v>
      </c>
      <c r="L1429" s="28">
        <v>1</v>
      </c>
    </row>
    <row r="1430" spans="1:12" ht="14.25" customHeight="1" x14ac:dyDescent="0.2">
      <c r="A1430" s="28">
        <v>1429</v>
      </c>
      <c r="B1430" s="28" t="s">
        <v>2060</v>
      </c>
      <c r="C1430" s="28" t="s">
        <v>2032</v>
      </c>
      <c r="D1430" s="28" t="s">
        <v>2033</v>
      </c>
      <c r="E1430" s="28" t="s">
        <v>211</v>
      </c>
      <c r="F1430" s="28" t="s">
        <v>2034</v>
      </c>
      <c r="G1430" s="28" t="s">
        <v>2061</v>
      </c>
      <c r="H1430" s="28">
        <v>7973979</v>
      </c>
      <c r="I1430" s="28">
        <v>239072</v>
      </c>
      <c r="J1430" s="28">
        <v>0.99</v>
      </c>
      <c r="K1430" s="28">
        <v>64</v>
      </c>
      <c r="L1430" s="28">
        <v>1</v>
      </c>
    </row>
    <row r="1431" spans="1:12" ht="14.25" customHeight="1" x14ac:dyDescent="0.2">
      <c r="A1431" s="28">
        <v>1430</v>
      </c>
      <c r="B1431" s="28" t="s">
        <v>2062</v>
      </c>
      <c r="C1431" s="28" t="s">
        <v>2032</v>
      </c>
      <c r="D1431" s="28" t="s">
        <v>2033</v>
      </c>
      <c r="E1431" s="28" t="s">
        <v>211</v>
      </c>
      <c r="F1431" s="28" t="s">
        <v>2034</v>
      </c>
      <c r="G1431" s="28" t="s">
        <v>2063</v>
      </c>
      <c r="H1431" s="28">
        <v>9432346</v>
      </c>
      <c r="I1431" s="28">
        <v>282880</v>
      </c>
      <c r="J1431" s="28">
        <v>0.99</v>
      </c>
      <c r="K1431" s="28">
        <v>64</v>
      </c>
      <c r="L1431" s="28">
        <v>1</v>
      </c>
    </row>
    <row r="1432" spans="1:12" ht="14.25" customHeight="1" x14ac:dyDescent="0.2">
      <c r="A1432" s="28">
        <v>1431</v>
      </c>
      <c r="B1432" s="28" t="s">
        <v>2064</v>
      </c>
      <c r="C1432" s="28" t="s">
        <v>2032</v>
      </c>
      <c r="D1432" s="28" t="s">
        <v>2033</v>
      </c>
      <c r="E1432" s="28" t="s">
        <v>211</v>
      </c>
      <c r="F1432" s="28" t="s">
        <v>2034</v>
      </c>
      <c r="G1432" s="28" t="s">
        <v>2065</v>
      </c>
      <c r="H1432" s="28">
        <v>11183457</v>
      </c>
      <c r="I1432" s="28">
        <v>334236</v>
      </c>
      <c r="J1432" s="28">
        <v>0.99</v>
      </c>
      <c r="K1432" s="28">
        <v>16</v>
      </c>
      <c r="L1432" s="28">
        <v>1</v>
      </c>
    </row>
    <row r="1433" spans="1:12" ht="14.25" customHeight="1" x14ac:dyDescent="0.2">
      <c r="A1433" s="28">
        <v>1432</v>
      </c>
      <c r="B1433" s="28" t="s">
        <v>2066</v>
      </c>
      <c r="C1433" s="28" t="s">
        <v>2032</v>
      </c>
      <c r="D1433" s="28" t="s">
        <v>2033</v>
      </c>
      <c r="E1433" s="28" t="s">
        <v>211</v>
      </c>
      <c r="F1433" s="28" t="s">
        <v>2034</v>
      </c>
      <c r="G1433" s="28" t="s">
        <v>2067</v>
      </c>
      <c r="H1433" s="28">
        <v>6295110</v>
      </c>
      <c r="I1433" s="28">
        <v>188212</v>
      </c>
      <c r="J1433" s="28">
        <v>0.99</v>
      </c>
      <c r="K1433" s="28">
        <v>57</v>
      </c>
      <c r="L1433" s="28">
        <v>0</v>
      </c>
    </row>
    <row r="1434" spans="1:12" ht="14.25" customHeight="1" x14ac:dyDescent="0.2">
      <c r="A1434" s="28">
        <v>1433</v>
      </c>
      <c r="B1434" s="28" t="s">
        <v>2068</v>
      </c>
      <c r="C1434" s="28" t="s">
        <v>2032</v>
      </c>
      <c r="D1434" s="28" t="s">
        <v>2033</v>
      </c>
      <c r="E1434" s="28" t="s">
        <v>211</v>
      </c>
      <c r="F1434" s="28" t="s">
        <v>2034</v>
      </c>
      <c r="G1434" s="28" t="s">
        <v>2033</v>
      </c>
      <c r="H1434" s="28">
        <v>8593206</v>
      </c>
      <c r="I1434" s="28">
        <v>260728</v>
      </c>
      <c r="J1434" s="28">
        <v>0.99</v>
      </c>
      <c r="K1434" s="28">
        <v>80</v>
      </c>
      <c r="L1434" s="28">
        <v>0</v>
      </c>
    </row>
    <row r="1435" spans="1:12" ht="14.25" customHeight="1" x14ac:dyDescent="0.2">
      <c r="A1435" s="28">
        <v>1434</v>
      </c>
      <c r="B1435" s="28" t="s">
        <v>2069</v>
      </c>
      <c r="C1435" s="28" t="s">
        <v>2070</v>
      </c>
      <c r="D1435" s="28" t="s">
        <v>2071</v>
      </c>
      <c r="E1435" s="28" t="s">
        <v>211</v>
      </c>
      <c r="F1435" s="28" t="s">
        <v>212</v>
      </c>
      <c r="G1435" s="28" t="s">
        <v>2072</v>
      </c>
      <c r="H1435" s="28">
        <v>7655482</v>
      </c>
      <c r="I1435" s="28">
        <v>230635</v>
      </c>
      <c r="J1435" s="28">
        <v>0.99</v>
      </c>
      <c r="K1435" s="28">
        <v>93</v>
      </c>
      <c r="L1435" s="28">
        <v>1</v>
      </c>
    </row>
    <row r="1436" spans="1:12" ht="14.25" customHeight="1" x14ac:dyDescent="0.2">
      <c r="A1436" s="28">
        <v>1435</v>
      </c>
      <c r="B1436" s="28" t="s">
        <v>2073</v>
      </c>
      <c r="C1436" s="28" t="s">
        <v>2070</v>
      </c>
      <c r="D1436" s="28" t="s">
        <v>2071</v>
      </c>
      <c r="E1436" s="28" t="s">
        <v>211</v>
      </c>
      <c r="F1436" s="28" t="s">
        <v>212</v>
      </c>
      <c r="G1436" s="28" t="s">
        <v>2074</v>
      </c>
      <c r="H1436" s="28">
        <v>12391660</v>
      </c>
      <c r="I1436" s="28">
        <v>365818</v>
      </c>
      <c r="J1436" s="28">
        <v>0.99</v>
      </c>
      <c r="K1436" s="28">
        <v>29</v>
      </c>
      <c r="L1436" s="28">
        <v>1</v>
      </c>
    </row>
    <row r="1437" spans="1:12" ht="14.25" customHeight="1" x14ac:dyDescent="0.2">
      <c r="A1437" s="28">
        <v>1436</v>
      </c>
      <c r="B1437" s="28" t="s">
        <v>2075</v>
      </c>
      <c r="C1437" s="28" t="s">
        <v>2070</v>
      </c>
      <c r="D1437" s="28" t="s">
        <v>2071</v>
      </c>
      <c r="E1437" s="28" t="s">
        <v>211</v>
      </c>
      <c r="F1437" s="28" t="s">
        <v>212</v>
      </c>
      <c r="G1437" s="28" t="s">
        <v>2074</v>
      </c>
      <c r="H1437" s="28">
        <v>9301687</v>
      </c>
      <c r="I1437" s="28">
        <v>275879</v>
      </c>
      <c r="J1437" s="28">
        <v>0.99</v>
      </c>
      <c r="K1437" s="28">
        <v>17</v>
      </c>
      <c r="L1437" s="28">
        <v>1</v>
      </c>
    </row>
    <row r="1438" spans="1:12" ht="14.25" customHeight="1" x14ac:dyDescent="0.2">
      <c r="A1438" s="28">
        <v>1437</v>
      </c>
      <c r="B1438" s="28" t="s">
        <v>2076</v>
      </c>
      <c r="C1438" s="28" t="s">
        <v>2070</v>
      </c>
      <c r="D1438" s="28" t="s">
        <v>2071</v>
      </c>
      <c r="E1438" s="28" t="s">
        <v>211</v>
      </c>
      <c r="F1438" s="28" t="s">
        <v>212</v>
      </c>
      <c r="G1438" s="28" t="s">
        <v>2077</v>
      </c>
      <c r="H1438" s="28">
        <v>9848207</v>
      </c>
      <c r="I1438" s="28">
        <v>293093</v>
      </c>
      <c r="J1438" s="28">
        <v>0.99</v>
      </c>
      <c r="K1438" s="28">
        <v>37</v>
      </c>
      <c r="L1438" s="28">
        <v>0</v>
      </c>
    </row>
    <row r="1439" spans="1:12" ht="14.25" customHeight="1" x14ac:dyDescent="0.2">
      <c r="A1439" s="28">
        <v>1438</v>
      </c>
      <c r="B1439" s="28" t="s">
        <v>2078</v>
      </c>
      <c r="C1439" s="28" t="s">
        <v>2070</v>
      </c>
      <c r="D1439" s="28" t="s">
        <v>2071</v>
      </c>
      <c r="E1439" s="28" t="s">
        <v>211</v>
      </c>
      <c r="F1439" s="28" t="s">
        <v>212</v>
      </c>
      <c r="G1439" s="28" t="s">
        <v>2074</v>
      </c>
      <c r="H1439" s="28">
        <v>12870239</v>
      </c>
      <c r="I1439" s="28">
        <v>383033</v>
      </c>
      <c r="J1439" s="28">
        <v>0.99</v>
      </c>
      <c r="K1439" s="28">
        <v>20</v>
      </c>
      <c r="L1439" s="28">
        <v>0</v>
      </c>
    </row>
    <row r="1440" spans="1:12" ht="14.25" customHeight="1" x14ac:dyDescent="0.2">
      <c r="A1440" s="28">
        <v>1439</v>
      </c>
      <c r="B1440" s="28" t="s">
        <v>2070</v>
      </c>
      <c r="C1440" s="28" t="s">
        <v>2070</v>
      </c>
      <c r="D1440" s="28" t="s">
        <v>2071</v>
      </c>
      <c r="E1440" s="28" t="s">
        <v>211</v>
      </c>
      <c r="F1440" s="28" t="s">
        <v>212</v>
      </c>
      <c r="G1440" s="28" t="s">
        <v>2074</v>
      </c>
      <c r="H1440" s="28">
        <v>8117218</v>
      </c>
      <c r="I1440" s="28">
        <v>245263</v>
      </c>
      <c r="J1440" s="28">
        <v>0.99</v>
      </c>
      <c r="K1440" s="28">
        <v>60</v>
      </c>
      <c r="L1440" s="28">
        <v>0</v>
      </c>
    </row>
    <row r="1441" spans="1:12" ht="14.25" customHeight="1" x14ac:dyDescent="0.2">
      <c r="A1441" s="28">
        <v>1440</v>
      </c>
      <c r="B1441" s="28" t="s">
        <v>2079</v>
      </c>
      <c r="C1441" s="28" t="s">
        <v>2070</v>
      </c>
      <c r="D1441" s="28" t="s">
        <v>2071</v>
      </c>
      <c r="E1441" s="28" t="s">
        <v>211</v>
      </c>
      <c r="F1441" s="28" t="s">
        <v>212</v>
      </c>
      <c r="G1441" s="28" t="s">
        <v>2072</v>
      </c>
      <c r="H1441" s="28">
        <v>8249453</v>
      </c>
      <c r="I1441" s="28">
        <v>247222</v>
      </c>
      <c r="J1441" s="28">
        <v>0.99</v>
      </c>
      <c r="K1441" s="28">
        <v>58</v>
      </c>
      <c r="L1441" s="28">
        <v>2</v>
      </c>
    </row>
    <row r="1442" spans="1:12" ht="14.25" customHeight="1" x14ac:dyDescent="0.2">
      <c r="A1442" s="28">
        <v>1441</v>
      </c>
      <c r="B1442" s="28" t="s">
        <v>2080</v>
      </c>
      <c r="C1442" s="28" t="s">
        <v>2070</v>
      </c>
      <c r="D1442" s="28" t="s">
        <v>2071</v>
      </c>
      <c r="E1442" s="28" t="s">
        <v>211</v>
      </c>
      <c r="F1442" s="28" t="s">
        <v>212</v>
      </c>
      <c r="G1442" s="28" t="s">
        <v>2074</v>
      </c>
      <c r="H1442" s="28">
        <v>17089176</v>
      </c>
      <c r="I1442" s="28">
        <v>512339</v>
      </c>
      <c r="J1442" s="28">
        <v>0.99</v>
      </c>
      <c r="K1442" s="28">
        <v>30</v>
      </c>
      <c r="L1442" s="28">
        <v>1</v>
      </c>
    </row>
    <row r="1443" spans="1:12" ht="14.25" customHeight="1" x14ac:dyDescent="0.2">
      <c r="A1443" s="28">
        <v>1442</v>
      </c>
      <c r="B1443" s="28" t="s">
        <v>2081</v>
      </c>
      <c r="C1443" s="28" t="s">
        <v>2070</v>
      </c>
      <c r="D1443" s="28" t="s">
        <v>2071</v>
      </c>
      <c r="E1443" s="28" t="s">
        <v>211</v>
      </c>
      <c r="F1443" s="28" t="s">
        <v>212</v>
      </c>
      <c r="G1443" s="28" t="s">
        <v>2074</v>
      </c>
      <c r="H1443" s="28">
        <v>20816872</v>
      </c>
      <c r="I1443" s="28">
        <v>616829</v>
      </c>
      <c r="J1443" s="28">
        <v>0.99</v>
      </c>
      <c r="K1443" s="28">
        <v>85</v>
      </c>
      <c r="L1443" s="28">
        <v>0</v>
      </c>
    </row>
    <row r="1444" spans="1:12" ht="14.25" customHeight="1" x14ac:dyDescent="0.2">
      <c r="A1444" s="28">
        <v>1443</v>
      </c>
      <c r="B1444" s="28" t="s">
        <v>2082</v>
      </c>
      <c r="C1444" s="28" t="s">
        <v>2070</v>
      </c>
      <c r="D1444" s="28" t="s">
        <v>2071</v>
      </c>
      <c r="E1444" s="28" t="s">
        <v>211</v>
      </c>
      <c r="F1444" s="28" t="s">
        <v>212</v>
      </c>
      <c r="G1444" s="28" t="s">
        <v>2083</v>
      </c>
      <c r="H1444" s="28">
        <v>5263555</v>
      </c>
      <c r="I1444" s="28">
        <v>157100</v>
      </c>
      <c r="J1444" s="28">
        <v>0.99</v>
      </c>
      <c r="K1444" s="28">
        <v>33</v>
      </c>
      <c r="L1444" s="28">
        <v>0</v>
      </c>
    </row>
    <row r="1445" spans="1:12" ht="14.25" customHeight="1" x14ac:dyDescent="0.2">
      <c r="A1445" s="28">
        <v>1444</v>
      </c>
      <c r="B1445" s="28" t="s">
        <v>2084</v>
      </c>
      <c r="C1445" s="28" t="s">
        <v>2085</v>
      </c>
      <c r="D1445" s="28" t="s">
        <v>2071</v>
      </c>
      <c r="E1445" s="28" t="s">
        <v>211</v>
      </c>
      <c r="F1445" s="28" t="s">
        <v>2034</v>
      </c>
      <c r="G1445" s="28" t="s">
        <v>2086</v>
      </c>
      <c r="H1445" s="28">
        <v>11042037</v>
      </c>
      <c r="I1445" s="28">
        <v>331964</v>
      </c>
      <c r="J1445" s="28">
        <v>0.99</v>
      </c>
      <c r="K1445" s="28">
        <v>10</v>
      </c>
      <c r="L1445" s="28">
        <v>0</v>
      </c>
    </row>
    <row r="1446" spans="1:12" ht="14.25" customHeight="1" x14ac:dyDescent="0.2">
      <c r="A1446" s="28">
        <v>1445</v>
      </c>
      <c r="B1446" s="28" t="s">
        <v>2087</v>
      </c>
      <c r="C1446" s="28" t="s">
        <v>2085</v>
      </c>
      <c r="D1446" s="28" t="s">
        <v>2071</v>
      </c>
      <c r="E1446" s="28" t="s">
        <v>211</v>
      </c>
      <c r="F1446" s="28" t="s">
        <v>2034</v>
      </c>
      <c r="G1446" s="28" t="s">
        <v>2088</v>
      </c>
      <c r="H1446" s="28">
        <v>9566237</v>
      </c>
      <c r="I1446" s="28">
        <v>284447</v>
      </c>
      <c r="J1446" s="28">
        <v>0.99</v>
      </c>
      <c r="K1446" s="28">
        <v>1</v>
      </c>
      <c r="L1446" s="28">
        <v>1</v>
      </c>
    </row>
    <row r="1447" spans="1:12" ht="14.25" customHeight="1" x14ac:dyDescent="0.2">
      <c r="A1447" s="28">
        <v>1446</v>
      </c>
      <c r="B1447" s="28" t="s">
        <v>2089</v>
      </c>
      <c r="C1447" s="28" t="s">
        <v>2085</v>
      </c>
      <c r="D1447" s="28" t="s">
        <v>2071</v>
      </c>
      <c r="E1447" s="28" t="s">
        <v>211</v>
      </c>
      <c r="F1447" s="28" t="s">
        <v>2034</v>
      </c>
      <c r="G1447" s="28" t="s">
        <v>2086</v>
      </c>
      <c r="H1447" s="28">
        <v>11477231</v>
      </c>
      <c r="I1447" s="28">
        <v>341629</v>
      </c>
      <c r="J1447" s="28">
        <v>0.99</v>
      </c>
      <c r="K1447" s="28">
        <v>76</v>
      </c>
      <c r="L1447" s="28">
        <v>1</v>
      </c>
    </row>
    <row r="1448" spans="1:12" ht="14.25" customHeight="1" x14ac:dyDescent="0.2">
      <c r="A1448" s="28">
        <v>1447</v>
      </c>
      <c r="B1448" s="28" t="s">
        <v>2090</v>
      </c>
      <c r="C1448" s="28" t="s">
        <v>2085</v>
      </c>
      <c r="D1448" s="28" t="s">
        <v>2071</v>
      </c>
      <c r="E1448" s="28" t="s">
        <v>211</v>
      </c>
      <c r="F1448" s="28" t="s">
        <v>2034</v>
      </c>
      <c r="G1448" s="28" t="s">
        <v>2088</v>
      </c>
      <c r="H1448" s="28">
        <v>8575435</v>
      </c>
      <c r="I1448" s="28">
        <v>255477</v>
      </c>
      <c r="J1448" s="28">
        <v>0.99</v>
      </c>
      <c r="K1448" s="28">
        <v>97</v>
      </c>
      <c r="L1448" s="28">
        <v>1</v>
      </c>
    </row>
    <row r="1449" spans="1:12" ht="14.25" customHeight="1" x14ac:dyDescent="0.2">
      <c r="A1449" s="28">
        <v>1448</v>
      </c>
      <c r="B1449" s="28" t="s">
        <v>2091</v>
      </c>
      <c r="C1449" s="28" t="s">
        <v>2085</v>
      </c>
      <c r="D1449" s="28" t="s">
        <v>2071</v>
      </c>
      <c r="E1449" s="28" t="s">
        <v>211</v>
      </c>
      <c r="F1449" s="28" t="s">
        <v>2034</v>
      </c>
      <c r="G1449" s="28" t="s">
        <v>2088</v>
      </c>
      <c r="H1449" s="28">
        <v>7503999</v>
      </c>
      <c r="I1449" s="28">
        <v>225227</v>
      </c>
      <c r="J1449" s="28">
        <v>0.99</v>
      </c>
      <c r="K1449" s="28">
        <v>30</v>
      </c>
      <c r="L1449" s="28">
        <v>0</v>
      </c>
    </row>
    <row r="1450" spans="1:12" ht="14.25" customHeight="1" x14ac:dyDescent="0.2">
      <c r="A1450" s="28">
        <v>1449</v>
      </c>
      <c r="B1450" s="28" t="s">
        <v>2092</v>
      </c>
      <c r="C1450" s="28" t="s">
        <v>2085</v>
      </c>
      <c r="D1450" s="28" t="s">
        <v>2071</v>
      </c>
      <c r="E1450" s="28" t="s">
        <v>211</v>
      </c>
      <c r="F1450" s="28" t="s">
        <v>2034</v>
      </c>
      <c r="G1450" s="28" t="s">
        <v>2093</v>
      </c>
      <c r="H1450" s="28">
        <v>11452651</v>
      </c>
      <c r="I1450" s="28">
        <v>340218</v>
      </c>
      <c r="J1450" s="28">
        <v>0.99</v>
      </c>
      <c r="K1450" s="28">
        <v>34</v>
      </c>
      <c r="L1450" s="28">
        <v>1</v>
      </c>
    </row>
    <row r="1451" spans="1:12" ht="14.25" customHeight="1" x14ac:dyDescent="0.2">
      <c r="A1451" s="28">
        <v>1450</v>
      </c>
      <c r="B1451" s="28" t="s">
        <v>2094</v>
      </c>
      <c r="C1451" s="28" t="s">
        <v>2085</v>
      </c>
      <c r="D1451" s="28" t="s">
        <v>2071</v>
      </c>
      <c r="E1451" s="28" t="s">
        <v>211</v>
      </c>
      <c r="F1451" s="28" t="s">
        <v>2034</v>
      </c>
      <c r="G1451" s="28" t="s">
        <v>2086</v>
      </c>
      <c r="H1451" s="28">
        <v>10699265</v>
      </c>
      <c r="I1451" s="28">
        <v>315872</v>
      </c>
      <c r="J1451" s="28">
        <v>0.99</v>
      </c>
      <c r="K1451" s="28">
        <v>91</v>
      </c>
      <c r="L1451" s="28">
        <v>0</v>
      </c>
    </row>
    <row r="1452" spans="1:12" ht="14.25" customHeight="1" x14ac:dyDescent="0.2">
      <c r="A1452" s="28">
        <v>1451</v>
      </c>
      <c r="B1452" s="28" t="s">
        <v>2095</v>
      </c>
      <c r="C1452" s="28" t="s">
        <v>2085</v>
      </c>
      <c r="D1452" s="28" t="s">
        <v>2071</v>
      </c>
      <c r="E1452" s="28" t="s">
        <v>211</v>
      </c>
      <c r="F1452" s="28" t="s">
        <v>2034</v>
      </c>
      <c r="G1452" s="28" t="s">
        <v>2088</v>
      </c>
      <c r="H1452" s="28">
        <v>8947356</v>
      </c>
      <c r="I1452" s="28">
        <v>268852</v>
      </c>
      <c r="J1452" s="28">
        <v>0.99</v>
      </c>
      <c r="K1452" s="28">
        <v>84</v>
      </c>
      <c r="L1452" s="28">
        <v>0</v>
      </c>
    </row>
    <row r="1453" spans="1:12" ht="14.25" customHeight="1" x14ac:dyDescent="0.2">
      <c r="A1453" s="28">
        <v>1452</v>
      </c>
      <c r="B1453" s="28" t="s">
        <v>2096</v>
      </c>
      <c r="C1453" s="28" t="s">
        <v>2085</v>
      </c>
      <c r="D1453" s="28" t="s">
        <v>2071</v>
      </c>
      <c r="E1453" s="28" t="s">
        <v>211</v>
      </c>
      <c r="F1453" s="28" t="s">
        <v>2034</v>
      </c>
      <c r="G1453" s="28" t="s">
        <v>2086</v>
      </c>
      <c r="H1453" s="28">
        <v>10504158</v>
      </c>
      <c r="I1453" s="28">
        <v>313626</v>
      </c>
      <c r="J1453" s="28">
        <v>0.99</v>
      </c>
      <c r="K1453" s="28">
        <v>28</v>
      </c>
      <c r="L1453" s="28">
        <v>1</v>
      </c>
    </row>
    <row r="1454" spans="1:12" ht="14.25" customHeight="1" x14ac:dyDescent="0.2">
      <c r="A1454" s="28">
        <v>1453</v>
      </c>
      <c r="B1454" s="28" t="s">
        <v>1522</v>
      </c>
      <c r="C1454" s="28" t="s">
        <v>2085</v>
      </c>
      <c r="D1454" s="28" t="s">
        <v>2071</v>
      </c>
      <c r="E1454" s="28" t="s">
        <v>211</v>
      </c>
      <c r="F1454" s="28" t="s">
        <v>2034</v>
      </c>
      <c r="G1454" s="28" t="s">
        <v>2088</v>
      </c>
      <c r="H1454" s="28">
        <v>7335693</v>
      </c>
      <c r="I1454" s="28">
        <v>221544</v>
      </c>
      <c r="J1454" s="28">
        <v>0.99</v>
      </c>
      <c r="K1454" s="28">
        <v>44</v>
      </c>
      <c r="L1454" s="28">
        <v>1</v>
      </c>
    </row>
    <row r="1455" spans="1:12" ht="14.25" customHeight="1" x14ac:dyDescent="0.2">
      <c r="A1455" s="28">
        <v>1454</v>
      </c>
      <c r="B1455" s="28" t="s">
        <v>2097</v>
      </c>
      <c r="C1455" s="28" t="s">
        <v>2085</v>
      </c>
      <c r="D1455" s="28" t="s">
        <v>2071</v>
      </c>
      <c r="E1455" s="28" t="s">
        <v>211</v>
      </c>
      <c r="F1455" s="28" t="s">
        <v>2034</v>
      </c>
      <c r="G1455" s="28" t="s">
        <v>2098</v>
      </c>
      <c r="H1455" s="28">
        <v>9351277</v>
      </c>
      <c r="I1455" s="28">
        <v>281808</v>
      </c>
      <c r="J1455" s="28">
        <v>0.99</v>
      </c>
      <c r="K1455" s="28">
        <v>85</v>
      </c>
      <c r="L1455" s="28">
        <v>1</v>
      </c>
    </row>
    <row r="1456" spans="1:12" ht="14.25" customHeight="1" x14ac:dyDescent="0.2">
      <c r="A1456" s="28">
        <v>1455</v>
      </c>
      <c r="B1456" s="28" t="s">
        <v>2099</v>
      </c>
      <c r="C1456" s="28" t="s">
        <v>2100</v>
      </c>
      <c r="D1456" s="28" t="s">
        <v>2071</v>
      </c>
      <c r="E1456" s="28" t="s">
        <v>211</v>
      </c>
      <c r="F1456" s="28" t="s">
        <v>2101</v>
      </c>
      <c r="G1456" s="28" t="s">
        <v>2098</v>
      </c>
      <c r="H1456" s="28">
        <v>17582818</v>
      </c>
      <c r="I1456" s="28">
        <v>529684</v>
      </c>
      <c r="J1456" s="28">
        <v>0.99</v>
      </c>
      <c r="K1456" s="28">
        <v>69</v>
      </c>
      <c r="L1456" s="28">
        <v>0</v>
      </c>
    </row>
    <row r="1457" spans="1:12" ht="14.25" customHeight="1" x14ac:dyDescent="0.2">
      <c r="A1457" s="28">
        <v>1456</v>
      </c>
      <c r="B1457" s="28" t="s">
        <v>2102</v>
      </c>
      <c r="C1457" s="28" t="s">
        <v>2100</v>
      </c>
      <c r="D1457" s="28" t="s">
        <v>2071</v>
      </c>
      <c r="E1457" s="28" t="s">
        <v>211</v>
      </c>
      <c r="F1457" s="28" t="s">
        <v>2101</v>
      </c>
      <c r="G1457" s="28" t="s">
        <v>2098</v>
      </c>
      <c r="H1457" s="28">
        <v>8644290</v>
      </c>
      <c r="I1457" s="28">
        <v>257097</v>
      </c>
      <c r="J1457" s="28">
        <v>0.99</v>
      </c>
      <c r="K1457" s="28">
        <v>58</v>
      </c>
      <c r="L1457" s="28">
        <v>0</v>
      </c>
    </row>
    <row r="1458" spans="1:12" ht="14.25" customHeight="1" x14ac:dyDescent="0.2">
      <c r="A1458" s="28">
        <v>1457</v>
      </c>
      <c r="B1458" s="28" t="s">
        <v>2103</v>
      </c>
      <c r="C1458" s="28" t="s">
        <v>2100</v>
      </c>
      <c r="D1458" s="28" t="s">
        <v>2071</v>
      </c>
      <c r="E1458" s="28" t="s">
        <v>211</v>
      </c>
      <c r="F1458" s="28" t="s">
        <v>2101</v>
      </c>
      <c r="G1458" s="28" t="s">
        <v>2098</v>
      </c>
      <c r="H1458" s="28">
        <v>9577679</v>
      </c>
      <c r="I1458" s="28">
        <v>289854</v>
      </c>
      <c r="J1458" s="28">
        <v>0.99</v>
      </c>
      <c r="K1458" s="28">
        <v>46</v>
      </c>
      <c r="L1458" s="28">
        <v>0</v>
      </c>
    </row>
    <row r="1459" spans="1:12" ht="14.25" customHeight="1" x14ac:dyDescent="0.2">
      <c r="A1459" s="28">
        <v>1458</v>
      </c>
      <c r="B1459" s="28" t="s">
        <v>2104</v>
      </c>
      <c r="C1459" s="28" t="s">
        <v>2100</v>
      </c>
      <c r="D1459" s="28" t="s">
        <v>2071</v>
      </c>
      <c r="E1459" s="28" t="s">
        <v>211</v>
      </c>
      <c r="F1459" s="28" t="s">
        <v>2101</v>
      </c>
      <c r="G1459" s="28" t="s">
        <v>2098</v>
      </c>
      <c r="H1459" s="28">
        <v>11796244</v>
      </c>
      <c r="I1459" s="28">
        <v>354560</v>
      </c>
      <c r="J1459" s="28">
        <v>0.99</v>
      </c>
      <c r="K1459" s="28">
        <v>8</v>
      </c>
      <c r="L1459" s="28">
        <v>2</v>
      </c>
    </row>
    <row r="1460" spans="1:12" ht="14.25" customHeight="1" x14ac:dyDescent="0.2">
      <c r="A1460" s="28">
        <v>1459</v>
      </c>
      <c r="B1460" s="28" t="s">
        <v>2105</v>
      </c>
      <c r="C1460" s="28" t="s">
        <v>2100</v>
      </c>
      <c r="D1460" s="28" t="s">
        <v>2071</v>
      </c>
      <c r="E1460" s="28" t="s">
        <v>211</v>
      </c>
      <c r="F1460" s="28" t="s">
        <v>2101</v>
      </c>
      <c r="G1460" s="28" t="s">
        <v>2098</v>
      </c>
      <c r="H1460" s="28">
        <v>12676962</v>
      </c>
      <c r="I1460" s="28">
        <v>382197</v>
      </c>
      <c r="J1460" s="28">
        <v>0.99</v>
      </c>
      <c r="K1460" s="28">
        <v>92</v>
      </c>
      <c r="L1460" s="28">
        <v>1</v>
      </c>
    </row>
    <row r="1461" spans="1:12" ht="14.25" customHeight="1" x14ac:dyDescent="0.2">
      <c r="A1461" s="28">
        <v>1460</v>
      </c>
      <c r="B1461" s="28" t="s">
        <v>2106</v>
      </c>
      <c r="C1461" s="28" t="s">
        <v>2100</v>
      </c>
      <c r="D1461" s="28" t="s">
        <v>2071</v>
      </c>
      <c r="E1461" s="28" t="s">
        <v>211</v>
      </c>
      <c r="F1461" s="28" t="s">
        <v>2101</v>
      </c>
      <c r="G1461" s="28" t="s">
        <v>2098</v>
      </c>
      <c r="H1461" s="28">
        <v>10334529</v>
      </c>
      <c r="I1461" s="28">
        <v>309995</v>
      </c>
      <c r="J1461" s="28">
        <v>0.99</v>
      </c>
      <c r="K1461" s="28">
        <v>33</v>
      </c>
      <c r="L1461" s="28">
        <v>0</v>
      </c>
    </row>
    <row r="1462" spans="1:12" ht="14.25" customHeight="1" x14ac:dyDescent="0.2">
      <c r="A1462" s="28">
        <v>1461</v>
      </c>
      <c r="B1462" s="28" t="s">
        <v>2107</v>
      </c>
      <c r="C1462" s="28" t="s">
        <v>2100</v>
      </c>
      <c r="D1462" s="28" t="s">
        <v>2071</v>
      </c>
      <c r="E1462" s="28" t="s">
        <v>211</v>
      </c>
      <c r="F1462" s="28" t="s">
        <v>2101</v>
      </c>
      <c r="G1462" s="28" t="s">
        <v>2108</v>
      </c>
      <c r="H1462" s="28">
        <v>11043559</v>
      </c>
      <c r="I1462" s="28">
        <v>329534</v>
      </c>
      <c r="J1462" s="28">
        <v>0.99</v>
      </c>
      <c r="K1462" s="28">
        <v>36</v>
      </c>
      <c r="L1462" s="28">
        <v>0</v>
      </c>
    </row>
    <row r="1463" spans="1:12" ht="14.25" customHeight="1" x14ac:dyDescent="0.2">
      <c r="A1463" s="28">
        <v>1462</v>
      </c>
      <c r="B1463" s="28" t="s">
        <v>2109</v>
      </c>
      <c r="C1463" s="28" t="s">
        <v>2100</v>
      </c>
      <c r="D1463" s="28" t="s">
        <v>2071</v>
      </c>
      <c r="E1463" s="28" t="s">
        <v>211</v>
      </c>
      <c r="F1463" s="28" t="s">
        <v>2101</v>
      </c>
      <c r="G1463" s="28" t="s">
        <v>2110</v>
      </c>
      <c r="H1463" s="28">
        <v>14019705</v>
      </c>
      <c r="I1463" s="28">
        <v>422321</v>
      </c>
      <c r="J1463" s="28">
        <v>0.99</v>
      </c>
      <c r="K1463" s="28">
        <v>2</v>
      </c>
      <c r="L1463" s="28">
        <v>0</v>
      </c>
    </row>
    <row r="1464" spans="1:12" ht="14.25" customHeight="1" x14ac:dyDescent="0.2">
      <c r="A1464" s="28">
        <v>1463</v>
      </c>
      <c r="B1464" s="28" t="s">
        <v>2111</v>
      </c>
      <c r="C1464" s="28" t="s">
        <v>2100</v>
      </c>
      <c r="D1464" s="28" t="s">
        <v>2071</v>
      </c>
      <c r="E1464" s="28" t="s">
        <v>211</v>
      </c>
      <c r="F1464" s="28" t="s">
        <v>2101</v>
      </c>
      <c r="G1464" s="28" t="s">
        <v>2112</v>
      </c>
      <c r="H1464" s="28">
        <v>10843832</v>
      </c>
      <c r="I1464" s="28">
        <v>322455</v>
      </c>
      <c r="J1464" s="28">
        <v>0.99</v>
      </c>
      <c r="K1464" s="28">
        <v>38</v>
      </c>
      <c r="L1464" s="28">
        <v>1</v>
      </c>
    </row>
    <row r="1465" spans="1:12" ht="14.25" customHeight="1" x14ac:dyDescent="0.2">
      <c r="A1465" s="28">
        <v>1464</v>
      </c>
      <c r="B1465" s="28" t="s">
        <v>2113</v>
      </c>
      <c r="C1465" s="28" t="s">
        <v>2100</v>
      </c>
      <c r="D1465" s="28" t="s">
        <v>2071</v>
      </c>
      <c r="E1465" s="28" t="s">
        <v>211</v>
      </c>
      <c r="F1465" s="28" t="s">
        <v>2101</v>
      </c>
      <c r="G1465" s="28" t="s">
        <v>2114</v>
      </c>
      <c r="H1465" s="28">
        <v>12777210</v>
      </c>
      <c r="I1465" s="28">
        <v>384130</v>
      </c>
      <c r="J1465" s="28">
        <v>0.99</v>
      </c>
      <c r="K1465" s="28">
        <v>0</v>
      </c>
      <c r="L1465" s="28">
        <v>1</v>
      </c>
    </row>
    <row r="1466" spans="1:12" ht="14.25" customHeight="1" x14ac:dyDescent="0.2">
      <c r="A1466" s="28">
        <v>1465</v>
      </c>
      <c r="B1466" s="28" t="s">
        <v>2115</v>
      </c>
      <c r="C1466" s="28" t="s">
        <v>2100</v>
      </c>
      <c r="D1466" s="28" t="s">
        <v>2071</v>
      </c>
      <c r="E1466" s="28" t="s">
        <v>211</v>
      </c>
      <c r="F1466" s="28" t="s">
        <v>2101</v>
      </c>
      <c r="G1466" s="28" t="s">
        <v>2114</v>
      </c>
      <c r="H1466" s="28">
        <v>12906520</v>
      </c>
      <c r="I1466" s="28">
        <v>385697</v>
      </c>
      <c r="J1466" s="28">
        <v>0.99</v>
      </c>
      <c r="K1466" s="28">
        <v>52</v>
      </c>
      <c r="L1466" s="28">
        <v>0</v>
      </c>
    </row>
    <row r="1467" spans="1:12" ht="14.25" customHeight="1" x14ac:dyDescent="0.2">
      <c r="A1467" s="28">
        <v>1466</v>
      </c>
      <c r="B1467" s="28" t="s">
        <v>2116</v>
      </c>
      <c r="C1467" s="28" t="s">
        <v>2117</v>
      </c>
      <c r="D1467" s="28" t="s">
        <v>2118</v>
      </c>
      <c r="E1467" s="28" t="s">
        <v>211</v>
      </c>
      <c r="F1467" s="28" t="s">
        <v>348</v>
      </c>
      <c r="G1467" s="28" t="s">
        <v>2119</v>
      </c>
      <c r="H1467" s="28">
        <v>3683130</v>
      </c>
      <c r="I1467" s="28">
        <v>112352</v>
      </c>
      <c r="J1467" s="28">
        <v>0.99</v>
      </c>
      <c r="K1467" s="28">
        <v>15</v>
      </c>
      <c r="L1467" s="28">
        <v>0</v>
      </c>
    </row>
    <row r="1468" spans="1:12" ht="14.25" customHeight="1" x14ac:dyDescent="0.2">
      <c r="A1468" s="28">
        <v>1467</v>
      </c>
      <c r="B1468" s="28" t="s">
        <v>2120</v>
      </c>
      <c r="C1468" s="28" t="s">
        <v>2117</v>
      </c>
      <c r="D1468" s="28" t="s">
        <v>2118</v>
      </c>
      <c r="E1468" s="28" t="s">
        <v>211</v>
      </c>
      <c r="F1468" s="28" t="s">
        <v>348</v>
      </c>
      <c r="G1468" s="28" t="s">
        <v>2121</v>
      </c>
      <c r="H1468" s="28">
        <v>6992324</v>
      </c>
      <c r="I1468" s="28">
        <v>213890</v>
      </c>
      <c r="J1468" s="28">
        <v>0.99</v>
      </c>
      <c r="K1468" s="28">
        <v>51</v>
      </c>
      <c r="L1468" s="28">
        <v>1</v>
      </c>
    </row>
    <row r="1469" spans="1:12" ht="14.25" customHeight="1" x14ac:dyDescent="0.2">
      <c r="A1469" s="28">
        <v>1468</v>
      </c>
      <c r="B1469" s="28" t="s">
        <v>2122</v>
      </c>
      <c r="C1469" s="28" t="s">
        <v>2117</v>
      </c>
      <c r="D1469" s="28" t="s">
        <v>2118</v>
      </c>
      <c r="E1469" s="28" t="s">
        <v>211</v>
      </c>
      <c r="F1469" s="28" t="s">
        <v>348</v>
      </c>
      <c r="G1469" s="28" t="s">
        <v>2123</v>
      </c>
      <c r="H1469" s="28">
        <v>6406517</v>
      </c>
      <c r="I1469" s="28">
        <v>196702</v>
      </c>
      <c r="J1469" s="28">
        <v>0.99</v>
      </c>
      <c r="K1469" s="28">
        <v>30</v>
      </c>
      <c r="L1469" s="28">
        <v>1</v>
      </c>
    </row>
    <row r="1470" spans="1:12" ht="14.25" customHeight="1" x14ac:dyDescent="0.2">
      <c r="A1470" s="28">
        <v>1469</v>
      </c>
      <c r="B1470" s="28" t="s">
        <v>2124</v>
      </c>
      <c r="C1470" s="28" t="s">
        <v>2117</v>
      </c>
      <c r="D1470" s="28" t="s">
        <v>2118</v>
      </c>
      <c r="E1470" s="28" t="s">
        <v>211</v>
      </c>
      <c r="F1470" s="28" t="s">
        <v>348</v>
      </c>
      <c r="G1470" s="28" t="s">
        <v>2125</v>
      </c>
      <c r="H1470" s="28">
        <v>7517083</v>
      </c>
      <c r="I1470" s="28">
        <v>230974</v>
      </c>
      <c r="J1470" s="28">
        <v>0.99</v>
      </c>
      <c r="K1470" s="28">
        <v>78</v>
      </c>
      <c r="L1470" s="28">
        <v>0</v>
      </c>
    </row>
    <row r="1471" spans="1:12" ht="14.25" customHeight="1" x14ac:dyDescent="0.2">
      <c r="A1471" s="28">
        <v>1470</v>
      </c>
      <c r="B1471" s="28" t="s">
        <v>2126</v>
      </c>
      <c r="C1471" s="28" t="s">
        <v>2117</v>
      </c>
      <c r="D1471" s="28" t="s">
        <v>2118</v>
      </c>
      <c r="E1471" s="28" t="s">
        <v>211</v>
      </c>
      <c r="F1471" s="28" t="s">
        <v>348</v>
      </c>
      <c r="G1471" s="28" t="s">
        <v>2127</v>
      </c>
      <c r="H1471" s="28">
        <v>8043765</v>
      </c>
      <c r="I1471" s="28">
        <v>247719</v>
      </c>
      <c r="J1471" s="28">
        <v>0.99</v>
      </c>
      <c r="K1471" s="28">
        <v>23</v>
      </c>
      <c r="L1471" s="28">
        <v>1</v>
      </c>
    </row>
    <row r="1472" spans="1:12" ht="14.25" customHeight="1" x14ac:dyDescent="0.2">
      <c r="A1472" s="28">
        <v>1471</v>
      </c>
      <c r="B1472" s="28" t="s">
        <v>2128</v>
      </c>
      <c r="C1472" s="28" t="s">
        <v>2117</v>
      </c>
      <c r="D1472" s="28" t="s">
        <v>2118</v>
      </c>
      <c r="E1472" s="28" t="s">
        <v>211</v>
      </c>
      <c r="F1472" s="28" t="s">
        <v>348</v>
      </c>
      <c r="G1472" s="28" t="s">
        <v>2123</v>
      </c>
      <c r="H1472" s="28">
        <v>8519353</v>
      </c>
      <c r="I1472" s="28">
        <v>260623</v>
      </c>
      <c r="J1472" s="28">
        <v>0.99</v>
      </c>
      <c r="K1472" s="28">
        <v>97</v>
      </c>
      <c r="L1472" s="28">
        <v>0</v>
      </c>
    </row>
    <row r="1473" spans="1:12" ht="14.25" customHeight="1" x14ac:dyDescent="0.2">
      <c r="A1473" s="28">
        <v>1472</v>
      </c>
      <c r="B1473" s="28" t="s">
        <v>2129</v>
      </c>
      <c r="C1473" s="28" t="s">
        <v>2117</v>
      </c>
      <c r="D1473" s="28" t="s">
        <v>2118</v>
      </c>
      <c r="E1473" s="28" t="s">
        <v>211</v>
      </c>
      <c r="F1473" s="28" t="s">
        <v>348</v>
      </c>
      <c r="G1473" s="28" t="s">
        <v>2127</v>
      </c>
      <c r="H1473" s="28">
        <v>8871509</v>
      </c>
      <c r="I1473" s="28">
        <v>272117</v>
      </c>
      <c r="J1473" s="28">
        <v>0.99</v>
      </c>
      <c r="K1473" s="28">
        <v>62</v>
      </c>
      <c r="L1473" s="28">
        <v>1</v>
      </c>
    </row>
    <row r="1474" spans="1:12" ht="14.25" customHeight="1" x14ac:dyDescent="0.2">
      <c r="A1474" s="28">
        <v>1473</v>
      </c>
      <c r="B1474" s="28" t="s">
        <v>2130</v>
      </c>
      <c r="C1474" s="28" t="s">
        <v>2117</v>
      </c>
      <c r="D1474" s="28" t="s">
        <v>2118</v>
      </c>
      <c r="E1474" s="28" t="s">
        <v>211</v>
      </c>
      <c r="F1474" s="28" t="s">
        <v>348</v>
      </c>
      <c r="G1474" s="28" t="s">
        <v>2123</v>
      </c>
      <c r="H1474" s="28">
        <v>5729098</v>
      </c>
      <c r="I1474" s="28">
        <v>176274</v>
      </c>
      <c r="J1474" s="28">
        <v>0.99</v>
      </c>
      <c r="K1474" s="28">
        <v>6</v>
      </c>
      <c r="L1474" s="28">
        <v>0</v>
      </c>
    </row>
    <row r="1475" spans="1:12" ht="14.25" customHeight="1" x14ac:dyDescent="0.2">
      <c r="A1475" s="28">
        <v>1474</v>
      </c>
      <c r="B1475" s="28" t="s">
        <v>2131</v>
      </c>
      <c r="C1475" s="28" t="s">
        <v>2117</v>
      </c>
      <c r="D1475" s="28" t="s">
        <v>2118</v>
      </c>
      <c r="E1475" s="28" t="s">
        <v>211</v>
      </c>
      <c r="F1475" s="28" t="s">
        <v>348</v>
      </c>
      <c r="G1475" s="28" t="s">
        <v>2127</v>
      </c>
      <c r="H1475" s="28">
        <v>7929610</v>
      </c>
      <c r="I1475" s="28">
        <v>243278</v>
      </c>
      <c r="J1475" s="28">
        <v>0.99</v>
      </c>
      <c r="K1475" s="28">
        <v>36</v>
      </c>
      <c r="L1475" s="28">
        <v>0</v>
      </c>
    </row>
    <row r="1476" spans="1:12" ht="14.25" customHeight="1" x14ac:dyDescent="0.2">
      <c r="A1476" s="28">
        <v>1475</v>
      </c>
      <c r="B1476" s="28" t="s">
        <v>2132</v>
      </c>
      <c r="C1476" s="28" t="s">
        <v>2117</v>
      </c>
      <c r="D1476" s="28" t="s">
        <v>2118</v>
      </c>
      <c r="E1476" s="28" t="s">
        <v>211</v>
      </c>
      <c r="F1476" s="28" t="s">
        <v>348</v>
      </c>
      <c r="G1476" s="28" t="s">
        <v>2121</v>
      </c>
      <c r="H1476" s="28">
        <v>8872405</v>
      </c>
      <c r="I1476" s="28">
        <v>270497</v>
      </c>
      <c r="J1476" s="28">
        <v>0.99</v>
      </c>
      <c r="K1476" s="28">
        <v>45</v>
      </c>
      <c r="L1476" s="28">
        <v>0</v>
      </c>
    </row>
    <row r="1477" spans="1:12" ht="14.25" customHeight="1" x14ac:dyDescent="0.2">
      <c r="A1477" s="28">
        <v>1476</v>
      </c>
      <c r="B1477" s="28" t="s">
        <v>2133</v>
      </c>
      <c r="C1477" s="28" t="s">
        <v>2117</v>
      </c>
      <c r="D1477" s="28" t="s">
        <v>2118</v>
      </c>
      <c r="E1477" s="28" t="s">
        <v>211</v>
      </c>
      <c r="F1477" s="28" t="s">
        <v>348</v>
      </c>
      <c r="G1477" s="28" t="s">
        <v>2121</v>
      </c>
      <c r="H1477" s="28">
        <v>4643370</v>
      </c>
      <c r="I1477" s="28">
        <v>142889</v>
      </c>
      <c r="J1477" s="28">
        <v>0.99</v>
      </c>
      <c r="K1477" s="28">
        <v>0</v>
      </c>
      <c r="L1477" s="28">
        <v>2</v>
      </c>
    </row>
    <row r="1478" spans="1:12" ht="14.25" customHeight="1" x14ac:dyDescent="0.2">
      <c r="A1478" s="28">
        <v>1477</v>
      </c>
      <c r="B1478" s="28" t="s">
        <v>2134</v>
      </c>
      <c r="C1478" s="28" t="s">
        <v>2117</v>
      </c>
      <c r="D1478" s="28" t="s">
        <v>2118</v>
      </c>
      <c r="E1478" s="28" t="s">
        <v>211</v>
      </c>
      <c r="F1478" s="28" t="s">
        <v>348</v>
      </c>
      <c r="G1478" s="28" t="s">
        <v>2123</v>
      </c>
      <c r="H1478" s="28">
        <v>9186285</v>
      </c>
      <c r="I1478" s="28">
        <v>282174</v>
      </c>
      <c r="J1478" s="28">
        <v>0.99</v>
      </c>
      <c r="K1478" s="28">
        <v>32</v>
      </c>
      <c r="L1478" s="28">
        <v>1</v>
      </c>
    </row>
    <row r="1479" spans="1:12" ht="14.25" customHeight="1" x14ac:dyDescent="0.2">
      <c r="A1479" s="28">
        <v>1478</v>
      </c>
      <c r="B1479" s="28" t="s">
        <v>2135</v>
      </c>
      <c r="C1479" s="28" t="s">
        <v>2117</v>
      </c>
      <c r="D1479" s="28" t="s">
        <v>2118</v>
      </c>
      <c r="E1479" s="28" t="s">
        <v>211</v>
      </c>
      <c r="F1479" s="28" t="s">
        <v>348</v>
      </c>
      <c r="G1479" s="28" t="s">
        <v>2136</v>
      </c>
      <c r="H1479" s="28">
        <v>8856507</v>
      </c>
      <c r="I1479" s="28">
        <v>270341</v>
      </c>
      <c r="J1479" s="28">
        <v>0.99</v>
      </c>
      <c r="K1479" s="28">
        <v>40</v>
      </c>
      <c r="L1479" s="28">
        <v>0</v>
      </c>
    </row>
    <row r="1480" spans="1:12" ht="14.25" customHeight="1" x14ac:dyDescent="0.2">
      <c r="A1480" s="28">
        <v>1479</v>
      </c>
      <c r="B1480" s="28" t="s">
        <v>2137</v>
      </c>
      <c r="C1480" s="28" t="s">
        <v>2138</v>
      </c>
      <c r="D1480" s="28" t="s">
        <v>2139</v>
      </c>
      <c r="E1480" s="28" t="s">
        <v>211</v>
      </c>
      <c r="F1480" s="28" t="s">
        <v>212</v>
      </c>
      <c r="G1480" s="28" t="s">
        <v>2139</v>
      </c>
      <c r="H1480" s="28">
        <v>6480896</v>
      </c>
      <c r="I1480" s="28">
        <v>199340</v>
      </c>
      <c r="J1480" s="28">
        <v>0.99</v>
      </c>
      <c r="K1480" s="28">
        <v>10</v>
      </c>
      <c r="L1480" s="28">
        <v>0</v>
      </c>
    </row>
    <row r="1481" spans="1:12" ht="14.25" customHeight="1" x14ac:dyDescent="0.2">
      <c r="A1481" s="28">
        <v>1480</v>
      </c>
      <c r="B1481" s="28" t="s">
        <v>2140</v>
      </c>
      <c r="C1481" s="28" t="s">
        <v>2138</v>
      </c>
      <c r="D1481" s="28" t="s">
        <v>2139</v>
      </c>
      <c r="E1481" s="28" t="s">
        <v>211</v>
      </c>
      <c r="F1481" s="28" t="s">
        <v>212</v>
      </c>
      <c r="G1481" s="28" t="s">
        <v>2139</v>
      </c>
      <c r="H1481" s="28">
        <v>7289272</v>
      </c>
      <c r="I1481" s="28">
        <v>222302</v>
      </c>
      <c r="J1481" s="28">
        <v>0.99</v>
      </c>
      <c r="K1481" s="28">
        <v>97</v>
      </c>
      <c r="L1481" s="28">
        <v>0</v>
      </c>
    </row>
    <row r="1482" spans="1:12" ht="14.25" customHeight="1" x14ac:dyDescent="0.2">
      <c r="A1482" s="28">
        <v>1481</v>
      </c>
      <c r="B1482" s="28" t="s">
        <v>2141</v>
      </c>
      <c r="C1482" s="28" t="s">
        <v>2138</v>
      </c>
      <c r="D1482" s="28" t="s">
        <v>2139</v>
      </c>
      <c r="E1482" s="28" t="s">
        <v>211</v>
      </c>
      <c r="F1482" s="28" t="s">
        <v>212</v>
      </c>
      <c r="G1482" s="28" t="s">
        <v>2139</v>
      </c>
      <c r="H1482" s="28">
        <v>7285851</v>
      </c>
      <c r="I1482" s="28">
        <v>224130</v>
      </c>
      <c r="J1482" s="28">
        <v>0.99</v>
      </c>
      <c r="K1482" s="28">
        <v>96</v>
      </c>
      <c r="L1482" s="28">
        <v>1</v>
      </c>
    </row>
    <row r="1483" spans="1:12" ht="14.25" customHeight="1" x14ac:dyDescent="0.2">
      <c r="A1483" s="28">
        <v>1482</v>
      </c>
      <c r="B1483" s="28" t="s">
        <v>2142</v>
      </c>
      <c r="C1483" s="28" t="s">
        <v>2138</v>
      </c>
      <c r="D1483" s="28" t="s">
        <v>2139</v>
      </c>
      <c r="E1483" s="28" t="s">
        <v>211</v>
      </c>
      <c r="F1483" s="28" t="s">
        <v>212</v>
      </c>
      <c r="G1483" s="28" t="s">
        <v>2139</v>
      </c>
      <c r="H1483" s="28">
        <v>4987068</v>
      </c>
      <c r="I1483" s="28">
        <v>153077</v>
      </c>
      <c r="J1483" s="28">
        <v>0.99</v>
      </c>
      <c r="K1483" s="28">
        <v>78</v>
      </c>
      <c r="L1483" s="28">
        <v>1</v>
      </c>
    </row>
    <row r="1484" spans="1:12" ht="14.25" customHeight="1" x14ac:dyDescent="0.2">
      <c r="A1484" s="28">
        <v>1483</v>
      </c>
      <c r="B1484" s="28" t="s">
        <v>2143</v>
      </c>
      <c r="C1484" s="28" t="s">
        <v>2138</v>
      </c>
      <c r="D1484" s="28" t="s">
        <v>2139</v>
      </c>
      <c r="E1484" s="28" t="s">
        <v>211</v>
      </c>
      <c r="F1484" s="28" t="s">
        <v>212</v>
      </c>
      <c r="G1484" s="28" t="s">
        <v>2139</v>
      </c>
      <c r="H1484" s="28">
        <v>6329408</v>
      </c>
      <c r="I1484" s="28">
        <v>193123</v>
      </c>
      <c r="J1484" s="28">
        <v>0.99</v>
      </c>
      <c r="K1484" s="28">
        <v>11</v>
      </c>
      <c r="L1484" s="28">
        <v>0</v>
      </c>
    </row>
    <row r="1485" spans="1:12" ht="14.25" customHeight="1" x14ac:dyDescent="0.2">
      <c r="A1485" s="28">
        <v>1484</v>
      </c>
      <c r="B1485" s="28" t="s">
        <v>2144</v>
      </c>
      <c r="C1485" s="28" t="s">
        <v>2138</v>
      </c>
      <c r="D1485" s="28" t="s">
        <v>2139</v>
      </c>
      <c r="E1485" s="28" t="s">
        <v>211</v>
      </c>
      <c r="F1485" s="28" t="s">
        <v>212</v>
      </c>
      <c r="G1485" s="28" t="s">
        <v>2139</v>
      </c>
      <c r="H1485" s="28">
        <v>7661214</v>
      </c>
      <c r="I1485" s="28">
        <v>235311</v>
      </c>
      <c r="J1485" s="28">
        <v>0.99</v>
      </c>
      <c r="K1485" s="28">
        <v>7</v>
      </c>
      <c r="L1485" s="28">
        <v>0</v>
      </c>
    </row>
    <row r="1486" spans="1:12" ht="14.25" customHeight="1" x14ac:dyDescent="0.2">
      <c r="A1486" s="28">
        <v>1485</v>
      </c>
      <c r="B1486" s="28" t="s">
        <v>2145</v>
      </c>
      <c r="C1486" s="28" t="s">
        <v>2138</v>
      </c>
      <c r="D1486" s="28" t="s">
        <v>2139</v>
      </c>
      <c r="E1486" s="28" t="s">
        <v>211</v>
      </c>
      <c r="F1486" s="28" t="s">
        <v>212</v>
      </c>
      <c r="G1486" s="28" t="s">
        <v>2139</v>
      </c>
      <c r="H1486" s="28">
        <v>6240028</v>
      </c>
      <c r="I1486" s="28">
        <v>191216</v>
      </c>
      <c r="J1486" s="28">
        <v>0.99</v>
      </c>
      <c r="K1486" s="28">
        <v>16</v>
      </c>
      <c r="L1486" s="28">
        <v>1</v>
      </c>
    </row>
    <row r="1487" spans="1:12" ht="14.25" customHeight="1" x14ac:dyDescent="0.2">
      <c r="A1487" s="28">
        <v>1486</v>
      </c>
      <c r="B1487" s="28" t="s">
        <v>2146</v>
      </c>
      <c r="C1487" s="28" t="s">
        <v>2138</v>
      </c>
      <c r="D1487" s="28" t="s">
        <v>2139</v>
      </c>
      <c r="E1487" s="28" t="s">
        <v>211</v>
      </c>
      <c r="F1487" s="28" t="s">
        <v>212</v>
      </c>
      <c r="G1487" s="28" t="s">
        <v>2139</v>
      </c>
      <c r="H1487" s="28">
        <v>5383075</v>
      </c>
      <c r="I1487" s="28">
        <v>164989</v>
      </c>
      <c r="J1487" s="28">
        <v>0.99</v>
      </c>
      <c r="K1487" s="28">
        <v>68</v>
      </c>
      <c r="L1487" s="28">
        <v>1</v>
      </c>
    </row>
    <row r="1488" spans="1:12" ht="14.25" customHeight="1" x14ac:dyDescent="0.2">
      <c r="A1488" s="28">
        <v>1487</v>
      </c>
      <c r="B1488" s="28" t="s">
        <v>2147</v>
      </c>
      <c r="C1488" s="28" t="s">
        <v>2138</v>
      </c>
      <c r="D1488" s="28" t="s">
        <v>2139</v>
      </c>
      <c r="E1488" s="28" t="s">
        <v>211</v>
      </c>
      <c r="F1488" s="28" t="s">
        <v>212</v>
      </c>
      <c r="G1488" s="28" t="s">
        <v>2139</v>
      </c>
      <c r="H1488" s="28">
        <v>13186975</v>
      </c>
      <c r="I1488" s="28">
        <v>404453</v>
      </c>
      <c r="J1488" s="28">
        <v>0.99</v>
      </c>
      <c r="K1488" s="28">
        <v>12</v>
      </c>
      <c r="L1488" s="28">
        <v>0</v>
      </c>
    </row>
    <row r="1489" spans="1:12" ht="14.25" customHeight="1" x14ac:dyDescent="0.2">
      <c r="A1489" s="28">
        <v>1488</v>
      </c>
      <c r="B1489" s="28" t="s">
        <v>2148</v>
      </c>
      <c r="C1489" s="28" t="s">
        <v>2138</v>
      </c>
      <c r="D1489" s="28" t="s">
        <v>2139</v>
      </c>
      <c r="E1489" s="28" t="s">
        <v>211</v>
      </c>
      <c r="F1489" s="28" t="s">
        <v>212</v>
      </c>
      <c r="G1489" s="28" t="s">
        <v>2139</v>
      </c>
      <c r="H1489" s="28">
        <v>5509613</v>
      </c>
      <c r="I1489" s="28">
        <v>168150</v>
      </c>
      <c r="J1489" s="28">
        <v>0.99</v>
      </c>
      <c r="K1489" s="28">
        <v>24</v>
      </c>
      <c r="L1489" s="28">
        <v>0</v>
      </c>
    </row>
    <row r="1490" spans="1:12" ht="14.25" customHeight="1" x14ac:dyDescent="0.2">
      <c r="A1490" s="28">
        <v>1489</v>
      </c>
      <c r="B1490" s="28" t="s">
        <v>2138</v>
      </c>
      <c r="C1490" s="28" t="s">
        <v>2138</v>
      </c>
      <c r="D1490" s="28" t="s">
        <v>2139</v>
      </c>
      <c r="E1490" s="28" t="s">
        <v>211</v>
      </c>
      <c r="F1490" s="28" t="s">
        <v>212</v>
      </c>
      <c r="G1490" s="28" t="s">
        <v>2139</v>
      </c>
      <c r="H1490" s="28">
        <v>8292497</v>
      </c>
      <c r="I1490" s="28">
        <v>254537</v>
      </c>
      <c r="J1490" s="28">
        <v>0.99</v>
      </c>
      <c r="K1490" s="28">
        <v>77</v>
      </c>
      <c r="L1490" s="28">
        <v>0</v>
      </c>
    </row>
    <row r="1491" spans="1:12" ht="14.25" customHeight="1" x14ac:dyDescent="0.2">
      <c r="A1491" s="28">
        <v>1490</v>
      </c>
      <c r="B1491" s="28" t="s">
        <v>2149</v>
      </c>
      <c r="C1491" s="28" t="s">
        <v>2138</v>
      </c>
      <c r="D1491" s="28" t="s">
        <v>2139</v>
      </c>
      <c r="E1491" s="28" t="s">
        <v>211</v>
      </c>
      <c r="F1491" s="28" t="s">
        <v>212</v>
      </c>
      <c r="G1491" s="28" t="s">
        <v>2150</v>
      </c>
      <c r="H1491" s="28">
        <v>6870054</v>
      </c>
      <c r="I1491" s="28">
        <v>210259</v>
      </c>
      <c r="J1491" s="28">
        <v>0.99</v>
      </c>
      <c r="K1491" s="28">
        <v>7</v>
      </c>
      <c r="L1491" s="28">
        <v>1</v>
      </c>
    </row>
    <row r="1492" spans="1:12" ht="14.25" customHeight="1" x14ac:dyDescent="0.2">
      <c r="A1492" s="28">
        <v>1491</v>
      </c>
      <c r="B1492" s="28" t="s">
        <v>2151</v>
      </c>
      <c r="C1492" s="28" t="s">
        <v>2138</v>
      </c>
      <c r="D1492" s="28" t="s">
        <v>2139</v>
      </c>
      <c r="E1492" s="28" t="s">
        <v>211</v>
      </c>
      <c r="F1492" s="28" t="s">
        <v>212</v>
      </c>
      <c r="G1492" s="28" t="s">
        <v>2139</v>
      </c>
      <c r="H1492" s="28">
        <v>7002331</v>
      </c>
      <c r="I1492" s="28">
        <v>216293</v>
      </c>
      <c r="J1492" s="28">
        <v>0.99</v>
      </c>
      <c r="K1492" s="28">
        <v>80</v>
      </c>
      <c r="L1492" s="28">
        <v>1</v>
      </c>
    </row>
    <row r="1493" spans="1:12" ht="14.25" customHeight="1" x14ac:dyDescent="0.2">
      <c r="A1493" s="28">
        <v>1492</v>
      </c>
      <c r="B1493" s="28" t="s">
        <v>2152</v>
      </c>
      <c r="C1493" s="28" t="s">
        <v>2138</v>
      </c>
      <c r="D1493" s="28" t="s">
        <v>2139</v>
      </c>
      <c r="E1493" s="28" t="s">
        <v>211</v>
      </c>
      <c r="F1493" s="28" t="s">
        <v>212</v>
      </c>
      <c r="G1493" s="28" t="s">
        <v>2139</v>
      </c>
      <c r="H1493" s="28">
        <v>5597056</v>
      </c>
      <c r="I1493" s="28">
        <v>171572</v>
      </c>
      <c r="J1493" s="28">
        <v>0.99</v>
      </c>
      <c r="K1493" s="28">
        <v>11</v>
      </c>
      <c r="L1493" s="28">
        <v>0</v>
      </c>
    </row>
    <row r="1494" spans="1:12" ht="14.25" customHeight="1" x14ac:dyDescent="0.2">
      <c r="A1494" s="28">
        <v>1493</v>
      </c>
      <c r="B1494" s="28" t="s">
        <v>2153</v>
      </c>
      <c r="C1494" s="28" t="s">
        <v>2138</v>
      </c>
      <c r="D1494" s="28" t="s">
        <v>2139</v>
      </c>
      <c r="E1494" s="28" t="s">
        <v>211</v>
      </c>
      <c r="F1494" s="28" t="s">
        <v>212</v>
      </c>
      <c r="G1494" s="28" t="s">
        <v>2139</v>
      </c>
      <c r="H1494" s="28">
        <v>6398044</v>
      </c>
      <c r="I1494" s="28">
        <v>196388</v>
      </c>
      <c r="J1494" s="28">
        <v>0.99</v>
      </c>
      <c r="K1494" s="28">
        <v>2</v>
      </c>
      <c r="L1494" s="28">
        <v>0</v>
      </c>
    </row>
    <row r="1495" spans="1:12" ht="14.25" customHeight="1" x14ac:dyDescent="0.2">
      <c r="A1495" s="28">
        <v>1494</v>
      </c>
      <c r="B1495" s="28" t="s">
        <v>2154</v>
      </c>
      <c r="C1495" s="28" t="s">
        <v>2138</v>
      </c>
      <c r="D1495" s="28" t="s">
        <v>2139</v>
      </c>
      <c r="E1495" s="28" t="s">
        <v>211</v>
      </c>
      <c r="F1495" s="28" t="s">
        <v>212</v>
      </c>
      <c r="G1495" s="28" t="s">
        <v>2139</v>
      </c>
      <c r="H1495" s="28">
        <v>6540638</v>
      </c>
      <c r="I1495" s="28">
        <v>200463</v>
      </c>
      <c r="J1495" s="28">
        <v>0.99</v>
      </c>
      <c r="K1495" s="28">
        <v>83</v>
      </c>
      <c r="L1495" s="28">
        <v>1</v>
      </c>
    </row>
    <row r="1496" spans="1:12" ht="14.25" customHeight="1" x14ac:dyDescent="0.2">
      <c r="A1496" s="28">
        <v>1495</v>
      </c>
      <c r="B1496" s="28" t="s">
        <v>2155</v>
      </c>
      <c r="C1496" s="28" t="s">
        <v>2138</v>
      </c>
      <c r="D1496" s="28" t="s">
        <v>2139</v>
      </c>
      <c r="E1496" s="28" t="s">
        <v>211</v>
      </c>
      <c r="F1496" s="28" t="s">
        <v>212</v>
      </c>
      <c r="G1496" s="28" t="s">
        <v>2139</v>
      </c>
      <c r="H1496" s="28">
        <v>6887949</v>
      </c>
      <c r="I1496" s="28">
        <v>212453</v>
      </c>
      <c r="J1496" s="28">
        <v>0.99</v>
      </c>
      <c r="K1496" s="28">
        <v>70</v>
      </c>
      <c r="L1496" s="28">
        <v>1</v>
      </c>
    </row>
    <row r="1497" spans="1:12" ht="14.25" customHeight="1" x14ac:dyDescent="0.2">
      <c r="A1497" s="28">
        <v>1496</v>
      </c>
      <c r="B1497" s="28" t="s">
        <v>2156</v>
      </c>
      <c r="C1497" s="28" t="s">
        <v>2157</v>
      </c>
      <c r="D1497" s="28" t="s">
        <v>2158</v>
      </c>
      <c r="E1497" s="28" t="s">
        <v>216</v>
      </c>
      <c r="F1497" s="28" t="s">
        <v>212</v>
      </c>
      <c r="G1497" s="28"/>
      <c r="H1497" s="28">
        <v>4418504</v>
      </c>
      <c r="I1497" s="28">
        <v>263707</v>
      </c>
      <c r="J1497" s="28">
        <v>0.99</v>
      </c>
      <c r="K1497" s="28">
        <v>83</v>
      </c>
      <c r="L1497" s="28">
        <v>0</v>
      </c>
    </row>
    <row r="1498" spans="1:12" ht="14.25" customHeight="1" x14ac:dyDescent="0.2">
      <c r="A1498" s="28">
        <v>1497</v>
      </c>
      <c r="B1498" s="28" t="s">
        <v>2159</v>
      </c>
      <c r="C1498" s="28" t="s">
        <v>2157</v>
      </c>
      <c r="D1498" s="28" t="s">
        <v>2158</v>
      </c>
      <c r="E1498" s="28" t="s">
        <v>216</v>
      </c>
      <c r="F1498" s="28" t="s">
        <v>212</v>
      </c>
      <c r="G1498" s="28"/>
      <c r="H1498" s="28">
        <v>4036215</v>
      </c>
      <c r="I1498" s="28">
        <v>239721</v>
      </c>
      <c r="J1498" s="28">
        <v>0.99</v>
      </c>
      <c r="K1498" s="28">
        <v>59</v>
      </c>
      <c r="L1498" s="28">
        <v>0</v>
      </c>
    </row>
    <row r="1499" spans="1:12" ht="14.25" customHeight="1" x14ac:dyDescent="0.2">
      <c r="A1499" s="28">
        <v>1498</v>
      </c>
      <c r="B1499" s="28" t="s">
        <v>2160</v>
      </c>
      <c r="C1499" s="28" t="s">
        <v>2157</v>
      </c>
      <c r="D1499" s="28" t="s">
        <v>2158</v>
      </c>
      <c r="E1499" s="28" t="s">
        <v>216</v>
      </c>
      <c r="F1499" s="28" t="s">
        <v>212</v>
      </c>
      <c r="G1499" s="28"/>
      <c r="H1499" s="28">
        <v>5232158</v>
      </c>
      <c r="I1499" s="28">
        <v>314768</v>
      </c>
      <c r="J1499" s="28">
        <v>0.99</v>
      </c>
      <c r="K1499" s="28">
        <v>44</v>
      </c>
      <c r="L1499" s="28">
        <v>0</v>
      </c>
    </row>
    <row r="1500" spans="1:12" ht="14.25" customHeight="1" x14ac:dyDescent="0.2">
      <c r="A1500" s="28">
        <v>1499</v>
      </c>
      <c r="B1500" s="28" t="s">
        <v>2161</v>
      </c>
      <c r="C1500" s="28" t="s">
        <v>2157</v>
      </c>
      <c r="D1500" s="28" t="s">
        <v>2158</v>
      </c>
      <c r="E1500" s="28" t="s">
        <v>216</v>
      </c>
      <c r="F1500" s="28" t="s">
        <v>212</v>
      </c>
      <c r="G1500" s="28"/>
      <c r="H1500" s="28">
        <v>3435777</v>
      </c>
      <c r="I1500" s="28">
        <v>202035</v>
      </c>
      <c r="J1500" s="28">
        <v>0.99</v>
      </c>
      <c r="K1500" s="28">
        <v>17</v>
      </c>
      <c r="L1500" s="28">
        <v>1</v>
      </c>
    </row>
    <row r="1501" spans="1:12" ht="14.25" customHeight="1" x14ac:dyDescent="0.2">
      <c r="A1501" s="28">
        <v>1500</v>
      </c>
      <c r="B1501" s="28" t="s">
        <v>2162</v>
      </c>
      <c r="C1501" s="28" t="s">
        <v>2157</v>
      </c>
      <c r="D1501" s="28" t="s">
        <v>2158</v>
      </c>
      <c r="E1501" s="28" t="s">
        <v>216</v>
      </c>
      <c r="F1501" s="28" t="s">
        <v>212</v>
      </c>
      <c r="G1501" s="28"/>
      <c r="H1501" s="28">
        <v>3300654</v>
      </c>
      <c r="I1501" s="28">
        <v>193560</v>
      </c>
      <c r="J1501" s="28">
        <v>0.99</v>
      </c>
      <c r="K1501" s="28">
        <v>64</v>
      </c>
      <c r="L1501" s="28">
        <v>1</v>
      </c>
    </row>
    <row r="1502" spans="1:12" ht="14.25" customHeight="1" x14ac:dyDescent="0.2">
      <c r="A1502" s="28">
        <v>1501</v>
      </c>
      <c r="B1502" s="28" t="s">
        <v>2163</v>
      </c>
      <c r="C1502" s="28" t="s">
        <v>2157</v>
      </c>
      <c r="D1502" s="28" t="s">
        <v>2158</v>
      </c>
      <c r="E1502" s="28" t="s">
        <v>216</v>
      </c>
      <c r="F1502" s="28" t="s">
        <v>212</v>
      </c>
      <c r="G1502" s="28" t="s">
        <v>2164</v>
      </c>
      <c r="H1502" s="28">
        <v>1944738</v>
      </c>
      <c r="I1502" s="28">
        <v>108435</v>
      </c>
      <c r="J1502" s="28">
        <v>0.99</v>
      </c>
      <c r="K1502" s="28">
        <v>28</v>
      </c>
      <c r="L1502" s="28">
        <v>0</v>
      </c>
    </row>
    <row r="1503" spans="1:12" ht="14.25" customHeight="1" x14ac:dyDescent="0.2">
      <c r="A1503" s="28">
        <v>1502</v>
      </c>
      <c r="B1503" s="28" t="s">
        <v>2165</v>
      </c>
      <c r="C1503" s="28" t="s">
        <v>2157</v>
      </c>
      <c r="D1503" s="28" t="s">
        <v>2158</v>
      </c>
      <c r="E1503" s="28" t="s">
        <v>216</v>
      </c>
      <c r="F1503" s="28" t="s">
        <v>212</v>
      </c>
      <c r="G1503" s="28"/>
      <c r="H1503" s="28">
        <v>3548553</v>
      </c>
      <c r="I1503" s="28">
        <v>209071</v>
      </c>
      <c r="J1503" s="28">
        <v>0.99</v>
      </c>
      <c r="K1503" s="28">
        <v>54</v>
      </c>
      <c r="L1503" s="28">
        <v>0</v>
      </c>
    </row>
    <row r="1504" spans="1:12" ht="14.25" customHeight="1" x14ac:dyDescent="0.2">
      <c r="A1504" s="28">
        <v>1503</v>
      </c>
      <c r="B1504" s="28" t="s">
        <v>2166</v>
      </c>
      <c r="C1504" s="28" t="s">
        <v>2157</v>
      </c>
      <c r="D1504" s="28" t="s">
        <v>2158</v>
      </c>
      <c r="E1504" s="28" t="s">
        <v>216</v>
      </c>
      <c r="F1504" s="28" t="s">
        <v>212</v>
      </c>
      <c r="G1504" s="28" t="s">
        <v>2164</v>
      </c>
      <c r="H1504" s="28">
        <v>4809279</v>
      </c>
      <c r="I1504" s="28">
        <v>288227</v>
      </c>
      <c r="J1504" s="28">
        <v>0.99</v>
      </c>
      <c r="K1504" s="28">
        <v>40</v>
      </c>
      <c r="L1504" s="28">
        <v>1</v>
      </c>
    </row>
    <row r="1505" spans="1:12" ht="14.25" customHeight="1" x14ac:dyDescent="0.2">
      <c r="A1505" s="28">
        <v>1504</v>
      </c>
      <c r="B1505" s="28" t="s">
        <v>857</v>
      </c>
      <c r="C1505" s="28" t="s">
        <v>2157</v>
      </c>
      <c r="D1505" s="28" t="s">
        <v>2158</v>
      </c>
      <c r="E1505" s="28" t="s">
        <v>216</v>
      </c>
      <c r="F1505" s="28" t="s">
        <v>212</v>
      </c>
      <c r="G1505" s="28" t="s">
        <v>2164</v>
      </c>
      <c r="H1505" s="28">
        <v>1851753</v>
      </c>
      <c r="I1505" s="28">
        <v>102630</v>
      </c>
      <c r="J1505" s="28">
        <v>0.99</v>
      </c>
      <c r="K1505" s="28">
        <v>12</v>
      </c>
      <c r="L1505" s="28">
        <v>1</v>
      </c>
    </row>
    <row r="1506" spans="1:12" ht="14.25" customHeight="1" x14ac:dyDescent="0.2">
      <c r="A1506" s="28">
        <v>1505</v>
      </c>
      <c r="B1506" s="28" t="s">
        <v>2167</v>
      </c>
      <c r="C1506" s="28" t="s">
        <v>2157</v>
      </c>
      <c r="D1506" s="28" t="s">
        <v>2158</v>
      </c>
      <c r="E1506" s="28" t="s">
        <v>216</v>
      </c>
      <c r="F1506" s="28" t="s">
        <v>212</v>
      </c>
      <c r="G1506" s="28" t="s">
        <v>2164</v>
      </c>
      <c r="H1506" s="28">
        <v>5595557</v>
      </c>
      <c r="I1506" s="28">
        <v>337570</v>
      </c>
      <c r="J1506" s="28">
        <v>0.99</v>
      </c>
      <c r="K1506" s="28">
        <v>94</v>
      </c>
      <c r="L1506" s="28">
        <v>0</v>
      </c>
    </row>
    <row r="1507" spans="1:12" ht="14.25" customHeight="1" x14ac:dyDescent="0.2">
      <c r="A1507" s="28">
        <v>1506</v>
      </c>
      <c r="B1507" s="28" t="s">
        <v>2168</v>
      </c>
      <c r="C1507" s="28" t="s">
        <v>2169</v>
      </c>
      <c r="D1507" s="28" t="s">
        <v>491</v>
      </c>
      <c r="E1507" s="28" t="s">
        <v>211</v>
      </c>
      <c r="F1507" s="28" t="s">
        <v>490</v>
      </c>
      <c r="G1507" s="28"/>
      <c r="H1507" s="28">
        <v>10211473</v>
      </c>
      <c r="I1507" s="28">
        <v>310073</v>
      </c>
      <c r="J1507" s="28">
        <v>0.99</v>
      </c>
      <c r="K1507" s="28">
        <v>85</v>
      </c>
      <c r="L1507" s="28">
        <v>0</v>
      </c>
    </row>
    <row r="1508" spans="1:12" ht="14.25" customHeight="1" x14ac:dyDescent="0.2">
      <c r="A1508" s="28">
        <v>1507</v>
      </c>
      <c r="B1508" s="28" t="s">
        <v>2170</v>
      </c>
      <c r="C1508" s="28" t="s">
        <v>2169</v>
      </c>
      <c r="D1508" s="28" t="s">
        <v>491</v>
      </c>
      <c r="E1508" s="28" t="s">
        <v>211</v>
      </c>
      <c r="F1508" s="28" t="s">
        <v>490</v>
      </c>
      <c r="G1508" s="28"/>
      <c r="H1508" s="28">
        <v>12010478</v>
      </c>
      <c r="I1508" s="28">
        <v>355239</v>
      </c>
      <c r="J1508" s="28">
        <v>0.99</v>
      </c>
      <c r="K1508" s="28">
        <v>7</v>
      </c>
      <c r="L1508" s="28">
        <v>0</v>
      </c>
    </row>
    <row r="1509" spans="1:12" ht="14.25" customHeight="1" x14ac:dyDescent="0.2">
      <c r="A1509" s="28">
        <v>1508</v>
      </c>
      <c r="B1509" s="28" t="s">
        <v>2171</v>
      </c>
      <c r="C1509" s="28" t="s">
        <v>2169</v>
      </c>
      <c r="D1509" s="28" t="s">
        <v>491</v>
      </c>
      <c r="E1509" s="28" t="s">
        <v>211</v>
      </c>
      <c r="F1509" s="28" t="s">
        <v>490</v>
      </c>
      <c r="G1509" s="28"/>
      <c r="H1509" s="28">
        <v>9488316</v>
      </c>
      <c r="I1509" s="28">
        <v>283062</v>
      </c>
      <c r="J1509" s="28">
        <v>0.99</v>
      </c>
      <c r="K1509" s="28">
        <v>33</v>
      </c>
      <c r="L1509" s="28">
        <v>1</v>
      </c>
    </row>
    <row r="1510" spans="1:12" ht="14.25" customHeight="1" x14ac:dyDescent="0.2">
      <c r="A1510" s="28">
        <v>1509</v>
      </c>
      <c r="B1510" s="28" t="s">
        <v>2172</v>
      </c>
      <c r="C1510" s="28" t="s">
        <v>2169</v>
      </c>
      <c r="D1510" s="28" t="s">
        <v>491</v>
      </c>
      <c r="E1510" s="28" t="s">
        <v>211</v>
      </c>
      <c r="F1510" s="28" t="s">
        <v>490</v>
      </c>
      <c r="G1510" s="28"/>
      <c r="H1510" s="28">
        <v>11314756</v>
      </c>
      <c r="I1510" s="28">
        <v>343484</v>
      </c>
      <c r="J1510" s="28">
        <v>0.99</v>
      </c>
      <c r="K1510" s="28">
        <v>72</v>
      </c>
      <c r="L1510" s="28">
        <v>1</v>
      </c>
    </row>
    <row r="1511" spans="1:12" ht="14.25" customHeight="1" x14ac:dyDescent="0.2">
      <c r="A1511" s="28">
        <v>1510</v>
      </c>
      <c r="B1511" s="28" t="s">
        <v>2173</v>
      </c>
      <c r="C1511" s="28" t="s">
        <v>2169</v>
      </c>
      <c r="D1511" s="28" t="s">
        <v>491</v>
      </c>
      <c r="E1511" s="28" t="s">
        <v>211</v>
      </c>
      <c r="F1511" s="28" t="s">
        <v>490</v>
      </c>
      <c r="G1511" s="28"/>
      <c r="H1511" s="28">
        <v>10599953</v>
      </c>
      <c r="I1511" s="28">
        <v>317100</v>
      </c>
      <c r="J1511" s="28">
        <v>0.99</v>
      </c>
      <c r="K1511" s="28">
        <v>46</v>
      </c>
      <c r="L1511" s="28">
        <v>0</v>
      </c>
    </row>
    <row r="1512" spans="1:12" ht="14.25" customHeight="1" x14ac:dyDescent="0.2">
      <c r="A1512" s="28">
        <v>1511</v>
      </c>
      <c r="B1512" s="28" t="s">
        <v>2174</v>
      </c>
      <c r="C1512" s="28" t="s">
        <v>2169</v>
      </c>
      <c r="D1512" s="28" t="s">
        <v>491</v>
      </c>
      <c r="E1512" s="28" t="s">
        <v>211</v>
      </c>
      <c r="F1512" s="28" t="s">
        <v>490</v>
      </c>
      <c r="G1512" s="28"/>
      <c r="H1512" s="28">
        <v>14946972</v>
      </c>
      <c r="I1512" s="28">
        <v>452519</v>
      </c>
      <c r="J1512" s="28">
        <v>0.99</v>
      </c>
      <c r="K1512" s="28">
        <v>94</v>
      </c>
      <c r="L1512" s="28">
        <v>0</v>
      </c>
    </row>
    <row r="1513" spans="1:12" ht="14.25" customHeight="1" x14ac:dyDescent="0.2">
      <c r="A1513" s="28">
        <v>1512</v>
      </c>
      <c r="B1513" s="28" t="s">
        <v>2175</v>
      </c>
      <c r="C1513" s="28" t="s">
        <v>2169</v>
      </c>
      <c r="D1513" s="28" t="s">
        <v>491</v>
      </c>
      <c r="E1513" s="28" t="s">
        <v>211</v>
      </c>
      <c r="F1513" s="28" t="s">
        <v>490</v>
      </c>
      <c r="G1513" s="28"/>
      <c r="H1513" s="28">
        <v>12304520</v>
      </c>
      <c r="I1513" s="28">
        <v>367281</v>
      </c>
      <c r="J1513" s="28">
        <v>0.99</v>
      </c>
      <c r="K1513" s="28">
        <v>38</v>
      </c>
      <c r="L1513" s="28">
        <v>1</v>
      </c>
    </row>
    <row r="1514" spans="1:12" ht="14.25" customHeight="1" x14ac:dyDescent="0.2">
      <c r="A1514" s="28">
        <v>1513</v>
      </c>
      <c r="B1514" s="28" t="s">
        <v>2176</v>
      </c>
      <c r="C1514" s="28" t="s">
        <v>2169</v>
      </c>
      <c r="D1514" s="28" t="s">
        <v>491</v>
      </c>
      <c r="E1514" s="28" t="s">
        <v>211</v>
      </c>
      <c r="F1514" s="28" t="s">
        <v>490</v>
      </c>
      <c r="G1514" s="28"/>
      <c r="H1514" s="28">
        <v>13022833</v>
      </c>
      <c r="I1514" s="28">
        <v>389276</v>
      </c>
      <c r="J1514" s="28">
        <v>0.99</v>
      </c>
      <c r="K1514" s="28">
        <v>34</v>
      </c>
      <c r="L1514" s="28">
        <v>1</v>
      </c>
    </row>
    <row r="1515" spans="1:12" ht="14.25" customHeight="1" x14ac:dyDescent="0.2">
      <c r="A1515" s="28">
        <v>1514</v>
      </c>
      <c r="B1515" s="28" t="s">
        <v>2177</v>
      </c>
      <c r="C1515" s="28" t="s">
        <v>2169</v>
      </c>
      <c r="D1515" s="28" t="s">
        <v>491</v>
      </c>
      <c r="E1515" s="28" t="s">
        <v>211</v>
      </c>
      <c r="F1515" s="28" t="s">
        <v>490</v>
      </c>
      <c r="G1515" s="28"/>
      <c r="H1515" s="28">
        <v>10724982</v>
      </c>
      <c r="I1515" s="28">
        <v>326321</v>
      </c>
      <c r="J1515" s="28">
        <v>0.99</v>
      </c>
      <c r="K1515" s="28">
        <v>16</v>
      </c>
      <c r="L1515" s="28">
        <v>0</v>
      </c>
    </row>
    <row r="1516" spans="1:12" ht="14.25" customHeight="1" x14ac:dyDescent="0.2">
      <c r="A1516" s="28">
        <v>1515</v>
      </c>
      <c r="B1516" s="28" t="s">
        <v>2178</v>
      </c>
      <c r="C1516" s="28" t="s">
        <v>2169</v>
      </c>
      <c r="D1516" s="28" t="s">
        <v>491</v>
      </c>
      <c r="E1516" s="28" t="s">
        <v>211</v>
      </c>
      <c r="F1516" s="28" t="s">
        <v>490</v>
      </c>
      <c r="G1516" s="28"/>
      <c r="H1516" s="28">
        <v>6393818</v>
      </c>
      <c r="I1516" s="28">
        <v>191477</v>
      </c>
      <c r="J1516" s="28">
        <v>0.99</v>
      </c>
      <c r="K1516" s="28">
        <v>1</v>
      </c>
      <c r="L1516" s="28">
        <v>0</v>
      </c>
    </row>
    <row r="1517" spans="1:12" ht="14.25" customHeight="1" x14ac:dyDescent="0.2">
      <c r="A1517" s="28">
        <v>1516</v>
      </c>
      <c r="B1517" s="28" t="s">
        <v>2179</v>
      </c>
      <c r="C1517" s="28" t="s">
        <v>2169</v>
      </c>
      <c r="D1517" s="28" t="s">
        <v>491</v>
      </c>
      <c r="E1517" s="28" t="s">
        <v>211</v>
      </c>
      <c r="F1517" s="28" t="s">
        <v>490</v>
      </c>
      <c r="G1517" s="28"/>
      <c r="H1517" s="28">
        <v>10996656</v>
      </c>
      <c r="I1517" s="28">
        <v>338076</v>
      </c>
      <c r="J1517" s="28">
        <v>0.99</v>
      </c>
      <c r="K1517" s="28">
        <v>77</v>
      </c>
      <c r="L1517" s="28">
        <v>0</v>
      </c>
    </row>
    <row r="1518" spans="1:12" ht="14.25" customHeight="1" x14ac:dyDescent="0.2">
      <c r="A1518" s="28">
        <v>1517</v>
      </c>
      <c r="B1518" s="28" t="s">
        <v>2180</v>
      </c>
      <c r="C1518" s="28" t="s">
        <v>2169</v>
      </c>
      <c r="D1518" s="28" t="s">
        <v>491</v>
      </c>
      <c r="E1518" s="28" t="s">
        <v>211</v>
      </c>
      <c r="F1518" s="28" t="s">
        <v>490</v>
      </c>
      <c r="G1518" s="28"/>
      <c r="H1518" s="28">
        <v>12524725</v>
      </c>
      <c r="I1518" s="28">
        <v>380081</v>
      </c>
      <c r="J1518" s="28">
        <v>0.99</v>
      </c>
      <c r="K1518" s="28">
        <v>72</v>
      </c>
      <c r="L1518" s="28">
        <v>1</v>
      </c>
    </row>
    <row r="1519" spans="1:12" ht="14.25" customHeight="1" x14ac:dyDescent="0.2">
      <c r="A1519" s="28">
        <v>1518</v>
      </c>
      <c r="B1519" s="28" t="s">
        <v>2181</v>
      </c>
      <c r="C1519" s="28" t="s">
        <v>2169</v>
      </c>
      <c r="D1519" s="28" t="s">
        <v>491</v>
      </c>
      <c r="E1519" s="28" t="s">
        <v>211</v>
      </c>
      <c r="F1519" s="28" t="s">
        <v>490</v>
      </c>
      <c r="G1519" s="28"/>
      <c r="H1519" s="28">
        <v>7498259</v>
      </c>
      <c r="I1519" s="28">
        <v>227526</v>
      </c>
      <c r="J1519" s="28">
        <v>0.99</v>
      </c>
      <c r="K1519" s="28">
        <v>50</v>
      </c>
      <c r="L1519" s="28">
        <v>1</v>
      </c>
    </row>
    <row r="1520" spans="1:12" ht="14.25" customHeight="1" x14ac:dyDescent="0.2">
      <c r="A1520" s="28">
        <v>1519</v>
      </c>
      <c r="B1520" s="28" t="s">
        <v>2182</v>
      </c>
      <c r="C1520" s="28" t="s">
        <v>2169</v>
      </c>
      <c r="D1520" s="28" t="s">
        <v>491</v>
      </c>
      <c r="E1520" s="28" t="s">
        <v>211</v>
      </c>
      <c r="F1520" s="28" t="s">
        <v>490</v>
      </c>
      <c r="G1520" s="28"/>
      <c r="H1520" s="28">
        <v>9502898</v>
      </c>
      <c r="I1520" s="28">
        <v>289750</v>
      </c>
      <c r="J1520" s="28">
        <v>0.99</v>
      </c>
      <c r="K1520" s="28">
        <v>7</v>
      </c>
      <c r="L1520" s="28">
        <v>0</v>
      </c>
    </row>
    <row r="1521" spans="1:12" ht="14.25" customHeight="1" x14ac:dyDescent="0.2">
      <c r="A1521" s="28">
        <v>1520</v>
      </c>
      <c r="B1521" s="28" t="s">
        <v>2183</v>
      </c>
      <c r="C1521" s="28" t="s">
        <v>2184</v>
      </c>
      <c r="D1521" s="28" t="s">
        <v>2185</v>
      </c>
      <c r="E1521" s="28" t="s">
        <v>211</v>
      </c>
      <c r="F1521" s="28" t="s">
        <v>490</v>
      </c>
      <c r="G1521" s="28"/>
      <c r="H1521" s="28">
        <v>8470107</v>
      </c>
      <c r="I1521" s="28">
        <v>252238</v>
      </c>
      <c r="J1521" s="28">
        <v>0.99</v>
      </c>
      <c r="K1521" s="28">
        <v>4</v>
      </c>
      <c r="L1521" s="28">
        <v>0</v>
      </c>
    </row>
    <row r="1522" spans="1:12" ht="14.25" customHeight="1" x14ac:dyDescent="0.2">
      <c r="A1522" s="28">
        <v>1521</v>
      </c>
      <c r="B1522" s="28" t="s">
        <v>2186</v>
      </c>
      <c r="C1522" s="28" t="s">
        <v>2184</v>
      </c>
      <c r="D1522" s="28" t="s">
        <v>2185</v>
      </c>
      <c r="E1522" s="28" t="s">
        <v>211</v>
      </c>
      <c r="F1522" s="28" t="s">
        <v>490</v>
      </c>
      <c r="G1522" s="28" t="s">
        <v>2187</v>
      </c>
      <c r="H1522" s="28">
        <v>8537092</v>
      </c>
      <c r="I1522" s="28">
        <v>255477</v>
      </c>
      <c r="J1522" s="28">
        <v>0.99</v>
      </c>
      <c r="K1522" s="28">
        <v>56</v>
      </c>
      <c r="L1522" s="28">
        <v>1</v>
      </c>
    </row>
    <row r="1523" spans="1:12" ht="14.25" customHeight="1" x14ac:dyDescent="0.2">
      <c r="A1523" s="28">
        <v>1522</v>
      </c>
      <c r="B1523" s="28" t="s">
        <v>2188</v>
      </c>
      <c r="C1523" s="28" t="s">
        <v>2184</v>
      </c>
      <c r="D1523" s="28" t="s">
        <v>2185</v>
      </c>
      <c r="E1523" s="28" t="s">
        <v>211</v>
      </c>
      <c r="F1523" s="28" t="s">
        <v>490</v>
      </c>
      <c r="G1523" s="28"/>
      <c r="H1523" s="28">
        <v>10053718</v>
      </c>
      <c r="I1523" s="28">
        <v>300878</v>
      </c>
      <c r="J1523" s="28">
        <v>0.99</v>
      </c>
      <c r="K1523" s="28">
        <v>43</v>
      </c>
      <c r="L1523" s="28">
        <v>1</v>
      </c>
    </row>
    <row r="1524" spans="1:12" ht="14.25" customHeight="1" x14ac:dyDescent="0.2">
      <c r="A1524" s="28">
        <v>1523</v>
      </c>
      <c r="B1524" s="28" t="s">
        <v>2189</v>
      </c>
      <c r="C1524" s="28" t="s">
        <v>2184</v>
      </c>
      <c r="D1524" s="28" t="s">
        <v>2185</v>
      </c>
      <c r="E1524" s="28" t="s">
        <v>211</v>
      </c>
      <c r="F1524" s="28" t="s">
        <v>490</v>
      </c>
      <c r="G1524" s="28"/>
      <c r="H1524" s="28">
        <v>8431821</v>
      </c>
      <c r="I1524" s="28">
        <v>253231</v>
      </c>
      <c r="J1524" s="28">
        <v>0.99</v>
      </c>
      <c r="K1524" s="28">
        <v>21</v>
      </c>
      <c r="L1524" s="28">
        <v>0</v>
      </c>
    </row>
    <row r="1525" spans="1:12" ht="14.25" customHeight="1" x14ac:dyDescent="0.2">
      <c r="A1525" s="28">
        <v>1524</v>
      </c>
      <c r="B1525" s="28" t="s">
        <v>2190</v>
      </c>
      <c r="C1525" s="28" t="s">
        <v>2184</v>
      </c>
      <c r="D1525" s="28" t="s">
        <v>2185</v>
      </c>
      <c r="E1525" s="28" t="s">
        <v>211</v>
      </c>
      <c r="F1525" s="28" t="s">
        <v>490</v>
      </c>
      <c r="G1525" s="28"/>
      <c r="H1525" s="28">
        <v>9004470</v>
      </c>
      <c r="I1525" s="28">
        <v>270027</v>
      </c>
      <c r="J1525" s="28">
        <v>0.99</v>
      </c>
      <c r="K1525" s="28">
        <v>55</v>
      </c>
      <c r="L1525" s="28">
        <v>0</v>
      </c>
    </row>
    <row r="1526" spans="1:12" ht="14.25" customHeight="1" x14ac:dyDescent="0.2">
      <c r="A1526" s="28">
        <v>1525</v>
      </c>
      <c r="B1526" s="28" t="s">
        <v>2191</v>
      </c>
      <c r="C1526" s="28" t="s">
        <v>2184</v>
      </c>
      <c r="D1526" s="28" t="s">
        <v>2185</v>
      </c>
      <c r="E1526" s="28" t="s">
        <v>211</v>
      </c>
      <c r="F1526" s="28" t="s">
        <v>490</v>
      </c>
      <c r="G1526" s="28"/>
      <c r="H1526" s="28">
        <v>8887216</v>
      </c>
      <c r="I1526" s="28">
        <v>269897</v>
      </c>
      <c r="J1526" s="28">
        <v>0.99</v>
      </c>
      <c r="K1526" s="28">
        <v>10</v>
      </c>
      <c r="L1526" s="28">
        <v>0</v>
      </c>
    </row>
    <row r="1527" spans="1:12" ht="14.25" customHeight="1" x14ac:dyDescent="0.2">
      <c r="A1527" s="28">
        <v>1526</v>
      </c>
      <c r="B1527" s="28" t="s">
        <v>2192</v>
      </c>
      <c r="C1527" s="28" t="s">
        <v>2184</v>
      </c>
      <c r="D1527" s="28" t="s">
        <v>2185</v>
      </c>
      <c r="E1527" s="28" t="s">
        <v>211</v>
      </c>
      <c r="F1527" s="28" t="s">
        <v>490</v>
      </c>
      <c r="G1527" s="28" t="s">
        <v>2193</v>
      </c>
      <c r="H1527" s="28">
        <v>7437935</v>
      </c>
      <c r="I1527" s="28">
        <v>224078</v>
      </c>
      <c r="J1527" s="28">
        <v>0.99</v>
      </c>
      <c r="K1527" s="28">
        <v>80</v>
      </c>
      <c r="L1527" s="28">
        <v>1</v>
      </c>
    </row>
    <row r="1528" spans="1:12" ht="14.25" customHeight="1" x14ac:dyDescent="0.2">
      <c r="A1528" s="28">
        <v>1527</v>
      </c>
      <c r="B1528" s="28" t="s">
        <v>2194</v>
      </c>
      <c r="C1528" s="28" t="s">
        <v>2184</v>
      </c>
      <c r="D1528" s="28" t="s">
        <v>2185</v>
      </c>
      <c r="E1528" s="28" t="s">
        <v>211</v>
      </c>
      <c r="F1528" s="28" t="s">
        <v>490</v>
      </c>
      <c r="G1528" s="28"/>
      <c r="H1528" s="28">
        <v>7583799</v>
      </c>
      <c r="I1528" s="28">
        <v>229093</v>
      </c>
      <c r="J1528" s="28">
        <v>0.99</v>
      </c>
      <c r="K1528" s="28">
        <v>46</v>
      </c>
      <c r="L1528" s="28">
        <v>1</v>
      </c>
    </row>
    <row r="1529" spans="1:12" ht="14.25" customHeight="1" x14ac:dyDescent="0.2">
      <c r="A1529" s="28">
        <v>1528</v>
      </c>
      <c r="B1529" s="28" t="s">
        <v>2195</v>
      </c>
      <c r="C1529" s="28" t="s">
        <v>2184</v>
      </c>
      <c r="D1529" s="28" t="s">
        <v>2185</v>
      </c>
      <c r="E1529" s="28" t="s">
        <v>211</v>
      </c>
      <c r="F1529" s="28" t="s">
        <v>490</v>
      </c>
      <c r="G1529" s="28"/>
      <c r="H1529" s="28">
        <v>8836127</v>
      </c>
      <c r="I1529" s="28">
        <v>266919</v>
      </c>
      <c r="J1529" s="28">
        <v>0.99</v>
      </c>
      <c r="K1529" s="28">
        <v>92</v>
      </c>
      <c r="L1529" s="28">
        <v>0</v>
      </c>
    </row>
    <row r="1530" spans="1:12" ht="14.25" customHeight="1" x14ac:dyDescent="0.2">
      <c r="A1530" s="28">
        <v>1529</v>
      </c>
      <c r="B1530" s="28" t="s">
        <v>2196</v>
      </c>
      <c r="C1530" s="28" t="s">
        <v>2184</v>
      </c>
      <c r="D1530" s="28" t="s">
        <v>2185</v>
      </c>
      <c r="E1530" s="28" t="s">
        <v>211</v>
      </c>
      <c r="F1530" s="28" t="s">
        <v>490</v>
      </c>
      <c r="G1530" s="28"/>
      <c r="H1530" s="28">
        <v>4299676</v>
      </c>
      <c r="I1530" s="28">
        <v>128078</v>
      </c>
      <c r="J1530" s="28">
        <v>0.99</v>
      </c>
      <c r="K1530" s="28">
        <v>1</v>
      </c>
      <c r="L1530" s="28">
        <v>0</v>
      </c>
    </row>
    <row r="1531" spans="1:12" ht="14.25" customHeight="1" x14ac:dyDescent="0.2">
      <c r="A1531" s="28">
        <v>1530</v>
      </c>
      <c r="B1531" s="28" t="s">
        <v>2197</v>
      </c>
      <c r="C1531" s="28" t="s">
        <v>2184</v>
      </c>
      <c r="D1531" s="28" t="s">
        <v>2185</v>
      </c>
      <c r="E1531" s="28" t="s">
        <v>211</v>
      </c>
      <c r="F1531" s="28" t="s">
        <v>490</v>
      </c>
      <c r="G1531" s="28"/>
      <c r="H1531" s="28">
        <v>8292108</v>
      </c>
      <c r="I1531" s="28">
        <v>250462</v>
      </c>
      <c r="J1531" s="28">
        <v>0.99</v>
      </c>
      <c r="K1531" s="28">
        <v>51</v>
      </c>
      <c r="L1531" s="28">
        <v>1</v>
      </c>
    </row>
    <row r="1532" spans="1:12" ht="14.25" customHeight="1" x14ac:dyDescent="0.2">
      <c r="A1532" s="28">
        <v>1531</v>
      </c>
      <c r="B1532" s="28" t="s">
        <v>2198</v>
      </c>
      <c r="C1532" s="28" t="s">
        <v>2184</v>
      </c>
      <c r="D1532" s="28" t="s">
        <v>2185</v>
      </c>
      <c r="E1532" s="28" t="s">
        <v>211</v>
      </c>
      <c r="F1532" s="28" t="s">
        <v>490</v>
      </c>
      <c r="G1532" s="28"/>
      <c r="H1532" s="28">
        <v>10474904</v>
      </c>
      <c r="I1532" s="28">
        <v>315977</v>
      </c>
      <c r="J1532" s="28">
        <v>0.99</v>
      </c>
      <c r="K1532" s="28">
        <v>33</v>
      </c>
      <c r="L1532" s="28">
        <v>1</v>
      </c>
    </row>
    <row r="1533" spans="1:12" ht="14.25" customHeight="1" x14ac:dyDescent="0.2">
      <c r="A1533" s="28">
        <v>1532</v>
      </c>
      <c r="B1533" s="28" t="s">
        <v>2199</v>
      </c>
      <c r="C1533" s="28" t="s">
        <v>2200</v>
      </c>
      <c r="D1533" s="28" t="s">
        <v>2201</v>
      </c>
      <c r="E1533" s="28" t="s">
        <v>211</v>
      </c>
      <c r="F1533" s="28" t="s">
        <v>2202</v>
      </c>
      <c r="G1533" s="28" t="s">
        <v>2201</v>
      </c>
      <c r="H1533" s="28">
        <v>9632269</v>
      </c>
      <c r="I1533" s="28">
        <v>284107</v>
      </c>
      <c r="J1533" s="28">
        <v>0.99</v>
      </c>
      <c r="K1533" s="28">
        <v>53</v>
      </c>
      <c r="L1533" s="28">
        <v>0</v>
      </c>
    </row>
    <row r="1534" spans="1:12" ht="14.25" customHeight="1" x14ac:dyDescent="0.2">
      <c r="A1534" s="28">
        <v>1533</v>
      </c>
      <c r="B1534" s="28" t="s">
        <v>2203</v>
      </c>
      <c r="C1534" s="28" t="s">
        <v>2200</v>
      </c>
      <c r="D1534" s="28" t="s">
        <v>2201</v>
      </c>
      <c r="E1534" s="28" t="s">
        <v>211</v>
      </c>
      <c r="F1534" s="28" t="s">
        <v>2202</v>
      </c>
      <c r="G1534" s="28" t="s">
        <v>2201</v>
      </c>
      <c r="H1534" s="28">
        <v>6400532</v>
      </c>
      <c r="I1534" s="28">
        <v>190484</v>
      </c>
      <c r="J1534" s="28">
        <v>0.99</v>
      </c>
      <c r="K1534" s="28">
        <v>22</v>
      </c>
      <c r="L1534" s="28">
        <v>0</v>
      </c>
    </row>
    <row r="1535" spans="1:12" ht="14.25" customHeight="1" x14ac:dyDescent="0.2">
      <c r="A1535" s="28">
        <v>1534</v>
      </c>
      <c r="B1535" s="28" t="s">
        <v>2204</v>
      </c>
      <c r="C1535" s="28" t="s">
        <v>2200</v>
      </c>
      <c r="D1535" s="28" t="s">
        <v>2201</v>
      </c>
      <c r="E1535" s="28" t="s">
        <v>211</v>
      </c>
      <c r="F1535" s="28" t="s">
        <v>2202</v>
      </c>
      <c r="G1535" s="28" t="s">
        <v>2201</v>
      </c>
      <c r="H1535" s="28">
        <v>7764601</v>
      </c>
      <c r="I1535" s="28">
        <v>230582</v>
      </c>
      <c r="J1535" s="28">
        <v>0.99</v>
      </c>
      <c r="K1535" s="28">
        <v>29</v>
      </c>
      <c r="L1535" s="28">
        <v>0</v>
      </c>
    </row>
    <row r="1536" spans="1:12" ht="14.25" customHeight="1" x14ac:dyDescent="0.2">
      <c r="A1536" s="28">
        <v>1535</v>
      </c>
      <c r="B1536" s="28" t="s">
        <v>2205</v>
      </c>
      <c r="C1536" s="28" t="s">
        <v>2200</v>
      </c>
      <c r="D1536" s="28" t="s">
        <v>2201</v>
      </c>
      <c r="E1536" s="28" t="s">
        <v>211</v>
      </c>
      <c r="F1536" s="28" t="s">
        <v>2202</v>
      </c>
      <c r="G1536" s="28" t="s">
        <v>2201</v>
      </c>
      <c r="H1536" s="28">
        <v>6056200</v>
      </c>
      <c r="I1536" s="28">
        <v>182308</v>
      </c>
      <c r="J1536" s="28">
        <v>0.99</v>
      </c>
      <c r="K1536" s="28">
        <v>91</v>
      </c>
      <c r="L1536" s="28">
        <v>1</v>
      </c>
    </row>
    <row r="1537" spans="1:12" ht="14.25" customHeight="1" x14ac:dyDescent="0.2">
      <c r="A1537" s="28">
        <v>1536</v>
      </c>
      <c r="B1537" s="28" t="s">
        <v>2206</v>
      </c>
      <c r="C1537" s="28" t="s">
        <v>2200</v>
      </c>
      <c r="D1537" s="28" t="s">
        <v>2201</v>
      </c>
      <c r="E1537" s="28" t="s">
        <v>211</v>
      </c>
      <c r="F1537" s="28" t="s">
        <v>2202</v>
      </c>
      <c r="G1537" s="28" t="s">
        <v>2201</v>
      </c>
      <c r="H1537" s="28">
        <v>8077282</v>
      </c>
      <c r="I1537" s="28">
        <v>241084</v>
      </c>
      <c r="J1537" s="28">
        <v>0.99</v>
      </c>
      <c r="K1537" s="28">
        <v>76</v>
      </c>
      <c r="L1537" s="28">
        <v>1</v>
      </c>
    </row>
    <row r="1538" spans="1:12" ht="14.25" customHeight="1" x14ac:dyDescent="0.2">
      <c r="A1538" s="28">
        <v>1537</v>
      </c>
      <c r="B1538" s="28" t="s">
        <v>2207</v>
      </c>
      <c r="C1538" s="28" t="s">
        <v>2200</v>
      </c>
      <c r="D1538" s="28" t="s">
        <v>2201</v>
      </c>
      <c r="E1538" s="28" t="s">
        <v>211</v>
      </c>
      <c r="F1538" s="28" t="s">
        <v>2202</v>
      </c>
      <c r="G1538" s="28" t="s">
        <v>2201</v>
      </c>
      <c r="H1538" s="28">
        <v>9081874</v>
      </c>
      <c r="I1538" s="28">
        <v>270628</v>
      </c>
      <c r="J1538" s="28">
        <v>0.99</v>
      </c>
      <c r="K1538" s="28">
        <v>28</v>
      </c>
      <c r="L1538" s="28">
        <v>0</v>
      </c>
    </row>
    <row r="1539" spans="1:12" ht="14.25" customHeight="1" x14ac:dyDescent="0.2">
      <c r="A1539" s="28">
        <v>1538</v>
      </c>
      <c r="B1539" s="28" t="s">
        <v>2208</v>
      </c>
      <c r="C1539" s="28" t="s">
        <v>2200</v>
      </c>
      <c r="D1539" s="28" t="s">
        <v>2201</v>
      </c>
      <c r="E1539" s="28" t="s">
        <v>211</v>
      </c>
      <c r="F1539" s="28" t="s">
        <v>2202</v>
      </c>
      <c r="G1539" s="28" t="s">
        <v>2201</v>
      </c>
      <c r="H1539" s="28">
        <v>8452654</v>
      </c>
      <c r="I1539" s="28">
        <v>251768</v>
      </c>
      <c r="J1539" s="28">
        <v>0.99</v>
      </c>
      <c r="K1539" s="28">
        <v>10</v>
      </c>
      <c r="L1539" s="28">
        <v>0</v>
      </c>
    </row>
    <row r="1540" spans="1:12" ht="14.25" customHeight="1" x14ac:dyDescent="0.2">
      <c r="A1540" s="28">
        <v>1539</v>
      </c>
      <c r="B1540" s="28" t="s">
        <v>2209</v>
      </c>
      <c r="C1540" s="28" t="s">
        <v>2200</v>
      </c>
      <c r="D1540" s="28" t="s">
        <v>2201</v>
      </c>
      <c r="E1540" s="28" t="s">
        <v>211</v>
      </c>
      <c r="F1540" s="28" t="s">
        <v>2202</v>
      </c>
      <c r="G1540" s="28" t="s">
        <v>2201</v>
      </c>
      <c r="H1540" s="28">
        <v>8871455</v>
      </c>
      <c r="I1540" s="28">
        <v>269008</v>
      </c>
      <c r="J1540" s="28">
        <v>0.99</v>
      </c>
      <c r="K1540" s="28">
        <v>72</v>
      </c>
      <c r="L1540" s="28">
        <v>1</v>
      </c>
    </row>
    <row r="1541" spans="1:12" ht="14.25" customHeight="1" x14ac:dyDescent="0.2">
      <c r="A1541" s="28">
        <v>1540</v>
      </c>
      <c r="B1541" s="28" t="s">
        <v>2210</v>
      </c>
      <c r="C1541" s="28" t="s">
        <v>2200</v>
      </c>
      <c r="D1541" s="28" t="s">
        <v>2201</v>
      </c>
      <c r="E1541" s="28" t="s">
        <v>211</v>
      </c>
      <c r="F1541" s="28" t="s">
        <v>2202</v>
      </c>
      <c r="G1541" s="28" t="s">
        <v>2201</v>
      </c>
      <c r="H1541" s="28">
        <v>7257390</v>
      </c>
      <c r="I1541" s="28">
        <v>213263</v>
      </c>
      <c r="J1541" s="28">
        <v>0.99</v>
      </c>
      <c r="K1541" s="28">
        <v>68</v>
      </c>
      <c r="L1541" s="28">
        <v>1</v>
      </c>
    </row>
    <row r="1542" spans="1:12" ht="14.25" customHeight="1" x14ac:dyDescent="0.2">
      <c r="A1542" s="28">
        <v>1541</v>
      </c>
      <c r="B1542" s="28" t="s">
        <v>2211</v>
      </c>
      <c r="C1542" s="28" t="s">
        <v>2200</v>
      </c>
      <c r="D1542" s="28" t="s">
        <v>2201</v>
      </c>
      <c r="E1542" s="28" t="s">
        <v>211</v>
      </c>
      <c r="F1542" s="28" t="s">
        <v>2202</v>
      </c>
      <c r="G1542" s="28" t="s">
        <v>2201</v>
      </c>
      <c r="H1542" s="28">
        <v>3948371</v>
      </c>
      <c r="I1542" s="28">
        <v>118804</v>
      </c>
      <c r="J1542" s="28">
        <v>0.99</v>
      </c>
      <c r="K1542" s="28">
        <v>59</v>
      </c>
      <c r="L1542" s="28">
        <v>0</v>
      </c>
    </row>
    <row r="1543" spans="1:12" ht="14.25" customHeight="1" x14ac:dyDescent="0.2">
      <c r="A1543" s="28">
        <v>1542</v>
      </c>
      <c r="B1543" s="28" t="s">
        <v>2212</v>
      </c>
      <c r="C1543" s="28" t="s">
        <v>2200</v>
      </c>
      <c r="D1543" s="28" t="s">
        <v>2201</v>
      </c>
      <c r="E1543" s="28" t="s">
        <v>211</v>
      </c>
      <c r="F1543" s="28" t="s">
        <v>2202</v>
      </c>
      <c r="G1543" s="28" t="s">
        <v>2201</v>
      </c>
      <c r="H1543" s="28">
        <v>6774566</v>
      </c>
      <c r="I1543" s="28">
        <v>203415</v>
      </c>
      <c r="J1543" s="28">
        <v>0.99</v>
      </c>
      <c r="K1543" s="28">
        <v>77</v>
      </c>
      <c r="L1543" s="28">
        <v>0</v>
      </c>
    </row>
    <row r="1544" spans="1:12" ht="14.25" customHeight="1" x14ac:dyDescent="0.2">
      <c r="A1544" s="28">
        <v>1543</v>
      </c>
      <c r="B1544" s="28" t="s">
        <v>2213</v>
      </c>
      <c r="C1544" s="28" t="s">
        <v>2200</v>
      </c>
      <c r="D1544" s="28" t="s">
        <v>2201</v>
      </c>
      <c r="E1544" s="28" t="s">
        <v>211</v>
      </c>
      <c r="F1544" s="28" t="s">
        <v>2202</v>
      </c>
      <c r="G1544" s="28" t="s">
        <v>2201</v>
      </c>
      <c r="H1544" s="28">
        <v>7104588</v>
      </c>
      <c r="I1544" s="28">
        <v>208457</v>
      </c>
      <c r="J1544" s="28">
        <v>0.99</v>
      </c>
      <c r="K1544" s="28">
        <v>81</v>
      </c>
      <c r="L1544" s="28">
        <v>0</v>
      </c>
    </row>
    <row r="1545" spans="1:12" ht="14.25" customHeight="1" x14ac:dyDescent="0.2">
      <c r="A1545" s="28">
        <v>1544</v>
      </c>
      <c r="B1545" s="28" t="s">
        <v>2200</v>
      </c>
      <c r="C1545" s="28" t="s">
        <v>2200</v>
      </c>
      <c r="D1545" s="28" t="s">
        <v>2201</v>
      </c>
      <c r="E1545" s="28" t="s">
        <v>211</v>
      </c>
      <c r="F1545" s="28" t="s">
        <v>2202</v>
      </c>
      <c r="G1545" s="28" t="s">
        <v>2201</v>
      </c>
      <c r="H1545" s="28">
        <v>6031174</v>
      </c>
      <c r="I1545" s="28">
        <v>180924</v>
      </c>
      <c r="J1545" s="28">
        <v>0.99</v>
      </c>
      <c r="K1545" s="28">
        <v>56</v>
      </c>
      <c r="L1545" s="28">
        <v>1</v>
      </c>
    </row>
    <row r="1546" spans="1:12" ht="14.25" customHeight="1" x14ac:dyDescent="0.2">
      <c r="A1546" s="28">
        <v>1545</v>
      </c>
      <c r="B1546" s="28" t="s">
        <v>2214</v>
      </c>
      <c r="C1546" s="28" t="s">
        <v>2200</v>
      </c>
      <c r="D1546" s="28" t="s">
        <v>2201</v>
      </c>
      <c r="E1546" s="28" t="s">
        <v>211</v>
      </c>
      <c r="F1546" s="28" t="s">
        <v>2202</v>
      </c>
      <c r="G1546" s="28" t="s">
        <v>2201</v>
      </c>
      <c r="H1546" s="28">
        <v>7248336</v>
      </c>
      <c r="I1546" s="28">
        <v>220891</v>
      </c>
      <c r="J1546" s="28">
        <v>0.99</v>
      </c>
      <c r="K1546" s="28">
        <v>28</v>
      </c>
      <c r="L1546" s="28">
        <v>1</v>
      </c>
    </row>
    <row r="1547" spans="1:12" ht="14.25" customHeight="1" x14ac:dyDescent="0.2">
      <c r="A1547" s="28">
        <v>1546</v>
      </c>
      <c r="B1547" s="28" t="s">
        <v>2215</v>
      </c>
      <c r="C1547" s="28" t="s">
        <v>2216</v>
      </c>
      <c r="D1547" s="28" t="s">
        <v>2217</v>
      </c>
      <c r="E1547" s="28" t="s">
        <v>211</v>
      </c>
      <c r="F1547" s="28" t="s">
        <v>322</v>
      </c>
      <c r="G1547" s="28"/>
      <c r="H1547" s="28">
        <v>6720789</v>
      </c>
      <c r="I1547" s="28">
        <v>205792</v>
      </c>
      <c r="J1547" s="28">
        <v>0.99</v>
      </c>
      <c r="K1547" s="28">
        <v>72</v>
      </c>
      <c r="L1547" s="28">
        <v>0</v>
      </c>
    </row>
    <row r="1548" spans="1:12" ht="14.25" customHeight="1" x14ac:dyDescent="0.2">
      <c r="A1548" s="28">
        <v>1547</v>
      </c>
      <c r="B1548" s="28" t="s">
        <v>2216</v>
      </c>
      <c r="C1548" s="28" t="s">
        <v>2216</v>
      </c>
      <c r="D1548" s="28" t="s">
        <v>2217</v>
      </c>
      <c r="E1548" s="28" t="s">
        <v>211</v>
      </c>
      <c r="F1548" s="28" t="s">
        <v>322</v>
      </c>
      <c r="G1548" s="28"/>
      <c r="H1548" s="28">
        <v>7056785</v>
      </c>
      <c r="I1548" s="28">
        <v>213289</v>
      </c>
      <c r="J1548" s="28">
        <v>0.99</v>
      </c>
      <c r="K1548" s="28">
        <v>37</v>
      </c>
      <c r="L1548" s="28">
        <v>0</v>
      </c>
    </row>
    <row r="1549" spans="1:12" ht="14.25" customHeight="1" x14ac:dyDescent="0.2">
      <c r="A1549" s="28">
        <v>1548</v>
      </c>
      <c r="B1549" s="28" t="s">
        <v>2218</v>
      </c>
      <c r="C1549" s="28" t="s">
        <v>2216</v>
      </c>
      <c r="D1549" s="28" t="s">
        <v>2217</v>
      </c>
      <c r="E1549" s="28" t="s">
        <v>211</v>
      </c>
      <c r="F1549" s="28" t="s">
        <v>322</v>
      </c>
      <c r="G1549" s="28"/>
      <c r="H1549" s="28">
        <v>4728246</v>
      </c>
      <c r="I1549" s="28">
        <v>144195</v>
      </c>
      <c r="J1549" s="28">
        <v>0.99</v>
      </c>
      <c r="K1549" s="28">
        <v>21</v>
      </c>
      <c r="L1549" s="28">
        <v>0</v>
      </c>
    </row>
    <row r="1550" spans="1:12" ht="14.25" customHeight="1" x14ac:dyDescent="0.2">
      <c r="A1550" s="28">
        <v>1549</v>
      </c>
      <c r="B1550" s="28" t="s">
        <v>2219</v>
      </c>
      <c r="C1550" s="28" t="s">
        <v>2216</v>
      </c>
      <c r="D1550" s="28" t="s">
        <v>2217</v>
      </c>
      <c r="E1550" s="28" t="s">
        <v>211</v>
      </c>
      <c r="F1550" s="28" t="s">
        <v>322</v>
      </c>
      <c r="G1550" s="28"/>
      <c r="H1550" s="28">
        <v>6509179</v>
      </c>
      <c r="I1550" s="28">
        <v>197328</v>
      </c>
      <c r="J1550" s="28">
        <v>0.99</v>
      </c>
      <c r="K1550" s="28">
        <v>77</v>
      </c>
      <c r="L1550" s="28">
        <v>1</v>
      </c>
    </row>
    <row r="1551" spans="1:12" ht="14.25" customHeight="1" x14ac:dyDescent="0.2">
      <c r="A1551" s="28">
        <v>1550</v>
      </c>
      <c r="B1551" s="28" t="s">
        <v>2220</v>
      </c>
      <c r="C1551" s="28" t="s">
        <v>2216</v>
      </c>
      <c r="D1551" s="28" t="s">
        <v>2217</v>
      </c>
      <c r="E1551" s="28" t="s">
        <v>211</v>
      </c>
      <c r="F1551" s="28" t="s">
        <v>322</v>
      </c>
      <c r="G1551" s="28"/>
      <c r="H1551" s="28">
        <v>9006022</v>
      </c>
      <c r="I1551" s="28">
        <v>276427</v>
      </c>
      <c r="J1551" s="28">
        <v>0.99</v>
      </c>
      <c r="K1551" s="28">
        <v>39</v>
      </c>
      <c r="L1551" s="28">
        <v>0</v>
      </c>
    </row>
    <row r="1552" spans="1:12" ht="14.25" customHeight="1" x14ac:dyDescent="0.2">
      <c r="A1552" s="28">
        <v>1551</v>
      </c>
      <c r="B1552" s="28" t="s">
        <v>2221</v>
      </c>
      <c r="C1552" s="28" t="s">
        <v>2216</v>
      </c>
      <c r="D1552" s="28" t="s">
        <v>2217</v>
      </c>
      <c r="E1552" s="28" t="s">
        <v>211</v>
      </c>
      <c r="F1552" s="28" t="s">
        <v>322</v>
      </c>
      <c r="G1552" s="28"/>
      <c r="H1552" s="28">
        <v>1351993</v>
      </c>
      <c r="I1552" s="28">
        <v>41900</v>
      </c>
      <c r="J1552" s="28">
        <v>0.99</v>
      </c>
      <c r="K1552" s="28">
        <v>46</v>
      </c>
      <c r="L1552" s="28">
        <v>0</v>
      </c>
    </row>
    <row r="1553" spans="1:12" ht="14.25" customHeight="1" x14ac:dyDescent="0.2">
      <c r="A1553" s="28">
        <v>1552</v>
      </c>
      <c r="B1553" s="28" t="s">
        <v>2222</v>
      </c>
      <c r="C1553" s="28" t="s">
        <v>2216</v>
      </c>
      <c r="D1553" s="28" t="s">
        <v>2217</v>
      </c>
      <c r="E1553" s="28" t="s">
        <v>211</v>
      </c>
      <c r="F1553" s="28" t="s">
        <v>322</v>
      </c>
      <c r="G1553" s="28"/>
      <c r="H1553" s="28">
        <v>7231368</v>
      </c>
      <c r="I1553" s="28">
        <v>222197</v>
      </c>
      <c r="J1553" s="28">
        <v>0.99</v>
      </c>
      <c r="K1553" s="28">
        <v>98</v>
      </c>
      <c r="L1553" s="28">
        <v>0</v>
      </c>
    </row>
    <row r="1554" spans="1:12" ht="14.25" customHeight="1" x14ac:dyDescent="0.2">
      <c r="A1554" s="28">
        <v>1553</v>
      </c>
      <c r="B1554" s="28" t="s">
        <v>2223</v>
      </c>
      <c r="C1554" s="28" t="s">
        <v>2216</v>
      </c>
      <c r="D1554" s="28" t="s">
        <v>2217</v>
      </c>
      <c r="E1554" s="28" t="s">
        <v>211</v>
      </c>
      <c r="F1554" s="28" t="s">
        <v>322</v>
      </c>
      <c r="G1554" s="28"/>
      <c r="H1554" s="28">
        <v>9962558</v>
      </c>
      <c r="I1554" s="28">
        <v>305162</v>
      </c>
      <c r="J1554" s="28">
        <v>0.99</v>
      </c>
      <c r="K1554" s="28">
        <v>32</v>
      </c>
      <c r="L1554" s="28">
        <v>2</v>
      </c>
    </row>
    <row r="1555" spans="1:12" ht="14.25" customHeight="1" x14ac:dyDescent="0.2">
      <c r="A1555" s="28">
        <v>1554</v>
      </c>
      <c r="B1555" s="28" t="s">
        <v>2224</v>
      </c>
      <c r="C1555" s="28" t="s">
        <v>2216</v>
      </c>
      <c r="D1555" s="28" t="s">
        <v>2217</v>
      </c>
      <c r="E1555" s="28" t="s">
        <v>211</v>
      </c>
      <c r="F1555" s="28" t="s">
        <v>322</v>
      </c>
      <c r="G1555" s="28"/>
      <c r="H1555" s="28">
        <v>11068866</v>
      </c>
      <c r="I1555" s="28">
        <v>335542</v>
      </c>
      <c r="J1555" s="28">
        <v>0.99</v>
      </c>
      <c r="K1555" s="28">
        <v>44</v>
      </c>
      <c r="L1555" s="28">
        <v>2</v>
      </c>
    </row>
    <row r="1556" spans="1:12" ht="14.25" customHeight="1" x14ac:dyDescent="0.2">
      <c r="A1556" s="28">
        <v>1555</v>
      </c>
      <c r="B1556" s="28" t="s">
        <v>2225</v>
      </c>
      <c r="C1556" s="28" t="s">
        <v>2216</v>
      </c>
      <c r="D1556" s="28" t="s">
        <v>2217</v>
      </c>
      <c r="E1556" s="28" t="s">
        <v>211</v>
      </c>
      <c r="F1556" s="28" t="s">
        <v>322</v>
      </c>
      <c r="G1556" s="28"/>
      <c r="H1556" s="28">
        <v>8713599</v>
      </c>
      <c r="I1556" s="28">
        <v>265952</v>
      </c>
      <c r="J1556" s="28">
        <v>0.99</v>
      </c>
      <c r="K1556" s="28">
        <v>97</v>
      </c>
      <c r="L1556" s="28">
        <v>1</v>
      </c>
    </row>
    <row r="1557" spans="1:12" ht="14.25" customHeight="1" x14ac:dyDescent="0.2">
      <c r="A1557" s="28">
        <v>1556</v>
      </c>
      <c r="B1557" s="28" t="s">
        <v>2226</v>
      </c>
      <c r="C1557" s="28" t="s">
        <v>2216</v>
      </c>
      <c r="D1557" s="28" t="s">
        <v>2217</v>
      </c>
      <c r="E1557" s="28" t="s">
        <v>211</v>
      </c>
      <c r="F1557" s="28" t="s">
        <v>322</v>
      </c>
      <c r="G1557" s="28"/>
      <c r="H1557" s="28">
        <v>8198617</v>
      </c>
      <c r="I1557" s="28">
        <v>249939</v>
      </c>
      <c r="J1557" s="28">
        <v>0.99</v>
      </c>
      <c r="K1557" s="28">
        <v>57</v>
      </c>
      <c r="L1557" s="28">
        <v>0</v>
      </c>
    </row>
    <row r="1558" spans="1:12" ht="14.25" customHeight="1" x14ac:dyDescent="0.2">
      <c r="A1558" s="28">
        <v>1557</v>
      </c>
      <c r="B1558" s="28" t="s">
        <v>2227</v>
      </c>
      <c r="C1558" s="28" t="s">
        <v>2216</v>
      </c>
      <c r="D1558" s="28" t="s">
        <v>2217</v>
      </c>
      <c r="E1558" s="28" t="s">
        <v>211</v>
      </c>
      <c r="F1558" s="28" t="s">
        <v>322</v>
      </c>
      <c r="G1558" s="28"/>
      <c r="H1558" s="28">
        <v>9390646</v>
      </c>
      <c r="I1558" s="28">
        <v>290664</v>
      </c>
      <c r="J1558" s="28">
        <v>0.99</v>
      </c>
      <c r="K1558" s="28">
        <v>17</v>
      </c>
      <c r="L1558" s="28">
        <v>1</v>
      </c>
    </row>
    <row r="1559" spans="1:12" ht="14.25" customHeight="1" x14ac:dyDescent="0.2">
      <c r="A1559" s="28">
        <v>1558</v>
      </c>
      <c r="B1559" s="28" t="s">
        <v>2228</v>
      </c>
      <c r="C1559" s="28" t="s">
        <v>2216</v>
      </c>
      <c r="D1559" s="28" t="s">
        <v>2217</v>
      </c>
      <c r="E1559" s="28" t="s">
        <v>211</v>
      </c>
      <c r="F1559" s="28" t="s">
        <v>322</v>
      </c>
      <c r="G1559" s="28"/>
      <c r="H1559" s="28">
        <v>9554023</v>
      </c>
      <c r="I1559" s="28">
        <v>292179</v>
      </c>
      <c r="J1559" s="28">
        <v>0.99</v>
      </c>
      <c r="K1559" s="28">
        <v>63</v>
      </c>
      <c r="L1559" s="28">
        <v>1</v>
      </c>
    </row>
    <row r="1560" spans="1:12" ht="14.25" customHeight="1" x14ac:dyDescent="0.2">
      <c r="A1560" s="28">
        <v>1559</v>
      </c>
      <c r="B1560" s="28" t="s">
        <v>2229</v>
      </c>
      <c r="C1560" s="28" t="s">
        <v>2216</v>
      </c>
      <c r="D1560" s="28" t="s">
        <v>2217</v>
      </c>
      <c r="E1560" s="28" t="s">
        <v>211</v>
      </c>
      <c r="F1560" s="28" t="s">
        <v>322</v>
      </c>
      <c r="G1560" s="28"/>
      <c r="H1560" s="28">
        <v>7163147</v>
      </c>
      <c r="I1560" s="28">
        <v>219350</v>
      </c>
      <c r="J1560" s="28">
        <v>0.99</v>
      </c>
      <c r="K1560" s="28">
        <v>65</v>
      </c>
      <c r="L1560" s="28">
        <v>1</v>
      </c>
    </row>
    <row r="1561" spans="1:12" ht="14.25" customHeight="1" x14ac:dyDescent="0.2">
      <c r="A1561" s="28">
        <v>1560</v>
      </c>
      <c r="B1561" s="28" t="s">
        <v>2230</v>
      </c>
      <c r="C1561" s="28" t="s">
        <v>2216</v>
      </c>
      <c r="D1561" s="28" t="s">
        <v>2217</v>
      </c>
      <c r="E1561" s="28" t="s">
        <v>211</v>
      </c>
      <c r="F1561" s="28" t="s">
        <v>322</v>
      </c>
      <c r="G1561" s="28"/>
      <c r="H1561" s="28">
        <v>14067512</v>
      </c>
      <c r="I1561" s="28">
        <v>430942</v>
      </c>
      <c r="J1561" s="28">
        <v>0.99</v>
      </c>
      <c r="K1561" s="28">
        <v>53</v>
      </c>
      <c r="L1561" s="28">
        <v>0</v>
      </c>
    </row>
    <row r="1562" spans="1:12" ht="14.25" customHeight="1" x14ac:dyDescent="0.2">
      <c r="A1562" s="28">
        <v>1561</v>
      </c>
      <c r="B1562" s="28" t="s">
        <v>2231</v>
      </c>
      <c r="C1562" s="28" t="s">
        <v>2216</v>
      </c>
      <c r="D1562" s="28" t="s">
        <v>2217</v>
      </c>
      <c r="E1562" s="28" t="s">
        <v>211</v>
      </c>
      <c r="F1562" s="28" t="s">
        <v>322</v>
      </c>
      <c r="G1562" s="28"/>
      <c r="H1562" s="28">
        <v>9190536</v>
      </c>
      <c r="I1562" s="28">
        <v>282253</v>
      </c>
      <c r="J1562" s="28">
        <v>0.99</v>
      </c>
      <c r="K1562" s="28">
        <v>23</v>
      </c>
      <c r="L1562" s="28">
        <v>1</v>
      </c>
    </row>
    <row r="1563" spans="1:12" ht="14.25" customHeight="1" x14ac:dyDescent="0.2">
      <c r="A1563" s="28">
        <v>1562</v>
      </c>
      <c r="B1563" s="28" t="s">
        <v>1229</v>
      </c>
      <c r="C1563" s="28" t="s">
        <v>2232</v>
      </c>
      <c r="D1563" s="28" t="s">
        <v>821</v>
      </c>
      <c r="E1563" s="28" t="s">
        <v>211</v>
      </c>
      <c r="F1563" s="28" t="s">
        <v>212</v>
      </c>
      <c r="G1563" s="28" t="s">
        <v>2233</v>
      </c>
      <c r="H1563" s="28">
        <v>5661120</v>
      </c>
      <c r="I1563" s="28">
        <v>172068</v>
      </c>
      <c r="J1563" s="28">
        <v>0.99</v>
      </c>
      <c r="K1563" s="28">
        <v>17</v>
      </c>
      <c r="L1563" s="28">
        <v>1</v>
      </c>
    </row>
    <row r="1564" spans="1:12" ht="14.25" customHeight="1" x14ac:dyDescent="0.2">
      <c r="A1564" s="28">
        <v>1563</v>
      </c>
      <c r="B1564" s="28" t="s">
        <v>850</v>
      </c>
      <c r="C1564" s="28" t="s">
        <v>2232</v>
      </c>
      <c r="D1564" s="28" t="s">
        <v>821</v>
      </c>
      <c r="E1564" s="28" t="s">
        <v>211</v>
      </c>
      <c r="F1564" s="28" t="s">
        <v>212</v>
      </c>
      <c r="G1564" s="28" t="s">
        <v>830</v>
      </c>
      <c r="H1564" s="28">
        <v>6528719</v>
      </c>
      <c r="I1564" s="28">
        <v>198060</v>
      </c>
      <c r="J1564" s="28">
        <v>0.99</v>
      </c>
      <c r="K1564" s="28">
        <v>71</v>
      </c>
      <c r="L1564" s="28">
        <v>2</v>
      </c>
    </row>
    <row r="1565" spans="1:12" ht="14.25" customHeight="1" x14ac:dyDescent="0.2">
      <c r="A1565" s="28">
        <v>1564</v>
      </c>
      <c r="B1565" s="28" t="s">
        <v>831</v>
      </c>
      <c r="C1565" s="28" t="s">
        <v>2232</v>
      </c>
      <c r="D1565" s="28" t="s">
        <v>821</v>
      </c>
      <c r="E1565" s="28" t="s">
        <v>211</v>
      </c>
      <c r="F1565" s="28" t="s">
        <v>212</v>
      </c>
      <c r="G1565" s="28" t="s">
        <v>2234</v>
      </c>
      <c r="H1565" s="28">
        <v>7167523</v>
      </c>
      <c r="I1565" s="28">
        <v>217652</v>
      </c>
      <c r="J1565" s="28">
        <v>0.99</v>
      </c>
      <c r="K1565" s="28">
        <v>36</v>
      </c>
      <c r="L1565" s="28">
        <v>0</v>
      </c>
    </row>
    <row r="1566" spans="1:12" ht="14.25" customHeight="1" x14ac:dyDescent="0.2">
      <c r="A1566" s="28">
        <v>1565</v>
      </c>
      <c r="B1566" s="28" t="s">
        <v>835</v>
      </c>
      <c r="C1566" s="28" t="s">
        <v>2232</v>
      </c>
      <c r="D1566" s="28" t="s">
        <v>821</v>
      </c>
      <c r="E1566" s="28" t="s">
        <v>211</v>
      </c>
      <c r="F1566" s="28" t="s">
        <v>212</v>
      </c>
      <c r="G1566" s="28" t="s">
        <v>2235</v>
      </c>
      <c r="H1566" s="28">
        <v>6343111</v>
      </c>
      <c r="I1566" s="28">
        <v>193619</v>
      </c>
      <c r="J1566" s="28">
        <v>0.99</v>
      </c>
      <c r="K1566" s="28">
        <v>68</v>
      </c>
      <c r="L1566" s="28">
        <v>1</v>
      </c>
    </row>
    <row r="1567" spans="1:12" ht="14.25" customHeight="1" x14ac:dyDescent="0.2">
      <c r="A1567" s="28">
        <v>1566</v>
      </c>
      <c r="B1567" s="28" t="s">
        <v>2236</v>
      </c>
      <c r="C1567" s="28" t="s">
        <v>2232</v>
      </c>
      <c r="D1567" s="28" t="s">
        <v>821</v>
      </c>
      <c r="E1567" s="28" t="s">
        <v>211</v>
      </c>
      <c r="F1567" s="28" t="s">
        <v>212</v>
      </c>
      <c r="G1567" s="28" t="s">
        <v>830</v>
      </c>
      <c r="H1567" s="28">
        <v>7488191</v>
      </c>
      <c r="I1567" s="28">
        <v>226377</v>
      </c>
      <c r="J1567" s="28">
        <v>0.99</v>
      </c>
      <c r="K1567" s="28">
        <v>10</v>
      </c>
      <c r="L1567" s="28">
        <v>0</v>
      </c>
    </row>
    <row r="1568" spans="1:12" ht="14.25" customHeight="1" x14ac:dyDescent="0.2">
      <c r="A1568" s="28">
        <v>1567</v>
      </c>
      <c r="B1568" s="28" t="s">
        <v>826</v>
      </c>
      <c r="C1568" s="28" t="s">
        <v>2232</v>
      </c>
      <c r="D1568" s="28" t="s">
        <v>821</v>
      </c>
      <c r="E1568" s="28" t="s">
        <v>211</v>
      </c>
      <c r="F1568" s="28" t="s">
        <v>212</v>
      </c>
      <c r="G1568" s="28" t="s">
        <v>827</v>
      </c>
      <c r="H1568" s="28">
        <v>8375190</v>
      </c>
      <c r="I1568" s="28">
        <v>254354</v>
      </c>
      <c r="J1568" s="28">
        <v>0.99</v>
      </c>
      <c r="K1568" s="28">
        <v>21</v>
      </c>
      <c r="L1568" s="28">
        <v>2</v>
      </c>
    </row>
    <row r="1569" spans="1:12" ht="14.25" customHeight="1" x14ac:dyDescent="0.2">
      <c r="A1569" s="28">
        <v>1568</v>
      </c>
      <c r="B1569" s="28" t="s">
        <v>2237</v>
      </c>
      <c r="C1569" s="28" t="s">
        <v>2232</v>
      </c>
      <c r="D1569" s="28" t="s">
        <v>821</v>
      </c>
      <c r="E1569" s="28" t="s">
        <v>211</v>
      </c>
      <c r="F1569" s="28" t="s">
        <v>212</v>
      </c>
      <c r="G1569" s="28" t="s">
        <v>2238</v>
      </c>
      <c r="H1569" s="28">
        <v>5832524</v>
      </c>
      <c r="I1569" s="28">
        <v>177815</v>
      </c>
      <c r="J1569" s="28">
        <v>0.99</v>
      </c>
      <c r="K1569" s="28">
        <v>9</v>
      </c>
      <c r="L1569" s="28">
        <v>0</v>
      </c>
    </row>
    <row r="1570" spans="1:12" ht="14.25" customHeight="1" x14ac:dyDescent="0.2">
      <c r="A1570" s="28">
        <v>1569</v>
      </c>
      <c r="B1570" s="28" t="s">
        <v>2239</v>
      </c>
      <c r="C1570" s="28" t="s">
        <v>2232</v>
      </c>
      <c r="D1570" s="28" t="s">
        <v>821</v>
      </c>
      <c r="E1570" s="28" t="s">
        <v>211</v>
      </c>
      <c r="F1570" s="28" t="s">
        <v>212</v>
      </c>
      <c r="G1570" s="28" t="s">
        <v>2233</v>
      </c>
      <c r="H1570" s="28">
        <v>6560818</v>
      </c>
      <c r="I1570" s="28">
        <v>200594</v>
      </c>
      <c r="J1570" s="28">
        <v>0.99</v>
      </c>
      <c r="K1570" s="28">
        <v>74</v>
      </c>
      <c r="L1570" s="28">
        <v>0</v>
      </c>
    </row>
    <row r="1571" spans="1:12" ht="14.25" customHeight="1" x14ac:dyDescent="0.2">
      <c r="A1571" s="28">
        <v>1570</v>
      </c>
      <c r="B1571" s="28" t="s">
        <v>2240</v>
      </c>
      <c r="C1571" s="28" t="s">
        <v>2232</v>
      </c>
      <c r="D1571" s="28" t="s">
        <v>821</v>
      </c>
      <c r="E1571" s="28" t="s">
        <v>211</v>
      </c>
      <c r="F1571" s="28" t="s">
        <v>212</v>
      </c>
      <c r="G1571" s="28" t="s">
        <v>830</v>
      </c>
      <c r="H1571" s="28">
        <v>4817521</v>
      </c>
      <c r="I1571" s="28">
        <v>146494</v>
      </c>
      <c r="J1571" s="28">
        <v>0.99</v>
      </c>
      <c r="K1571" s="28">
        <v>19</v>
      </c>
      <c r="L1571" s="28">
        <v>0</v>
      </c>
    </row>
    <row r="1572" spans="1:12" ht="14.25" customHeight="1" x14ac:dyDescent="0.2">
      <c r="A1572" s="28">
        <v>1571</v>
      </c>
      <c r="B1572" s="28" t="s">
        <v>2241</v>
      </c>
      <c r="C1572" s="28" t="s">
        <v>2232</v>
      </c>
      <c r="D1572" s="28" t="s">
        <v>821</v>
      </c>
      <c r="E1572" s="28" t="s">
        <v>211</v>
      </c>
      <c r="F1572" s="28" t="s">
        <v>212</v>
      </c>
      <c r="G1572" s="28" t="s">
        <v>824</v>
      </c>
      <c r="H1572" s="28">
        <v>12086145</v>
      </c>
      <c r="I1572" s="28">
        <v>369815</v>
      </c>
      <c r="J1572" s="28">
        <v>0.99</v>
      </c>
      <c r="K1572" s="28">
        <v>59</v>
      </c>
      <c r="L1572" s="28">
        <v>1</v>
      </c>
    </row>
    <row r="1573" spans="1:12" ht="14.25" customHeight="1" x14ac:dyDescent="0.2">
      <c r="A1573" s="28">
        <v>1572</v>
      </c>
      <c r="B1573" s="28" t="s">
        <v>2242</v>
      </c>
      <c r="C1573" s="28" t="s">
        <v>2232</v>
      </c>
      <c r="D1573" s="28" t="s">
        <v>821</v>
      </c>
      <c r="E1573" s="28" t="s">
        <v>211</v>
      </c>
      <c r="F1573" s="28" t="s">
        <v>212</v>
      </c>
      <c r="G1573" s="28" t="s">
        <v>2243</v>
      </c>
      <c r="H1573" s="28">
        <v>9290948</v>
      </c>
      <c r="I1573" s="28">
        <v>283898</v>
      </c>
      <c r="J1573" s="28">
        <v>0.99</v>
      </c>
      <c r="K1573" s="28">
        <v>73</v>
      </c>
      <c r="L1573" s="28">
        <v>1</v>
      </c>
    </row>
    <row r="1574" spans="1:12" ht="14.25" customHeight="1" x14ac:dyDescent="0.2">
      <c r="A1574" s="28">
        <v>1573</v>
      </c>
      <c r="B1574" s="28" t="s">
        <v>2244</v>
      </c>
      <c r="C1574" s="28" t="s">
        <v>2232</v>
      </c>
      <c r="D1574" s="28" t="s">
        <v>821</v>
      </c>
      <c r="E1574" s="28" t="s">
        <v>211</v>
      </c>
      <c r="F1574" s="28" t="s">
        <v>212</v>
      </c>
      <c r="G1574" s="28" t="s">
        <v>2245</v>
      </c>
      <c r="H1574" s="28">
        <v>10292829</v>
      </c>
      <c r="I1574" s="28">
        <v>312450</v>
      </c>
      <c r="J1574" s="28">
        <v>0.99</v>
      </c>
      <c r="K1574" s="28">
        <v>68</v>
      </c>
      <c r="L1574" s="28">
        <v>0</v>
      </c>
    </row>
    <row r="1575" spans="1:12" ht="14.25" customHeight="1" x14ac:dyDescent="0.2">
      <c r="A1575" s="28">
        <v>1574</v>
      </c>
      <c r="B1575" s="28" t="s">
        <v>844</v>
      </c>
      <c r="C1575" s="28" t="s">
        <v>2232</v>
      </c>
      <c r="D1575" s="28" t="s">
        <v>821</v>
      </c>
      <c r="E1575" s="28" t="s">
        <v>211</v>
      </c>
      <c r="F1575" s="28" t="s">
        <v>212</v>
      </c>
      <c r="G1575" s="28" t="s">
        <v>2246</v>
      </c>
      <c r="H1575" s="28">
        <v>5577807</v>
      </c>
      <c r="I1575" s="28">
        <v>170187</v>
      </c>
      <c r="J1575" s="28">
        <v>0.99</v>
      </c>
      <c r="K1575" s="28">
        <v>42</v>
      </c>
      <c r="L1575" s="28">
        <v>0</v>
      </c>
    </row>
    <row r="1576" spans="1:12" ht="14.25" customHeight="1" x14ac:dyDescent="0.2">
      <c r="A1576" s="28">
        <v>1575</v>
      </c>
      <c r="B1576" s="28" t="s">
        <v>2247</v>
      </c>
      <c r="C1576" s="28" t="s">
        <v>2232</v>
      </c>
      <c r="D1576" s="28" t="s">
        <v>821</v>
      </c>
      <c r="E1576" s="28" t="s">
        <v>211</v>
      </c>
      <c r="F1576" s="28" t="s">
        <v>212</v>
      </c>
      <c r="G1576" s="28" t="s">
        <v>830</v>
      </c>
      <c r="H1576" s="28">
        <v>7351460</v>
      </c>
      <c r="I1576" s="28">
        <v>222354</v>
      </c>
      <c r="J1576" s="28">
        <v>0.99</v>
      </c>
      <c r="K1576" s="28">
        <v>48</v>
      </c>
      <c r="L1576" s="28">
        <v>1</v>
      </c>
    </row>
    <row r="1577" spans="1:12" ht="14.25" customHeight="1" x14ac:dyDescent="0.2">
      <c r="A1577" s="28">
        <v>1576</v>
      </c>
      <c r="B1577" s="28" t="s">
        <v>848</v>
      </c>
      <c r="C1577" s="28" t="s">
        <v>2232</v>
      </c>
      <c r="D1577" s="28" t="s">
        <v>821</v>
      </c>
      <c r="E1577" s="28" t="s">
        <v>211</v>
      </c>
      <c r="F1577" s="28" t="s">
        <v>212</v>
      </c>
      <c r="G1577" s="28" t="s">
        <v>847</v>
      </c>
      <c r="H1577" s="28">
        <v>8549296</v>
      </c>
      <c r="I1577" s="28">
        <v>259631</v>
      </c>
      <c r="J1577" s="28">
        <v>0.99</v>
      </c>
      <c r="K1577" s="28">
        <v>48</v>
      </c>
      <c r="L1577" s="28">
        <v>2</v>
      </c>
    </row>
    <row r="1578" spans="1:12" ht="14.25" customHeight="1" x14ac:dyDescent="0.2">
      <c r="A1578" s="28">
        <v>1577</v>
      </c>
      <c r="B1578" s="28" t="s">
        <v>2248</v>
      </c>
      <c r="C1578" s="28" t="s">
        <v>2249</v>
      </c>
      <c r="D1578" s="28" t="s">
        <v>670</v>
      </c>
      <c r="E1578" s="28" t="s">
        <v>211</v>
      </c>
      <c r="F1578" s="28" t="s">
        <v>212</v>
      </c>
      <c r="G1578" s="28" t="s">
        <v>2250</v>
      </c>
      <c r="H1578" s="28">
        <v>6457766</v>
      </c>
      <c r="I1578" s="28">
        <v>201247</v>
      </c>
      <c r="J1578" s="28">
        <v>0.99</v>
      </c>
      <c r="K1578" s="28">
        <v>65</v>
      </c>
      <c r="L1578" s="28">
        <v>1</v>
      </c>
    </row>
    <row r="1579" spans="1:12" ht="14.25" customHeight="1" x14ac:dyDescent="0.2">
      <c r="A1579" s="28">
        <v>1578</v>
      </c>
      <c r="B1579" s="28" t="s">
        <v>2251</v>
      </c>
      <c r="C1579" s="28" t="s">
        <v>2249</v>
      </c>
      <c r="D1579" s="28" t="s">
        <v>670</v>
      </c>
      <c r="E1579" s="28" t="s">
        <v>211</v>
      </c>
      <c r="F1579" s="28" t="s">
        <v>212</v>
      </c>
      <c r="G1579" s="28" t="s">
        <v>2252</v>
      </c>
      <c r="H1579" s="28">
        <v>10179657</v>
      </c>
      <c r="I1579" s="28">
        <v>316081</v>
      </c>
      <c r="J1579" s="28">
        <v>0.99</v>
      </c>
      <c r="K1579" s="28">
        <v>61</v>
      </c>
      <c r="L1579" s="28">
        <v>1</v>
      </c>
    </row>
    <row r="1580" spans="1:12" ht="14.25" customHeight="1" x14ac:dyDescent="0.2">
      <c r="A1580" s="28">
        <v>1579</v>
      </c>
      <c r="B1580" s="28" t="s">
        <v>2253</v>
      </c>
      <c r="C1580" s="28" t="s">
        <v>2249</v>
      </c>
      <c r="D1580" s="28" t="s">
        <v>670</v>
      </c>
      <c r="E1580" s="28" t="s">
        <v>211</v>
      </c>
      <c r="F1580" s="28" t="s">
        <v>212</v>
      </c>
      <c r="G1580" s="28" t="s">
        <v>2254</v>
      </c>
      <c r="H1580" s="28">
        <v>13471959</v>
      </c>
      <c r="I1580" s="28">
        <v>416365</v>
      </c>
      <c r="J1580" s="28">
        <v>0.99</v>
      </c>
      <c r="K1580" s="28">
        <v>66</v>
      </c>
      <c r="L1580" s="28">
        <v>1</v>
      </c>
    </row>
    <row r="1581" spans="1:12" ht="14.25" customHeight="1" x14ac:dyDescent="0.2">
      <c r="A1581" s="28">
        <v>1580</v>
      </c>
      <c r="B1581" s="28" t="s">
        <v>2255</v>
      </c>
      <c r="C1581" s="28" t="s">
        <v>2249</v>
      </c>
      <c r="D1581" s="28" t="s">
        <v>670</v>
      </c>
      <c r="E1581" s="28" t="s">
        <v>211</v>
      </c>
      <c r="F1581" s="28" t="s">
        <v>212</v>
      </c>
      <c r="G1581" s="28" t="s">
        <v>2254</v>
      </c>
      <c r="H1581" s="28">
        <v>10267572</v>
      </c>
      <c r="I1581" s="28">
        <v>317622</v>
      </c>
      <c r="J1581" s="28">
        <v>0.99</v>
      </c>
      <c r="K1581" s="28">
        <v>77</v>
      </c>
      <c r="L1581" s="28">
        <v>1</v>
      </c>
    </row>
    <row r="1582" spans="1:12" ht="14.25" customHeight="1" x14ac:dyDescent="0.2">
      <c r="A1582" s="28">
        <v>1581</v>
      </c>
      <c r="B1582" s="28" t="s">
        <v>2256</v>
      </c>
      <c r="C1582" s="28" t="s">
        <v>2249</v>
      </c>
      <c r="D1582" s="28" t="s">
        <v>670</v>
      </c>
      <c r="E1582" s="28" t="s">
        <v>211</v>
      </c>
      <c r="F1582" s="28" t="s">
        <v>212</v>
      </c>
      <c r="G1582" s="28" t="s">
        <v>2257</v>
      </c>
      <c r="H1582" s="28">
        <v>36052247</v>
      </c>
      <c r="I1582" s="28">
        <v>1116734</v>
      </c>
      <c r="J1582" s="28">
        <v>0.99</v>
      </c>
      <c r="K1582" s="28">
        <v>56</v>
      </c>
      <c r="L1582" s="28">
        <v>1</v>
      </c>
    </row>
    <row r="1583" spans="1:12" ht="14.25" customHeight="1" x14ac:dyDescent="0.2">
      <c r="A1583" s="28">
        <v>1582</v>
      </c>
      <c r="B1583" s="28" t="s">
        <v>2258</v>
      </c>
      <c r="C1583" s="28" t="s">
        <v>2249</v>
      </c>
      <c r="D1583" s="28" t="s">
        <v>670</v>
      </c>
      <c r="E1583" s="28" t="s">
        <v>211</v>
      </c>
      <c r="F1583" s="28" t="s">
        <v>212</v>
      </c>
      <c r="G1583" s="28" t="s">
        <v>2250</v>
      </c>
      <c r="H1583" s="28">
        <v>17050485</v>
      </c>
      <c r="I1583" s="28">
        <v>529658</v>
      </c>
      <c r="J1583" s="28">
        <v>0.99</v>
      </c>
      <c r="K1583" s="28">
        <v>1</v>
      </c>
      <c r="L1583" s="28">
        <v>1</v>
      </c>
    </row>
    <row r="1584" spans="1:12" ht="14.25" customHeight="1" x14ac:dyDescent="0.2">
      <c r="A1584" s="28">
        <v>1583</v>
      </c>
      <c r="B1584" s="28" t="s">
        <v>2259</v>
      </c>
      <c r="C1584" s="28" t="s">
        <v>2249</v>
      </c>
      <c r="D1584" s="28" t="s">
        <v>670</v>
      </c>
      <c r="E1584" s="28" t="s">
        <v>211</v>
      </c>
      <c r="F1584" s="28" t="s">
        <v>212</v>
      </c>
      <c r="G1584" s="28" t="s">
        <v>2250</v>
      </c>
      <c r="H1584" s="28">
        <v>7646749</v>
      </c>
      <c r="I1584" s="28">
        <v>234605</v>
      </c>
      <c r="J1584" s="28">
        <v>0.99</v>
      </c>
      <c r="K1584" s="28">
        <v>41</v>
      </c>
      <c r="L1584" s="28">
        <v>1</v>
      </c>
    </row>
    <row r="1585" spans="1:12" ht="14.25" customHeight="1" x14ac:dyDescent="0.2">
      <c r="A1585" s="28">
        <v>1584</v>
      </c>
      <c r="B1585" s="28" t="s">
        <v>2260</v>
      </c>
      <c r="C1585" s="28" t="s">
        <v>2249</v>
      </c>
      <c r="D1585" s="28" t="s">
        <v>670</v>
      </c>
      <c r="E1585" s="28" t="s">
        <v>211</v>
      </c>
      <c r="F1585" s="28" t="s">
        <v>212</v>
      </c>
      <c r="G1585" s="28" t="s">
        <v>2250</v>
      </c>
      <c r="H1585" s="28">
        <v>11248455</v>
      </c>
      <c r="I1585" s="28">
        <v>343431</v>
      </c>
      <c r="J1585" s="28">
        <v>0.99</v>
      </c>
      <c r="K1585" s="28">
        <v>31</v>
      </c>
      <c r="L1585" s="28">
        <v>1</v>
      </c>
    </row>
    <row r="1586" spans="1:12" ht="14.25" customHeight="1" x14ac:dyDescent="0.2">
      <c r="A1586" s="28">
        <v>1585</v>
      </c>
      <c r="B1586" s="28" t="s">
        <v>2261</v>
      </c>
      <c r="C1586" s="28" t="s">
        <v>2249</v>
      </c>
      <c r="D1586" s="28" t="s">
        <v>670</v>
      </c>
      <c r="E1586" s="28" t="s">
        <v>211</v>
      </c>
      <c r="F1586" s="28" t="s">
        <v>212</v>
      </c>
      <c r="G1586" s="28" t="s">
        <v>2262</v>
      </c>
      <c r="H1586" s="28">
        <v>26742545</v>
      </c>
      <c r="I1586" s="28">
        <v>825103</v>
      </c>
      <c r="J1586" s="28">
        <v>0.99</v>
      </c>
      <c r="K1586" s="28">
        <v>46</v>
      </c>
      <c r="L1586" s="28">
        <v>1</v>
      </c>
    </row>
    <row r="1587" spans="1:12" ht="14.25" customHeight="1" x14ac:dyDescent="0.2">
      <c r="A1587" s="28">
        <v>1586</v>
      </c>
      <c r="B1587" s="28" t="s">
        <v>2263</v>
      </c>
      <c r="C1587" s="28" t="s">
        <v>2249</v>
      </c>
      <c r="D1587" s="28" t="s">
        <v>670</v>
      </c>
      <c r="E1587" s="28" t="s">
        <v>211</v>
      </c>
      <c r="F1587" s="28" t="s">
        <v>212</v>
      </c>
      <c r="G1587" s="28" t="s">
        <v>2250</v>
      </c>
      <c r="H1587" s="28">
        <v>12831826</v>
      </c>
      <c r="I1587" s="28">
        <v>398262</v>
      </c>
      <c r="J1587" s="28">
        <v>0.99</v>
      </c>
      <c r="K1587" s="28">
        <v>38</v>
      </c>
      <c r="L1587" s="28">
        <v>1</v>
      </c>
    </row>
    <row r="1588" spans="1:12" ht="14.25" customHeight="1" x14ac:dyDescent="0.2">
      <c r="A1588" s="28">
        <v>1587</v>
      </c>
      <c r="B1588" s="28" t="s">
        <v>2264</v>
      </c>
      <c r="C1588" s="28" t="s">
        <v>2265</v>
      </c>
      <c r="D1588" s="28" t="s">
        <v>670</v>
      </c>
      <c r="E1588" s="28" t="s">
        <v>211</v>
      </c>
      <c r="F1588" s="28" t="s">
        <v>212</v>
      </c>
      <c r="G1588" s="28" t="s">
        <v>2266</v>
      </c>
      <c r="H1588" s="28">
        <v>5180975</v>
      </c>
      <c r="I1588" s="28">
        <v>157570</v>
      </c>
      <c r="J1588" s="28">
        <v>0.99</v>
      </c>
      <c r="K1588" s="28">
        <v>86</v>
      </c>
      <c r="L1588" s="28">
        <v>1</v>
      </c>
    </row>
    <row r="1589" spans="1:12" ht="14.25" customHeight="1" x14ac:dyDescent="0.2">
      <c r="A1589" s="28">
        <v>1588</v>
      </c>
      <c r="B1589" s="28" t="s">
        <v>2267</v>
      </c>
      <c r="C1589" s="28" t="s">
        <v>2265</v>
      </c>
      <c r="D1589" s="28" t="s">
        <v>670</v>
      </c>
      <c r="E1589" s="28" t="s">
        <v>211</v>
      </c>
      <c r="F1589" s="28" t="s">
        <v>212</v>
      </c>
      <c r="G1589" s="28" t="s">
        <v>680</v>
      </c>
      <c r="H1589" s="28">
        <v>6016220</v>
      </c>
      <c r="I1589" s="28">
        <v>182491</v>
      </c>
      <c r="J1589" s="28">
        <v>0.99</v>
      </c>
      <c r="K1589" s="28">
        <v>56</v>
      </c>
      <c r="L1589" s="28">
        <v>1</v>
      </c>
    </row>
    <row r="1590" spans="1:12" ht="14.25" customHeight="1" x14ac:dyDescent="0.2">
      <c r="A1590" s="28">
        <v>1589</v>
      </c>
      <c r="B1590" s="28" t="s">
        <v>672</v>
      </c>
      <c r="C1590" s="28" t="s">
        <v>2265</v>
      </c>
      <c r="D1590" s="28" t="s">
        <v>670</v>
      </c>
      <c r="E1590" s="28" t="s">
        <v>211</v>
      </c>
      <c r="F1590" s="28" t="s">
        <v>212</v>
      </c>
      <c r="G1590" s="28" t="s">
        <v>473</v>
      </c>
      <c r="H1590" s="28">
        <v>8437098</v>
      </c>
      <c r="I1590" s="28">
        <v>258168</v>
      </c>
      <c r="J1590" s="28">
        <v>0.99</v>
      </c>
      <c r="K1590" s="28">
        <v>24</v>
      </c>
      <c r="L1590" s="28">
        <v>0</v>
      </c>
    </row>
    <row r="1591" spans="1:12" ht="14.25" customHeight="1" x14ac:dyDescent="0.2">
      <c r="A1591" s="28">
        <v>1590</v>
      </c>
      <c r="B1591" s="28" t="s">
        <v>2268</v>
      </c>
      <c r="C1591" s="28" t="s">
        <v>2265</v>
      </c>
      <c r="D1591" s="28" t="s">
        <v>670</v>
      </c>
      <c r="E1591" s="28" t="s">
        <v>211</v>
      </c>
      <c r="F1591" s="28" t="s">
        <v>212</v>
      </c>
      <c r="G1591" s="28" t="s">
        <v>2269</v>
      </c>
      <c r="H1591" s="28">
        <v>8712499</v>
      </c>
      <c r="I1591" s="28">
        <v>270785</v>
      </c>
      <c r="J1591" s="28">
        <v>0.99</v>
      </c>
      <c r="K1591" s="28">
        <v>36</v>
      </c>
      <c r="L1591" s="28">
        <v>2</v>
      </c>
    </row>
    <row r="1592" spans="1:12" ht="14.25" customHeight="1" x14ac:dyDescent="0.2">
      <c r="A1592" s="28">
        <v>1591</v>
      </c>
      <c r="B1592" s="28" t="s">
        <v>2270</v>
      </c>
      <c r="C1592" s="28" t="s">
        <v>2265</v>
      </c>
      <c r="D1592" s="28" t="s">
        <v>670</v>
      </c>
      <c r="E1592" s="28" t="s">
        <v>211</v>
      </c>
      <c r="F1592" s="28" t="s">
        <v>212</v>
      </c>
      <c r="G1592" s="28" t="s">
        <v>2269</v>
      </c>
      <c r="H1592" s="28">
        <v>7079588</v>
      </c>
      <c r="I1592" s="28">
        <v>215954</v>
      </c>
      <c r="J1592" s="28">
        <v>0.99</v>
      </c>
      <c r="K1592" s="28">
        <v>92</v>
      </c>
      <c r="L1592" s="28">
        <v>1</v>
      </c>
    </row>
    <row r="1593" spans="1:12" ht="14.25" customHeight="1" x14ac:dyDescent="0.2">
      <c r="A1593" s="28">
        <v>1592</v>
      </c>
      <c r="B1593" s="28" t="s">
        <v>2271</v>
      </c>
      <c r="C1593" s="28" t="s">
        <v>2265</v>
      </c>
      <c r="D1593" s="28" t="s">
        <v>670</v>
      </c>
      <c r="E1593" s="28" t="s">
        <v>211</v>
      </c>
      <c r="F1593" s="28" t="s">
        <v>212</v>
      </c>
      <c r="G1593" s="28" t="s">
        <v>2272</v>
      </c>
      <c r="H1593" s="28">
        <v>10078197</v>
      </c>
      <c r="I1593" s="28">
        <v>307226</v>
      </c>
      <c r="J1593" s="28">
        <v>0.99</v>
      </c>
      <c r="K1593" s="28">
        <v>18</v>
      </c>
      <c r="L1593" s="28">
        <v>0</v>
      </c>
    </row>
    <row r="1594" spans="1:12" ht="14.25" customHeight="1" x14ac:dyDescent="0.2">
      <c r="A1594" s="28">
        <v>1593</v>
      </c>
      <c r="B1594" s="28" t="s">
        <v>2273</v>
      </c>
      <c r="C1594" s="28" t="s">
        <v>2265</v>
      </c>
      <c r="D1594" s="28" t="s">
        <v>670</v>
      </c>
      <c r="E1594" s="28" t="s">
        <v>211</v>
      </c>
      <c r="F1594" s="28" t="s">
        <v>212</v>
      </c>
      <c r="G1594" s="28" t="s">
        <v>986</v>
      </c>
      <c r="H1594" s="28">
        <v>8557447</v>
      </c>
      <c r="I1594" s="28">
        <v>258925</v>
      </c>
      <c r="J1594" s="28">
        <v>0.99</v>
      </c>
      <c r="K1594" s="28">
        <v>26</v>
      </c>
      <c r="L1594" s="28">
        <v>0</v>
      </c>
    </row>
    <row r="1595" spans="1:12" ht="14.25" customHeight="1" x14ac:dyDescent="0.2">
      <c r="A1595" s="28">
        <v>1594</v>
      </c>
      <c r="B1595" s="28" t="s">
        <v>2274</v>
      </c>
      <c r="C1595" s="28" t="s">
        <v>2265</v>
      </c>
      <c r="D1595" s="28" t="s">
        <v>670</v>
      </c>
      <c r="E1595" s="28" t="s">
        <v>211</v>
      </c>
      <c r="F1595" s="28" t="s">
        <v>212</v>
      </c>
      <c r="G1595" s="28" t="s">
        <v>2269</v>
      </c>
      <c r="H1595" s="28">
        <v>10701590</v>
      </c>
      <c r="I1595" s="28">
        <v>330004</v>
      </c>
      <c r="J1595" s="28">
        <v>0.99</v>
      </c>
      <c r="K1595" s="28">
        <v>98</v>
      </c>
      <c r="L1595" s="28">
        <v>1</v>
      </c>
    </row>
    <row r="1596" spans="1:12" ht="14.25" customHeight="1" x14ac:dyDescent="0.2">
      <c r="A1596" s="28">
        <v>1595</v>
      </c>
      <c r="B1596" s="28" t="s">
        <v>2275</v>
      </c>
      <c r="C1596" s="28" t="s">
        <v>982</v>
      </c>
      <c r="D1596" s="28" t="s">
        <v>670</v>
      </c>
      <c r="E1596" s="28" t="s">
        <v>211</v>
      </c>
      <c r="F1596" s="28" t="s">
        <v>212</v>
      </c>
      <c r="G1596" s="28" t="s">
        <v>2276</v>
      </c>
      <c r="H1596" s="28">
        <v>10708950</v>
      </c>
      <c r="I1596" s="28">
        <v>330004</v>
      </c>
      <c r="J1596" s="28">
        <v>0.99</v>
      </c>
      <c r="K1596" s="28">
        <v>82</v>
      </c>
      <c r="L1596" s="28">
        <v>0</v>
      </c>
    </row>
    <row r="1597" spans="1:12" ht="14.25" customHeight="1" x14ac:dyDescent="0.2">
      <c r="A1597" s="28">
        <v>1596</v>
      </c>
      <c r="B1597" s="28" t="s">
        <v>2277</v>
      </c>
      <c r="C1597" s="28" t="s">
        <v>982</v>
      </c>
      <c r="D1597" s="28" t="s">
        <v>670</v>
      </c>
      <c r="E1597" s="28" t="s">
        <v>211</v>
      </c>
      <c r="F1597" s="28" t="s">
        <v>212</v>
      </c>
      <c r="G1597" s="28" t="s">
        <v>2276</v>
      </c>
      <c r="H1597" s="28">
        <v>15029875</v>
      </c>
      <c r="I1597" s="28">
        <v>459180</v>
      </c>
      <c r="J1597" s="28">
        <v>0.99</v>
      </c>
      <c r="K1597" s="28">
        <v>25</v>
      </c>
      <c r="L1597" s="28">
        <v>0</v>
      </c>
    </row>
    <row r="1598" spans="1:12" ht="14.25" customHeight="1" x14ac:dyDescent="0.2">
      <c r="A1598" s="28">
        <v>1597</v>
      </c>
      <c r="B1598" s="28" t="s">
        <v>2278</v>
      </c>
      <c r="C1598" s="28" t="s">
        <v>982</v>
      </c>
      <c r="D1598" s="28" t="s">
        <v>670</v>
      </c>
      <c r="E1598" s="28" t="s">
        <v>211</v>
      </c>
      <c r="F1598" s="28" t="s">
        <v>212</v>
      </c>
      <c r="G1598" s="28" t="s">
        <v>2276</v>
      </c>
      <c r="H1598" s="28">
        <v>9552829</v>
      </c>
      <c r="I1598" s="28">
        <v>290089</v>
      </c>
      <c r="J1598" s="28">
        <v>0.99</v>
      </c>
      <c r="K1598" s="28">
        <v>19</v>
      </c>
      <c r="L1598" s="28">
        <v>1</v>
      </c>
    </row>
    <row r="1599" spans="1:12" ht="14.25" customHeight="1" x14ac:dyDescent="0.2">
      <c r="A1599" s="28">
        <v>1598</v>
      </c>
      <c r="B1599" s="28" t="s">
        <v>2279</v>
      </c>
      <c r="C1599" s="28" t="s">
        <v>982</v>
      </c>
      <c r="D1599" s="28" t="s">
        <v>670</v>
      </c>
      <c r="E1599" s="28" t="s">
        <v>211</v>
      </c>
      <c r="F1599" s="28" t="s">
        <v>212</v>
      </c>
      <c r="G1599" s="28" t="s">
        <v>981</v>
      </c>
      <c r="H1599" s="28">
        <v>6460212</v>
      </c>
      <c r="I1599" s="28">
        <v>197407</v>
      </c>
      <c r="J1599" s="28">
        <v>0.99</v>
      </c>
      <c r="K1599" s="28">
        <v>17</v>
      </c>
      <c r="L1599" s="28">
        <v>1</v>
      </c>
    </row>
    <row r="1600" spans="1:12" ht="14.25" customHeight="1" x14ac:dyDescent="0.2">
      <c r="A1600" s="28">
        <v>1599</v>
      </c>
      <c r="B1600" s="28" t="s">
        <v>2280</v>
      </c>
      <c r="C1600" s="28" t="s">
        <v>982</v>
      </c>
      <c r="D1600" s="28" t="s">
        <v>670</v>
      </c>
      <c r="E1600" s="28" t="s">
        <v>211</v>
      </c>
      <c r="F1600" s="28" t="s">
        <v>212</v>
      </c>
      <c r="G1600" s="28" t="s">
        <v>2276</v>
      </c>
      <c r="H1600" s="28">
        <v>7250104</v>
      </c>
      <c r="I1600" s="28">
        <v>223216</v>
      </c>
      <c r="J1600" s="28">
        <v>0.99</v>
      </c>
      <c r="K1600" s="28">
        <v>96</v>
      </c>
      <c r="L1600" s="28">
        <v>2</v>
      </c>
    </row>
    <row r="1601" spans="1:12" ht="14.25" customHeight="1" x14ac:dyDescent="0.2">
      <c r="A1601" s="28">
        <v>1600</v>
      </c>
      <c r="B1601" s="28" t="s">
        <v>2281</v>
      </c>
      <c r="C1601" s="28" t="s">
        <v>982</v>
      </c>
      <c r="D1601" s="28" t="s">
        <v>670</v>
      </c>
      <c r="E1601" s="28" t="s">
        <v>211</v>
      </c>
      <c r="F1601" s="28" t="s">
        <v>212</v>
      </c>
      <c r="G1601" s="28" t="s">
        <v>981</v>
      </c>
      <c r="H1601" s="28">
        <v>8645935</v>
      </c>
      <c r="I1601" s="28">
        <v>262948</v>
      </c>
      <c r="J1601" s="28">
        <v>0.99</v>
      </c>
      <c r="K1601" s="28">
        <v>75</v>
      </c>
      <c r="L1601" s="28">
        <v>1</v>
      </c>
    </row>
    <row r="1602" spans="1:12" ht="14.25" customHeight="1" x14ac:dyDescent="0.2">
      <c r="A1602" s="28">
        <v>1601</v>
      </c>
      <c r="B1602" s="28" t="s">
        <v>2282</v>
      </c>
      <c r="C1602" s="28" t="s">
        <v>982</v>
      </c>
      <c r="D1602" s="28" t="s">
        <v>670</v>
      </c>
      <c r="E1602" s="28" t="s">
        <v>211</v>
      </c>
      <c r="F1602" s="28" t="s">
        <v>212</v>
      </c>
      <c r="G1602" s="28" t="s">
        <v>984</v>
      </c>
      <c r="H1602" s="28">
        <v>13656517</v>
      </c>
      <c r="I1602" s="28">
        <v>420493</v>
      </c>
      <c r="J1602" s="28">
        <v>0.99</v>
      </c>
      <c r="K1602" s="28">
        <v>0</v>
      </c>
      <c r="L1602" s="28">
        <v>1</v>
      </c>
    </row>
    <row r="1603" spans="1:12" ht="14.25" customHeight="1" x14ac:dyDescent="0.2">
      <c r="A1603" s="28">
        <v>1602</v>
      </c>
      <c r="B1603" s="28" t="s">
        <v>2283</v>
      </c>
      <c r="C1603" s="28" t="s">
        <v>982</v>
      </c>
      <c r="D1603" s="28" t="s">
        <v>670</v>
      </c>
      <c r="E1603" s="28" t="s">
        <v>211</v>
      </c>
      <c r="F1603" s="28" t="s">
        <v>212</v>
      </c>
      <c r="G1603" s="28" t="s">
        <v>981</v>
      </c>
      <c r="H1603" s="28">
        <v>8846469</v>
      </c>
      <c r="I1603" s="28">
        <v>271098</v>
      </c>
      <c r="J1603" s="28">
        <v>0.99</v>
      </c>
      <c r="K1603" s="28">
        <v>31</v>
      </c>
      <c r="L1603" s="28">
        <v>1</v>
      </c>
    </row>
    <row r="1604" spans="1:12" ht="14.25" customHeight="1" x14ac:dyDescent="0.2">
      <c r="A1604" s="28">
        <v>1603</v>
      </c>
      <c r="B1604" s="28" t="s">
        <v>2284</v>
      </c>
      <c r="C1604" s="28" t="s">
        <v>2285</v>
      </c>
      <c r="D1604" s="28" t="s">
        <v>670</v>
      </c>
      <c r="E1604" s="28" t="s">
        <v>211</v>
      </c>
      <c r="F1604" s="28" t="s">
        <v>212</v>
      </c>
      <c r="G1604" s="28" t="s">
        <v>2286</v>
      </c>
      <c r="H1604" s="28">
        <v>13399734</v>
      </c>
      <c r="I1604" s="28">
        <v>410566</v>
      </c>
      <c r="J1604" s="28">
        <v>0.99</v>
      </c>
      <c r="K1604" s="28">
        <v>5</v>
      </c>
      <c r="L1604" s="28">
        <v>2</v>
      </c>
    </row>
    <row r="1605" spans="1:12" ht="14.25" customHeight="1" x14ac:dyDescent="0.2">
      <c r="A1605" s="28">
        <v>1604</v>
      </c>
      <c r="B1605" s="28" t="s">
        <v>2287</v>
      </c>
      <c r="C1605" s="28" t="s">
        <v>2285</v>
      </c>
      <c r="D1605" s="28" t="s">
        <v>670</v>
      </c>
      <c r="E1605" s="28" t="s">
        <v>211</v>
      </c>
      <c r="F1605" s="28" t="s">
        <v>212</v>
      </c>
      <c r="G1605" s="28" t="s">
        <v>2288</v>
      </c>
      <c r="H1605" s="28">
        <v>8420427</v>
      </c>
      <c r="I1605" s="28">
        <v>254406</v>
      </c>
      <c r="J1605" s="28">
        <v>0.99</v>
      </c>
      <c r="K1605" s="28">
        <v>55</v>
      </c>
      <c r="L1605" s="28">
        <v>0</v>
      </c>
    </row>
    <row r="1606" spans="1:12" ht="14.25" customHeight="1" x14ac:dyDescent="0.2">
      <c r="A1606" s="28">
        <v>1605</v>
      </c>
      <c r="B1606" s="28" t="s">
        <v>2289</v>
      </c>
      <c r="C1606" s="28" t="s">
        <v>2285</v>
      </c>
      <c r="D1606" s="28" t="s">
        <v>670</v>
      </c>
      <c r="E1606" s="28" t="s">
        <v>211</v>
      </c>
      <c r="F1606" s="28" t="s">
        <v>212</v>
      </c>
      <c r="G1606" s="28" t="s">
        <v>2286</v>
      </c>
      <c r="H1606" s="28">
        <v>12371433</v>
      </c>
      <c r="I1606" s="28">
        <v>372950</v>
      </c>
      <c r="J1606" s="28">
        <v>0.99</v>
      </c>
      <c r="K1606" s="28">
        <v>93</v>
      </c>
      <c r="L1606" s="28">
        <v>1</v>
      </c>
    </row>
    <row r="1607" spans="1:12" ht="14.25" customHeight="1" x14ac:dyDescent="0.2">
      <c r="A1607" s="28">
        <v>1606</v>
      </c>
      <c r="B1607" s="28" t="s">
        <v>2290</v>
      </c>
      <c r="C1607" s="28" t="s">
        <v>2285</v>
      </c>
      <c r="D1607" s="28" t="s">
        <v>670</v>
      </c>
      <c r="E1607" s="28" t="s">
        <v>211</v>
      </c>
      <c r="F1607" s="28" t="s">
        <v>212</v>
      </c>
      <c r="G1607" s="28" t="s">
        <v>2291</v>
      </c>
      <c r="H1607" s="28">
        <v>6536167</v>
      </c>
      <c r="I1607" s="28">
        <v>197198</v>
      </c>
      <c r="J1607" s="28">
        <v>0.99</v>
      </c>
      <c r="K1607" s="28">
        <v>29</v>
      </c>
      <c r="L1607" s="28">
        <v>1</v>
      </c>
    </row>
    <row r="1608" spans="1:12" ht="14.25" customHeight="1" x14ac:dyDescent="0.2">
      <c r="A1608" s="28">
        <v>1607</v>
      </c>
      <c r="B1608" s="28" t="s">
        <v>2292</v>
      </c>
      <c r="C1608" s="28" t="s">
        <v>2285</v>
      </c>
      <c r="D1608" s="28" t="s">
        <v>670</v>
      </c>
      <c r="E1608" s="28" t="s">
        <v>211</v>
      </c>
      <c r="F1608" s="28" t="s">
        <v>212</v>
      </c>
      <c r="G1608" s="28" t="s">
        <v>2293</v>
      </c>
      <c r="H1608" s="28">
        <v>20858315</v>
      </c>
      <c r="I1608" s="28">
        <v>634435</v>
      </c>
      <c r="J1608" s="28">
        <v>0.99</v>
      </c>
      <c r="K1608" s="28">
        <v>76</v>
      </c>
      <c r="L1608" s="28">
        <v>1</v>
      </c>
    </row>
    <row r="1609" spans="1:12" ht="14.25" customHeight="1" x14ac:dyDescent="0.2">
      <c r="A1609" s="28">
        <v>1608</v>
      </c>
      <c r="B1609" s="28" t="s">
        <v>2294</v>
      </c>
      <c r="C1609" s="28" t="s">
        <v>2285</v>
      </c>
      <c r="D1609" s="28" t="s">
        <v>670</v>
      </c>
      <c r="E1609" s="28" t="s">
        <v>211</v>
      </c>
      <c r="F1609" s="28" t="s">
        <v>212</v>
      </c>
      <c r="G1609" s="28" t="s">
        <v>2295</v>
      </c>
      <c r="H1609" s="28">
        <v>11684862</v>
      </c>
      <c r="I1609" s="28">
        <v>356284</v>
      </c>
      <c r="J1609" s="28">
        <v>0.99</v>
      </c>
      <c r="K1609" s="28">
        <v>60</v>
      </c>
      <c r="L1609" s="28">
        <v>1</v>
      </c>
    </row>
    <row r="1610" spans="1:12" ht="14.25" customHeight="1" x14ac:dyDescent="0.2">
      <c r="A1610" s="28">
        <v>1609</v>
      </c>
      <c r="B1610" s="28" t="s">
        <v>2296</v>
      </c>
      <c r="C1610" s="28" t="s">
        <v>2285</v>
      </c>
      <c r="D1610" s="28" t="s">
        <v>670</v>
      </c>
      <c r="E1610" s="28" t="s">
        <v>211</v>
      </c>
      <c r="F1610" s="28" t="s">
        <v>212</v>
      </c>
      <c r="G1610" s="28" t="s">
        <v>2286</v>
      </c>
      <c r="H1610" s="28">
        <v>10737665</v>
      </c>
      <c r="I1610" s="28">
        <v>329639</v>
      </c>
      <c r="J1610" s="28">
        <v>0.99</v>
      </c>
      <c r="K1610" s="28">
        <v>76</v>
      </c>
      <c r="L1610" s="28">
        <v>2</v>
      </c>
    </row>
    <row r="1611" spans="1:12" ht="14.25" customHeight="1" x14ac:dyDescent="0.2">
      <c r="A1611" s="28">
        <v>1610</v>
      </c>
      <c r="B1611" s="28" t="s">
        <v>2255</v>
      </c>
      <c r="C1611" s="28" t="s">
        <v>2297</v>
      </c>
      <c r="D1611" s="28" t="s">
        <v>670</v>
      </c>
      <c r="E1611" s="28" t="s">
        <v>211</v>
      </c>
      <c r="F1611" s="28" t="s">
        <v>212</v>
      </c>
      <c r="G1611" s="28" t="s">
        <v>2298</v>
      </c>
      <c r="H1611" s="28">
        <v>9660588</v>
      </c>
      <c r="I1611" s="28">
        <v>296672</v>
      </c>
      <c r="J1611" s="28">
        <v>0.99</v>
      </c>
      <c r="K1611" s="28">
        <v>40</v>
      </c>
      <c r="L1611" s="28">
        <v>1</v>
      </c>
    </row>
    <row r="1612" spans="1:12" ht="14.25" customHeight="1" x14ac:dyDescent="0.2">
      <c r="A1612" s="28">
        <v>1611</v>
      </c>
      <c r="B1612" s="28" t="s">
        <v>2299</v>
      </c>
      <c r="C1612" s="28" t="s">
        <v>2297</v>
      </c>
      <c r="D1612" s="28" t="s">
        <v>670</v>
      </c>
      <c r="E1612" s="28" t="s">
        <v>211</v>
      </c>
      <c r="F1612" s="28" t="s">
        <v>212</v>
      </c>
      <c r="G1612" s="28" t="s">
        <v>2300</v>
      </c>
      <c r="H1612" s="28">
        <v>7142127</v>
      </c>
      <c r="I1612" s="28">
        <v>220917</v>
      </c>
      <c r="J1612" s="28">
        <v>0.99</v>
      </c>
      <c r="K1612" s="28">
        <v>74</v>
      </c>
      <c r="L1612" s="28">
        <v>1</v>
      </c>
    </row>
    <row r="1613" spans="1:12" ht="14.25" customHeight="1" x14ac:dyDescent="0.2">
      <c r="A1613" s="28">
        <v>1612</v>
      </c>
      <c r="B1613" s="28" t="s">
        <v>2301</v>
      </c>
      <c r="C1613" s="28" t="s">
        <v>2297</v>
      </c>
      <c r="D1613" s="28" t="s">
        <v>670</v>
      </c>
      <c r="E1613" s="28" t="s">
        <v>211</v>
      </c>
      <c r="F1613" s="28" t="s">
        <v>212</v>
      </c>
      <c r="G1613" s="28" t="s">
        <v>2269</v>
      </c>
      <c r="H1613" s="28">
        <v>11525689</v>
      </c>
      <c r="I1613" s="28">
        <v>351555</v>
      </c>
      <c r="J1613" s="28">
        <v>0.99</v>
      </c>
      <c r="K1613" s="28">
        <v>92</v>
      </c>
      <c r="L1613" s="28">
        <v>0</v>
      </c>
    </row>
    <row r="1614" spans="1:12" ht="14.25" customHeight="1" x14ac:dyDescent="0.2">
      <c r="A1614" s="28">
        <v>1613</v>
      </c>
      <c r="B1614" s="28" t="s">
        <v>2258</v>
      </c>
      <c r="C1614" s="28" t="s">
        <v>2297</v>
      </c>
      <c r="D1614" s="28" t="s">
        <v>670</v>
      </c>
      <c r="E1614" s="28" t="s">
        <v>211</v>
      </c>
      <c r="F1614" s="28" t="s">
        <v>212</v>
      </c>
      <c r="G1614" s="28" t="s">
        <v>2269</v>
      </c>
      <c r="H1614" s="28">
        <v>15706767</v>
      </c>
      <c r="I1614" s="28">
        <v>481619</v>
      </c>
      <c r="J1614" s="28">
        <v>0.99</v>
      </c>
      <c r="K1614" s="28">
        <v>11</v>
      </c>
      <c r="L1614" s="28">
        <v>1</v>
      </c>
    </row>
    <row r="1615" spans="1:12" ht="14.25" customHeight="1" x14ac:dyDescent="0.2">
      <c r="A1615" s="28">
        <v>1614</v>
      </c>
      <c r="B1615" s="28" t="s">
        <v>2302</v>
      </c>
      <c r="C1615" s="28" t="s">
        <v>2297</v>
      </c>
      <c r="D1615" s="28" t="s">
        <v>670</v>
      </c>
      <c r="E1615" s="28" t="s">
        <v>211</v>
      </c>
      <c r="F1615" s="28" t="s">
        <v>212</v>
      </c>
      <c r="G1615" s="28" t="s">
        <v>2298</v>
      </c>
      <c r="H1615" s="28">
        <v>9092799</v>
      </c>
      <c r="I1615" s="28">
        <v>278857</v>
      </c>
      <c r="J1615" s="28">
        <v>0.99</v>
      </c>
      <c r="K1615" s="28">
        <v>84</v>
      </c>
      <c r="L1615" s="28">
        <v>1</v>
      </c>
    </row>
    <row r="1616" spans="1:12" ht="14.25" customHeight="1" x14ac:dyDescent="0.2">
      <c r="A1616" s="28">
        <v>1615</v>
      </c>
      <c r="B1616" s="28" t="s">
        <v>2303</v>
      </c>
      <c r="C1616" s="28" t="s">
        <v>2297</v>
      </c>
      <c r="D1616" s="28" t="s">
        <v>670</v>
      </c>
      <c r="E1616" s="28" t="s">
        <v>211</v>
      </c>
      <c r="F1616" s="28" t="s">
        <v>212</v>
      </c>
      <c r="G1616" s="28" t="s">
        <v>2269</v>
      </c>
      <c r="H1616" s="28">
        <v>9481301</v>
      </c>
      <c r="I1616" s="28">
        <v>284447</v>
      </c>
      <c r="J1616" s="28">
        <v>0.99</v>
      </c>
      <c r="K1616" s="28">
        <v>43</v>
      </c>
      <c r="L1616" s="28">
        <v>1</v>
      </c>
    </row>
    <row r="1617" spans="1:12" ht="14.25" customHeight="1" x14ac:dyDescent="0.2">
      <c r="A1617" s="28">
        <v>1616</v>
      </c>
      <c r="B1617" s="28" t="s">
        <v>2259</v>
      </c>
      <c r="C1617" s="28" t="s">
        <v>2297</v>
      </c>
      <c r="D1617" s="28" t="s">
        <v>670</v>
      </c>
      <c r="E1617" s="28" t="s">
        <v>211</v>
      </c>
      <c r="F1617" s="28" t="s">
        <v>212</v>
      </c>
      <c r="G1617" s="28" t="s">
        <v>2269</v>
      </c>
      <c r="H1617" s="28">
        <v>7068737</v>
      </c>
      <c r="I1617" s="28">
        <v>215693</v>
      </c>
      <c r="J1617" s="28">
        <v>0.99</v>
      </c>
      <c r="K1617" s="28">
        <v>80</v>
      </c>
      <c r="L1617" s="28">
        <v>0</v>
      </c>
    </row>
    <row r="1618" spans="1:12" ht="14.25" customHeight="1" x14ac:dyDescent="0.2">
      <c r="A1618" s="28">
        <v>1617</v>
      </c>
      <c r="B1618" s="28" t="s">
        <v>2304</v>
      </c>
      <c r="C1618" s="28" t="s">
        <v>2297</v>
      </c>
      <c r="D1618" s="28" t="s">
        <v>670</v>
      </c>
      <c r="E1618" s="28" t="s">
        <v>211</v>
      </c>
      <c r="F1618" s="28" t="s">
        <v>212</v>
      </c>
      <c r="G1618" s="28" t="s">
        <v>2305</v>
      </c>
      <c r="H1618" s="28">
        <v>13912107</v>
      </c>
      <c r="I1618" s="28">
        <v>427702</v>
      </c>
      <c r="J1618" s="28">
        <v>0.99</v>
      </c>
      <c r="K1618" s="28">
        <v>64</v>
      </c>
      <c r="L1618" s="28">
        <v>1</v>
      </c>
    </row>
    <row r="1619" spans="1:12" ht="14.25" customHeight="1" x14ac:dyDescent="0.2">
      <c r="A1619" s="28">
        <v>1618</v>
      </c>
      <c r="B1619" s="28" t="s">
        <v>2306</v>
      </c>
      <c r="C1619" s="28" t="s">
        <v>2307</v>
      </c>
      <c r="D1619" s="28" t="s">
        <v>670</v>
      </c>
      <c r="E1619" s="28" t="s">
        <v>211</v>
      </c>
      <c r="F1619" s="28" t="s">
        <v>212</v>
      </c>
      <c r="G1619" s="28" t="s">
        <v>674</v>
      </c>
      <c r="H1619" s="28">
        <v>5464077</v>
      </c>
      <c r="I1619" s="28">
        <v>166164</v>
      </c>
      <c r="J1619" s="28">
        <v>0.99</v>
      </c>
      <c r="K1619" s="28">
        <v>71</v>
      </c>
      <c r="L1619" s="28">
        <v>0</v>
      </c>
    </row>
    <row r="1620" spans="1:12" ht="14.25" customHeight="1" x14ac:dyDescent="0.2">
      <c r="A1620" s="28">
        <v>1619</v>
      </c>
      <c r="B1620" s="28" t="s">
        <v>2308</v>
      </c>
      <c r="C1620" s="28" t="s">
        <v>2307</v>
      </c>
      <c r="D1620" s="28" t="s">
        <v>670</v>
      </c>
      <c r="E1620" s="28" t="s">
        <v>211</v>
      </c>
      <c r="F1620" s="28" t="s">
        <v>212</v>
      </c>
      <c r="G1620" s="28" t="s">
        <v>680</v>
      </c>
      <c r="H1620" s="28">
        <v>13189312</v>
      </c>
      <c r="I1620" s="28">
        <v>401475</v>
      </c>
      <c r="J1620" s="28">
        <v>0.99</v>
      </c>
      <c r="K1620" s="28">
        <v>18</v>
      </c>
      <c r="L1620" s="28">
        <v>0</v>
      </c>
    </row>
    <row r="1621" spans="1:12" ht="14.25" customHeight="1" x14ac:dyDescent="0.2">
      <c r="A1621" s="28">
        <v>1620</v>
      </c>
      <c r="B1621" s="28" t="s">
        <v>668</v>
      </c>
      <c r="C1621" s="28" t="s">
        <v>2307</v>
      </c>
      <c r="D1621" s="28" t="s">
        <v>670</v>
      </c>
      <c r="E1621" s="28" t="s">
        <v>211</v>
      </c>
      <c r="F1621" s="28" t="s">
        <v>212</v>
      </c>
      <c r="G1621" s="28" t="s">
        <v>2309</v>
      </c>
      <c r="H1621" s="28">
        <v>12643067</v>
      </c>
      <c r="I1621" s="28">
        <v>388179</v>
      </c>
      <c r="J1621" s="28">
        <v>0.99</v>
      </c>
      <c r="K1621" s="28">
        <v>96</v>
      </c>
      <c r="L1621" s="28">
        <v>1</v>
      </c>
    </row>
    <row r="1622" spans="1:12" ht="14.25" customHeight="1" x14ac:dyDescent="0.2">
      <c r="A1622" s="28">
        <v>1621</v>
      </c>
      <c r="B1622" s="28" t="s">
        <v>675</v>
      </c>
      <c r="C1622" s="28" t="s">
        <v>2307</v>
      </c>
      <c r="D1622" s="28" t="s">
        <v>670</v>
      </c>
      <c r="E1622" s="28" t="s">
        <v>211</v>
      </c>
      <c r="F1622" s="28" t="s">
        <v>212</v>
      </c>
      <c r="G1622" s="28" t="s">
        <v>676</v>
      </c>
      <c r="H1622" s="28">
        <v>12610326</v>
      </c>
      <c r="I1622" s="28">
        <v>386063</v>
      </c>
      <c r="J1622" s="28">
        <v>0.99</v>
      </c>
      <c r="K1622" s="28">
        <v>71</v>
      </c>
      <c r="L1622" s="28">
        <v>2</v>
      </c>
    </row>
    <row r="1623" spans="1:12" ht="14.25" customHeight="1" x14ac:dyDescent="0.2">
      <c r="A1623" s="28">
        <v>1622</v>
      </c>
      <c r="B1623" s="28" t="s">
        <v>2310</v>
      </c>
      <c r="C1623" s="28" t="s">
        <v>2307</v>
      </c>
      <c r="D1623" s="28" t="s">
        <v>670</v>
      </c>
      <c r="E1623" s="28" t="s">
        <v>211</v>
      </c>
      <c r="F1623" s="28" t="s">
        <v>212</v>
      </c>
      <c r="G1623" s="28" t="s">
        <v>2311</v>
      </c>
      <c r="H1623" s="28">
        <v>9011653</v>
      </c>
      <c r="I1623" s="28">
        <v>274860</v>
      </c>
      <c r="J1623" s="28">
        <v>0.99</v>
      </c>
      <c r="K1623" s="28">
        <v>7</v>
      </c>
      <c r="L1623" s="28">
        <v>1</v>
      </c>
    </row>
    <row r="1624" spans="1:12" ht="14.25" customHeight="1" x14ac:dyDescent="0.2">
      <c r="A1624" s="28">
        <v>1623</v>
      </c>
      <c r="B1624" s="28" t="s">
        <v>2312</v>
      </c>
      <c r="C1624" s="28" t="s">
        <v>2307</v>
      </c>
      <c r="D1624" s="28" t="s">
        <v>670</v>
      </c>
      <c r="E1624" s="28" t="s">
        <v>211</v>
      </c>
      <c r="F1624" s="28" t="s">
        <v>212</v>
      </c>
      <c r="G1624" s="28" t="s">
        <v>676</v>
      </c>
      <c r="H1624" s="28">
        <v>4440602</v>
      </c>
      <c r="I1624" s="28">
        <v>132702</v>
      </c>
      <c r="J1624" s="28">
        <v>0.99</v>
      </c>
      <c r="K1624" s="28">
        <v>2</v>
      </c>
      <c r="L1624" s="28">
        <v>1</v>
      </c>
    </row>
    <row r="1625" spans="1:12" ht="14.25" customHeight="1" x14ac:dyDescent="0.2">
      <c r="A1625" s="28">
        <v>1624</v>
      </c>
      <c r="B1625" s="28" t="s">
        <v>673</v>
      </c>
      <c r="C1625" s="28" t="s">
        <v>2307</v>
      </c>
      <c r="D1625" s="28" t="s">
        <v>670</v>
      </c>
      <c r="E1625" s="28" t="s">
        <v>211</v>
      </c>
      <c r="F1625" s="28" t="s">
        <v>212</v>
      </c>
      <c r="G1625" s="28" t="s">
        <v>674</v>
      </c>
      <c r="H1625" s="28">
        <v>4899554</v>
      </c>
      <c r="I1625" s="28">
        <v>150230</v>
      </c>
      <c r="J1625" s="28">
        <v>0.99</v>
      </c>
      <c r="K1625" s="28">
        <v>42</v>
      </c>
      <c r="L1625" s="28">
        <v>1</v>
      </c>
    </row>
    <row r="1626" spans="1:12" ht="14.25" customHeight="1" x14ac:dyDescent="0.2">
      <c r="A1626" s="28">
        <v>1625</v>
      </c>
      <c r="B1626" s="28" t="s">
        <v>672</v>
      </c>
      <c r="C1626" s="28" t="s">
        <v>2307</v>
      </c>
      <c r="D1626" s="28" t="s">
        <v>670</v>
      </c>
      <c r="E1626" s="28" t="s">
        <v>211</v>
      </c>
      <c r="F1626" s="28" t="s">
        <v>212</v>
      </c>
      <c r="G1626" s="28" t="s">
        <v>473</v>
      </c>
      <c r="H1626" s="28">
        <v>9252733</v>
      </c>
      <c r="I1626" s="28">
        <v>282671</v>
      </c>
      <c r="J1626" s="28">
        <v>0.99</v>
      </c>
      <c r="K1626" s="28">
        <v>33</v>
      </c>
      <c r="L1626" s="28">
        <v>1</v>
      </c>
    </row>
    <row r="1627" spans="1:12" ht="14.25" customHeight="1" x14ac:dyDescent="0.2">
      <c r="A1627" s="28">
        <v>1626</v>
      </c>
      <c r="B1627" s="28" t="s">
        <v>691</v>
      </c>
      <c r="C1627" s="28" t="s">
        <v>2307</v>
      </c>
      <c r="D1627" s="28" t="s">
        <v>670</v>
      </c>
      <c r="E1627" s="28" t="s">
        <v>211</v>
      </c>
      <c r="F1627" s="28" t="s">
        <v>212</v>
      </c>
      <c r="G1627" s="28" t="s">
        <v>674</v>
      </c>
      <c r="H1627" s="28">
        <v>16541364</v>
      </c>
      <c r="I1627" s="28">
        <v>508055</v>
      </c>
      <c r="J1627" s="28">
        <v>0.99</v>
      </c>
      <c r="K1627" s="28">
        <v>71</v>
      </c>
      <c r="L1627" s="28">
        <v>2</v>
      </c>
    </row>
    <row r="1628" spans="1:12" ht="14.25" customHeight="1" x14ac:dyDescent="0.2">
      <c r="A1628" s="28">
        <v>1627</v>
      </c>
      <c r="B1628" s="28" t="s">
        <v>684</v>
      </c>
      <c r="C1628" s="28" t="s">
        <v>2313</v>
      </c>
      <c r="D1628" s="28" t="s">
        <v>670</v>
      </c>
      <c r="E1628" s="28" t="s">
        <v>211</v>
      </c>
      <c r="F1628" s="28" t="s">
        <v>212</v>
      </c>
      <c r="G1628" s="28" t="s">
        <v>2300</v>
      </c>
      <c r="H1628" s="28">
        <v>11026243</v>
      </c>
      <c r="I1628" s="28">
        <v>334471</v>
      </c>
      <c r="J1628" s="28">
        <v>0.99</v>
      </c>
      <c r="K1628" s="28">
        <v>60</v>
      </c>
      <c r="L1628" s="28">
        <v>1</v>
      </c>
    </row>
    <row r="1629" spans="1:12" ht="14.25" customHeight="1" x14ac:dyDescent="0.2">
      <c r="A1629" s="28">
        <v>1628</v>
      </c>
      <c r="B1629" s="28" t="s">
        <v>2314</v>
      </c>
      <c r="C1629" s="28" t="s">
        <v>2313</v>
      </c>
      <c r="D1629" s="28" t="s">
        <v>670</v>
      </c>
      <c r="E1629" s="28" t="s">
        <v>211</v>
      </c>
      <c r="F1629" s="28" t="s">
        <v>212</v>
      </c>
      <c r="G1629" s="28" t="s">
        <v>2269</v>
      </c>
      <c r="H1629" s="28">
        <v>9369385</v>
      </c>
      <c r="I1629" s="28">
        <v>287973</v>
      </c>
      <c r="J1629" s="28">
        <v>0.99</v>
      </c>
      <c r="K1629" s="28">
        <v>61</v>
      </c>
      <c r="L1629" s="28">
        <v>1</v>
      </c>
    </row>
    <row r="1630" spans="1:12" ht="14.25" customHeight="1" x14ac:dyDescent="0.2">
      <c r="A1630" s="28">
        <v>1629</v>
      </c>
      <c r="B1630" s="28" t="s">
        <v>2315</v>
      </c>
      <c r="C1630" s="28" t="s">
        <v>2313</v>
      </c>
      <c r="D1630" s="28" t="s">
        <v>670</v>
      </c>
      <c r="E1630" s="28" t="s">
        <v>211</v>
      </c>
      <c r="F1630" s="28" t="s">
        <v>212</v>
      </c>
      <c r="G1630" s="28" t="s">
        <v>2300</v>
      </c>
      <c r="H1630" s="28">
        <v>12463496</v>
      </c>
      <c r="I1630" s="28">
        <v>379141</v>
      </c>
      <c r="J1630" s="28">
        <v>0.99</v>
      </c>
      <c r="K1630" s="28">
        <v>89</v>
      </c>
      <c r="L1630" s="28">
        <v>1</v>
      </c>
    </row>
    <row r="1631" spans="1:12" ht="14.25" customHeight="1" x14ac:dyDescent="0.2">
      <c r="A1631" s="28">
        <v>1630</v>
      </c>
      <c r="B1631" s="28" t="s">
        <v>2263</v>
      </c>
      <c r="C1631" s="28" t="s">
        <v>2313</v>
      </c>
      <c r="D1631" s="28" t="s">
        <v>670</v>
      </c>
      <c r="E1631" s="28" t="s">
        <v>211</v>
      </c>
      <c r="F1631" s="28" t="s">
        <v>212</v>
      </c>
      <c r="G1631" s="28" t="s">
        <v>2269</v>
      </c>
      <c r="H1631" s="28">
        <v>9337392</v>
      </c>
      <c r="I1631" s="28">
        <v>287791</v>
      </c>
      <c r="J1631" s="28">
        <v>0.99</v>
      </c>
      <c r="K1631" s="28">
        <v>75</v>
      </c>
      <c r="L1631" s="28">
        <v>1</v>
      </c>
    </row>
    <row r="1632" spans="1:12" ht="14.25" customHeight="1" x14ac:dyDescent="0.2">
      <c r="A1632" s="28">
        <v>1631</v>
      </c>
      <c r="B1632" s="28" t="s">
        <v>2251</v>
      </c>
      <c r="C1632" s="28" t="s">
        <v>2313</v>
      </c>
      <c r="D1632" s="28" t="s">
        <v>670</v>
      </c>
      <c r="E1632" s="28" t="s">
        <v>211</v>
      </c>
      <c r="F1632" s="28" t="s">
        <v>212</v>
      </c>
      <c r="G1632" s="28" t="s">
        <v>2300</v>
      </c>
      <c r="H1632" s="28">
        <v>8387560</v>
      </c>
      <c r="I1632" s="28">
        <v>253988</v>
      </c>
      <c r="J1632" s="28">
        <v>0.99</v>
      </c>
      <c r="K1632" s="28">
        <v>85</v>
      </c>
      <c r="L1632" s="28">
        <v>0</v>
      </c>
    </row>
    <row r="1633" spans="1:12" ht="14.25" customHeight="1" x14ac:dyDescent="0.2">
      <c r="A1633" s="28">
        <v>1632</v>
      </c>
      <c r="B1633" s="28" t="s">
        <v>2316</v>
      </c>
      <c r="C1633" s="28" t="s">
        <v>2313</v>
      </c>
      <c r="D1633" s="28" t="s">
        <v>670</v>
      </c>
      <c r="E1633" s="28" t="s">
        <v>211</v>
      </c>
      <c r="F1633" s="28" t="s">
        <v>212</v>
      </c>
      <c r="G1633" s="28" t="s">
        <v>2269</v>
      </c>
      <c r="H1633" s="28">
        <v>5219819</v>
      </c>
      <c r="I1633" s="28">
        <v>159216</v>
      </c>
      <c r="J1633" s="28">
        <v>0.99</v>
      </c>
      <c r="K1633" s="28">
        <v>90</v>
      </c>
      <c r="L1633" s="28">
        <v>2</v>
      </c>
    </row>
    <row r="1634" spans="1:12" ht="14.25" customHeight="1" x14ac:dyDescent="0.2">
      <c r="A1634" s="28">
        <v>1633</v>
      </c>
      <c r="B1634" s="28" t="s">
        <v>2317</v>
      </c>
      <c r="C1634" s="28" t="s">
        <v>2313</v>
      </c>
      <c r="D1634" s="28" t="s">
        <v>670</v>
      </c>
      <c r="E1634" s="28" t="s">
        <v>211</v>
      </c>
      <c r="F1634" s="28" t="s">
        <v>212</v>
      </c>
      <c r="G1634" s="28" t="s">
        <v>2269</v>
      </c>
      <c r="H1634" s="28">
        <v>9199710</v>
      </c>
      <c r="I1634" s="28">
        <v>275591</v>
      </c>
      <c r="J1634" s="28">
        <v>0.99</v>
      </c>
      <c r="K1634" s="28">
        <v>85</v>
      </c>
      <c r="L1634" s="28">
        <v>2</v>
      </c>
    </row>
    <row r="1635" spans="1:12" ht="14.25" customHeight="1" x14ac:dyDescent="0.2">
      <c r="A1635" s="28">
        <v>1634</v>
      </c>
      <c r="B1635" s="28" t="s">
        <v>2318</v>
      </c>
      <c r="C1635" s="28" t="s">
        <v>2313</v>
      </c>
      <c r="D1635" s="28" t="s">
        <v>670</v>
      </c>
      <c r="E1635" s="28" t="s">
        <v>211</v>
      </c>
      <c r="F1635" s="28" t="s">
        <v>212</v>
      </c>
      <c r="G1635" s="28" t="s">
        <v>2319</v>
      </c>
      <c r="H1635" s="28">
        <v>8664210</v>
      </c>
      <c r="I1635" s="28">
        <v>260728</v>
      </c>
      <c r="J1635" s="28">
        <v>0.99</v>
      </c>
      <c r="K1635" s="28">
        <v>4</v>
      </c>
      <c r="L1635" s="28">
        <v>1</v>
      </c>
    </row>
    <row r="1636" spans="1:12" ht="14.25" customHeight="1" x14ac:dyDescent="0.2">
      <c r="A1636" s="28">
        <v>1635</v>
      </c>
      <c r="B1636" s="28" t="s">
        <v>2320</v>
      </c>
      <c r="C1636" s="28" t="s">
        <v>2313</v>
      </c>
      <c r="D1636" s="28" t="s">
        <v>670</v>
      </c>
      <c r="E1636" s="28" t="s">
        <v>211</v>
      </c>
      <c r="F1636" s="28" t="s">
        <v>212</v>
      </c>
      <c r="G1636" s="28" t="s">
        <v>2269</v>
      </c>
      <c r="H1636" s="28">
        <v>8494731</v>
      </c>
      <c r="I1636" s="28">
        <v>259970</v>
      </c>
      <c r="J1636" s="28">
        <v>0.99</v>
      </c>
      <c r="K1636" s="28">
        <v>78</v>
      </c>
      <c r="L1636" s="28">
        <v>0</v>
      </c>
    </row>
    <row r="1637" spans="1:12" ht="14.25" customHeight="1" x14ac:dyDescent="0.2">
      <c r="A1637" s="28">
        <v>1636</v>
      </c>
      <c r="B1637" s="28" t="s">
        <v>2248</v>
      </c>
      <c r="C1637" s="28" t="s">
        <v>2321</v>
      </c>
      <c r="D1637" s="28" t="s">
        <v>670</v>
      </c>
      <c r="E1637" s="28" t="s">
        <v>211</v>
      </c>
      <c r="F1637" s="28" t="s">
        <v>212</v>
      </c>
      <c r="G1637" s="28" t="s">
        <v>2269</v>
      </c>
      <c r="H1637" s="28">
        <v>4786461</v>
      </c>
      <c r="I1637" s="28">
        <v>144875</v>
      </c>
      <c r="J1637" s="28">
        <v>0.99</v>
      </c>
      <c r="K1637" s="28">
        <v>35</v>
      </c>
      <c r="L1637" s="28">
        <v>1</v>
      </c>
    </row>
    <row r="1638" spans="1:12" ht="14.25" customHeight="1" x14ac:dyDescent="0.2">
      <c r="A1638" s="28">
        <v>1637</v>
      </c>
      <c r="B1638" s="28" t="s">
        <v>2322</v>
      </c>
      <c r="C1638" s="28" t="s">
        <v>2321</v>
      </c>
      <c r="D1638" s="28" t="s">
        <v>670</v>
      </c>
      <c r="E1638" s="28" t="s">
        <v>211</v>
      </c>
      <c r="F1638" s="28" t="s">
        <v>212</v>
      </c>
      <c r="G1638" s="28" t="s">
        <v>2269</v>
      </c>
      <c r="H1638" s="28">
        <v>7694220</v>
      </c>
      <c r="I1638" s="28">
        <v>233560</v>
      </c>
      <c r="J1638" s="28">
        <v>0.99</v>
      </c>
      <c r="K1638" s="28">
        <v>33</v>
      </c>
      <c r="L1638" s="28">
        <v>1</v>
      </c>
    </row>
    <row r="1639" spans="1:12" ht="14.25" customHeight="1" x14ac:dyDescent="0.2">
      <c r="A1639" s="28">
        <v>1638</v>
      </c>
      <c r="B1639" s="28" t="s">
        <v>2323</v>
      </c>
      <c r="C1639" s="28" t="s">
        <v>2321</v>
      </c>
      <c r="D1639" s="28" t="s">
        <v>670</v>
      </c>
      <c r="E1639" s="28" t="s">
        <v>211</v>
      </c>
      <c r="F1639" s="28" t="s">
        <v>212</v>
      </c>
      <c r="G1639" s="28" t="s">
        <v>2298</v>
      </c>
      <c r="H1639" s="28">
        <v>6871078</v>
      </c>
      <c r="I1639" s="28">
        <v>209528</v>
      </c>
      <c r="J1639" s="28">
        <v>0.99</v>
      </c>
      <c r="K1639" s="28">
        <v>65</v>
      </c>
      <c r="L1639" s="28">
        <v>1</v>
      </c>
    </row>
    <row r="1640" spans="1:12" ht="14.25" customHeight="1" x14ac:dyDescent="0.2">
      <c r="A1640" s="28">
        <v>1639</v>
      </c>
      <c r="B1640" s="28" t="s">
        <v>2253</v>
      </c>
      <c r="C1640" s="28" t="s">
        <v>2321</v>
      </c>
      <c r="D1640" s="28" t="s">
        <v>670</v>
      </c>
      <c r="E1640" s="28" t="s">
        <v>211</v>
      </c>
      <c r="F1640" s="28" t="s">
        <v>212</v>
      </c>
      <c r="G1640" s="28" t="s">
        <v>2298</v>
      </c>
      <c r="H1640" s="28">
        <v>14482460</v>
      </c>
      <c r="I1640" s="28">
        <v>444055</v>
      </c>
      <c r="J1640" s="28">
        <v>0.99</v>
      </c>
      <c r="K1640" s="28">
        <v>75</v>
      </c>
      <c r="L1640" s="28">
        <v>1</v>
      </c>
    </row>
    <row r="1641" spans="1:12" ht="14.25" customHeight="1" x14ac:dyDescent="0.2">
      <c r="A1641" s="28">
        <v>1640</v>
      </c>
      <c r="B1641" s="28" t="s">
        <v>2324</v>
      </c>
      <c r="C1641" s="28" t="s">
        <v>2321</v>
      </c>
      <c r="D1641" s="28" t="s">
        <v>670</v>
      </c>
      <c r="E1641" s="28" t="s">
        <v>211</v>
      </c>
      <c r="F1641" s="28" t="s">
        <v>212</v>
      </c>
      <c r="G1641" s="28" t="s">
        <v>2325</v>
      </c>
      <c r="H1641" s="28">
        <v>8060350</v>
      </c>
      <c r="I1641" s="28">
        <v>246047</v>
      </c>
      <c r="J1641" s="28">
        <v>0.99</v>
      </c>
      <c r="K1641" s="28">
        <v>71</v>
      </c>
      <c r="L1641" s="28">
        <v>1</v>
      </c>
    </row>
    <row r="1642" spans="1:12" ht="14.25" customHeight="1" x14ac:dyDescent="0.2">
      <c r="A1642" s="28">
        <v>1641</v>
      </c>
      <c r="B1642" s="28" t="s">
        <v>2326</v>
      </c>
      <c r="C1642" s="28" t="s">
        <v>2321</v>
      </c>
      <c r="D1642" s="28" t="s">
        <v>670</v>
      </c>
      <c r="E1642" s="28" t="s">
        <v>211</v>
      </c>
      <c r="F1642" s="28" t="s">
        <v>212</v>
      </c>
      <c r="G1642" s="28" t="s">
        <v>790</v>
      </c>
      <c r="H1642" s="28">
        <v>9757151</v>
      </c>
      <c r="I1642" s="28">
        <v>296228</v>
      </c>
      <c r="J1642" s="28">
        <v>0.99</v>
      </c>
      <c r="K1642" s="28">
        <v>80</v>
      </c>
      <c r="L1642" s="28">
        <v>0</v>
      </c>
    </row>
    <row r="1643" spans="1:12" ht="14.25" customHeight="1" x14ac:dyDescent="0.2">
      <c r="A1643" s="28">
        <v>1642</v>
      </c>
      <c r="B1643" s="28" t="s">
        <v>2327</v>
      </c>
      <c r="C1643" s="28" t="s">
        <v>2321</v>
      </c>
      <c r="D1643" s="28" t="s">
        <v>670</v>
      </c>
      <c r="E1643" s="28" t="s">
        <v>211</v>
      </c>
      <c r="F1643" s="28" t="s">
        <v>212</v>
      </c>
      <c r="G1643" s="28" t="s">
        <v>676</v>
      </c>
      <c r="H1643" s="28">
        <v>6200893</v>
      </c>
      <c r="I1643" s="28">
        <v>189675</v>
      </c>
      <c r="J1643" s="28">
        <v>0.99</v>
      </c>
      <c r="K1643" s="28">
        <v>98</v>
      </c>
      <c r="L1643" s="28">
        <v>0</v>
      </c>
    </row>
    <row r="1644" spans="1:12" ht="14.25" customHeight="1" x14ac:dyDescent="0.2">
      <c r="A1644" s="28">
        <v>1643</v>
      </c>
      <c r="B1644" s="28" t="s">
        <v>2260</v>
      </c>
      <c r="C1644" s="28" t="s">
        <v>2321</v>
      </c>
      <c r="D1644" s="28" t="s">
        <v>670</v>
      </c>
      <c r="E1644" s="28" t="s">
        <v>211</v>
      </c>
      <c r="F1644" s="28" t="s">
        <v>212</v>
      </c>
      <c r="G1644" s="28" t="s">
        <v>2269</v>
      </c>
      <c r="H1644" s="28">
        <v>11202499</v>
      </c>
      <c r="I1644" s="28">
        <v>337345</v>
      </c>
      <c r="J1644" s="28">
        <v>0.99</v>
      </c>
      <c r="K1644" s="28">
        <v>3</v>
      </c>
      <c r="L1644" s="28">
        <v>1</v>
      </c>
    </row>
    <row r="1645" spans="1:12" ht="14.25" customHeight="1" x14ac:dyDescent="0.2">
      <c r="A1645" s="28">
        <v>1644</v>
      </c>
      <c r="B1645" s="28" t="s">
        <v>2328</v>
      </c>
      <c r="C1645" s="28" t="s">
        <v>2321</v>
      </c>
      <c r="D1645" s="28" t="s">
        <v>670</v>
      </c>
      <c r="E1645" s="28" t="s">
        <v>211</v>
      </c>
      <c r="F1645" s="28" t="s">
        <v>212</v>
      </c>
      <c r="G1645" s="28" t="s">
        <v>2298</v>
      </c>
      <c r="H1645" s="28">
        <v>8674508</v>
      </c>
      <c r="I1645" s="28">
        <v>259500</v>
      </c>
      <c r="J1645" s="28">
        <v>0.99</v>
      </c>
      <c r="K1645" s="28">
        <v>92</v>
      </c>
      <c r="L1645" s="28">
        <v>2</v>
      </c>
    </row>
    <row r="1646" spans="1:12" ht="14.25" customHeight="1" x14ac:dyDescent="0.2">
      <c r="A1646" s="28">
        <v>1645</v>
      </c>
      <c r="B1646" s="28" t="s">
        <v>2329</v>
      </c>
      <c r="C1646" s="28" t="s">
        <v>2321</v>
      </c>
      <c r="D1646" s="28" t="s">
        <v>670</v>
      </c>
      <c r="E1646" s="28" t="s">
        <v>211</v>
      </c>
      <c r="F1646" s="28" t="s">
        <v>212</v>
      </c>
      <c r="G1646" s="28" t="s">
        <v>790</v>
      </c>
      <c r="H1646" s="28">
        <v>7236640</v>
      </c>
      <c r="I1646" s="28">
        <v>219376</v>
      </c>
      <c r="J1646" s="28">
        <v>0.99</v>
      </c>
      <c r="K1646" s="28">
        <v>46</v>
      </c>
      <c r="L1646" s="28">
        <v>1</v>
      </c>
    </row>
    <row r="1647" spans="1:12" ht="14.25" customHeight="1" x14ac:dyDescent="0.2">
      <c r="A1647" s="28">
        <v>1646</v>
      </c>
      <c r="B1647" s="28" t="s">
        <v>2330</v>
      </c>
      <c r="C1647" s="28" t="s">
        <v>2331</v>
      </c>
      <c r="D1647" s="28" t="s">
        <v>670</v>
      </c>
      <c r="E1647" s="28" t="s">
        <v>211</v>
      </c>
      <c r="F1647" s="28" t="s">
        <v>212</v>
      </c>
      <c r="G1647" s="28" t="s">
        <v>2254</v>
      </c>
      <c r="H1647" s="28">
        <v>17033046</v>
      </c>
      <c r="I1647" s="28">
        <v>526785</v>
      </c>
      <c r="J1647" s="28">
        <v>0.99</v>
      </c>
      <c r="K1647" s="28">
        <v>73</v>
      </c>
      <c r="L1647" s="28">
        <v>0</v>
      </c>
    </row>
    <row r="1648" spans="1:12" ht="14.25" customHeight="1" x14ac:dyDescent="0.2">
      <c r="A1648" s="28">
        <v>1647</v>
      </c>
      <c r="B1648" s="28" t="s">
        <v>2332</v>
      </c>
      <c r="C1648" s="28" t="s">
        <v>2331</v>
      </c>
      <c r="D1648" s="28" t="s">
        <v>670</v>
      </c>
      <c r="E1648" s="28" t="s">
        <v>211</v>
      </c>
      <c r="F1648" s="28" t="s">
        <v>212</v>
      </c>
      <c r="G1648" s="28" t="s">
        <v>676</v>
      </c>
      <c r="H1648" s="28">
        <v>4150746</v>
      </c>
      <c r="I1648" s="28">
        <v>126641</v>
      </c>
      <c r="J1648" s="28">
        <v>0.99</v>
      </c>
      <c r="K1648" s="28">
        <v>43</v>
      </c>
      <c r="L1648" s="28">
        <v>0</v>
      </c>
    </row>
    <row r="1649" spans="1:12" ht="14.25" customHeight="1" x14ac:dyDescent="0.2">
      <c r="A1649" s="28">
        <v>1648</v>
      </c>
      <c r="B1649" s="28" t="s">
        <v>2333</v>
      </c>
      <c r="C1649" s="28" t="s">
        <v>2331</v>
      </c>
      <c r="D1649" s="28" t="s">
        <v>670</v>
      </c>
      <c r="E1649" s="28" t="s">
        <v>211</v>
      </c>
      <c r="F1649" s="28" t="s">
        <v>212</v>
      </c>
      <c r="G1649" s="28" t="s">
        <v>2250</v>
      </c>
      <c r="H1649" s="28">
        <v>10371282</v>
      </c>
      <c r="I1649" s="28">
        <v>316186</v>
      </c>
      <c r="J1649" s="28">
        <v>0.99</v>
      </c>
      <c r="K1649" s="28">
        <v>49</v>
      </c>
      <c r="L1649" s="28">
        <v>1</v>
      </c>
    </row>
    <row r="1650" spans="1:12" ht="14.25" customHeight="1" x14ac:dyDescent="0.2">
      <c r="A1650" s="28">
        <v>1649</v>
      </c>
      <c r="B1650" s="28" t="s">
        <v>2334</v>
      </c>
      <c r="C1650" s="28" t="s">
        <v>2331</v>
      </c>
      <c r="D1650" s="28" t="s">
        <v>670</v>
      </c>
      <c r="E1650" s="28" t="s">
        <v>211</v>
      </c>
      <c r="F1650" s="28" t="s">
        <v>212</v>
      </c>
      <c r="G1650" s="28" t="s">
        <v>2250</v>
      </c>
      <c r="H1650" s="28">
        <v>12756366</v>
      </c>
      <c r="I1650" s="28">
        <v>393116</v>
      </c>
      <c r="J1650" s="28">
        <v>0.99</v>
      </c>
      <c r="K1650" s="28">
        <v>20</v>
      </c>
      <c r="L1650" s="28">
        <v>1</v>
      </c>
    </row>
    <row r="1651" spans="1:12" ht="14.25" customHeight="1" x14ac:dyDescent="0.2">
      <c r="A1651" s="28">
        <v>1650</v>
      </c>
      <c r="B1651" s="28" t="s">
        <v>2335</v>
      </c>
      <c r="C1651" s="28" t="s">
        <v>2331</v>
      </c>
      <c r="D1651" s="28" t="s">
        <v>670</v>
      </c>
      <c r="E1651" s="28" t="s">
        <v>211</v>
      </c>
      <c r="F1651" s="28" t="s">
        <v>212</v>
      </c>
      <c r="G1651" s="28" t="s">
        <v>2254</v>
      </c>
      <c r="H1651" s="28">
        <v>7160647</v>
      </c>
      <c r="I1651" s="28">
        <v>217547</v>
      </c>
      <c r="J1651" s="28">
        <v>0.99</v>
      </c>
      <c r="K1651" s="28">
        <v>34</v>
      </c>
      <c r="L1651" s="28">
        <v>1</v>
      </c>
    </row>
    <row r="1652" spans="1:12" ht="14.25" customHeight="1" x14ac:dyDescent="0.2">
      <c r="A1652" s="28">
        <v>1651</v>
      </c>
      <c r="B1652" s="28" t="s">
        <v>2336</v>
      </c>
      <c r="C1652" s="28" t="s">
        <v>2331</v>
      </c>
      <c r="D1652" s="28" t="s">
        <v>670</v>
      </c>
      <c r="E1652" s="28" t="s">
        <v>211</v>
      </c>
      <c r="F1652" s="28" t="s">
        <v>212</v>
      </c>
      <c r="G1652" s="28" t="s">
        <v>2250</v>
      </c>
      <c r="H1652" s="28">
        <v>8180988</v>
      </c>
      <c r="I1652" s="28">
        <v>249887</v>
      </c>
      <c r="J1652" s="28">
        <v>0.99</v>
      </c>
      <c r="K1652" s="28">
        <v>16</v>
      </c>
      <c r="L1652" s="28">
        <v>0</v>
      </c>
    </row>
    <row r="1653" spans="1:12" ht="14.25" customHeight="1" x14ac:dyDescent="0.2">
      <c r="A1653" s="28">
        <v>1652</v>
      </c>
      <c r="B1653" s="28" t="s">
        <v>2337</v>
      </c>
      <c r="C1653" s="28" t="s">
        <v>2331</v>
      </c>
      <c r="D1653" s="28" t="s">
        <v>670</v>
      </c>
      <c r="E1653" s="28" t="s">
        <v>211</v>
      </c>
      <c r="F1653" s="28" t="s">
        <v>212</v>
      </c>
      <c r="G1653" s="28" t="s">
        <v>2338</v>
      </c>
      <c r="H1653" s="28">
        <v>7657086</v>
      </c>
      <c r="I1653" s="28">
        <v>233273</v>
      </c>
      <c r="J1653" s="28">
        <v>0.99</v>
      </c>
      <c r="K1653" s="28">
        <v>6</v>
      </c>
      <c r="L1653" s="28">
        <v>1</v>
      </c>
    </row>
    <row r="1654" spans="1:12" ht="14.25" customHeight="1" x14ac:dyDescent="0.2">
      <c r="A1654" s="28">
        <v>1653</v>
      </c>
      <c r="B1654" s="28" t="s">
        <v>2339</v>
      </c>
      <c r="C1654" s="28" t="s">
        <v>2331</v>
      </c>
      <c r="D1654" s="28" t="s">
        <v>670</v>
      </c>
      <c r="E1654" s="28" t="s">
        <v>211</v>
      </c>
      <c r="F1654" s="28" t="s">
        <v>212</v>
      </c>
      <c r="G1654" s="28" t="s">
        <v>2250</v>
      </c>
      <c r="H1654" s="28">
        <v>8951732</v>
      </c>
      <c r="I1654" s="28">
        <v>273084</v>
      </c>
      <c r="J1654" s="28">
        <v>0.99</v>
      </c>
      <c r="K1654" s="28">
        <v>64</v>
      </c>
      <c r="L1654" s="28">
        <v>0</v>
      </c>
    </row>
    <row r="1655" spans="1:12" ht="14.25" customHeight="1" x14ac:dyDescent="0.2">
      <c r="A1655" s="28">
        <v>1654</v>
      </c>
      <c r="B1655" s="28" t="s">
        <v>2340</v>
      </c>
      <c r="C1655" s="28" t="s">
        <v>2331</v>
      </c>
      <c r="D1655" s="28" t="s">
        <v>670</v>
      </c>
      <c r="E1655" s="28" t="s">
        <v>211</v>
      </c>
      <c r="F1655" s="28" t="s">
        <v>212</v>
      </c>
      <c r="G1655" s="28" t="s">
        <v>2250</v>
      </c>
      <c r="H1655" s="28">
        <v>9279263</v>
      </c>
      <c r="I1655" s="28">
        <v>283036</v>
      </c>
      <c r="J1655" s="28">
        <v>0.99</v>
      </c>
      <c r="K1655" s="28">
        <v>73</v>
      </c>
      <c r="L1655" s="28">
        <v>1</v>
      </c>
    </row>
    <row r="1656" spans="1:12" ht="14.25" customHeight="1" x14ac:dyDescent="0.2">
      <c r="A1656" s="28">
        <v>1655</v>
      </c>
      <c r="B1656" s="28" t="s">
        <v>2341</v>
      </c>
      <c r="C1656" s="28" t="s">
        <v>2342</v>
      </c>
      <c r="D1656" s="28" t="s">
        <v>670</v>
      </c>
      <c r="E1656" s="28" t="s">
        <v>211</v>
      </c>
      <c r="F1656" s="28" t="s">
        <v>212</v>
      </c>
      <c r="G1656" s="28" t="s">
        <v>680</v>
      </c>
      <c r="H1656" s="28">
        <v>20593955</v>
      </c>
      <c r="I1656" s="28">
        <v>625502</v>
      </c>
      <c r="J1656" s="28">
        <v>0.99</v>
      </c>
      <c r="K1656" s="28">
        <v>52</v>
      </c>
      <c r="L1656" s="28">
        <v>1</v>
      </c>
    </row>
    <row r="1657" spans="1:12" ht="14.25" customHeight="1" x14ac:dyDescent="0.2">
      <c r="A1657" s="28">
        <v>1656</v>
      </c>
      <c r="B1657" s="28" t="s">
        <v>2343</v>
      </c>
      <c r="C1657" s="28" t="s">
        <v>2342</v>
      </c>
      <c r="D1657" s="28" t="s">
        <v>670</v>
      </c>
      <c r="E1657" s="28" t="s">
        <v>211</v>
      </c>
      <c r="F1657" s="28" t="s">
        <v>212</v>
      </c>
      <c r="G1657" s="28" t="s">
        <v>680</v>
      </c>
      <c r="H1657" s="28">
        <v>12633382</v>
      </c>
      <c r="I1657" s="28">
        <v>384391</v>
      </c>
      <c r="J1657" s="28">
        <v>0.99</v>
      </c>
      <c r="K1657" s="28">
        <v>67</v>
      </c>
      <c r="L1657" s="28">
        <v>2</v>
      </c>
    </row>
    <row r="1658" spans="1:12" ht="14.25" customHeight="1" x14ac:dyDescent="0.2">
      <c r="A1658" s="28">
        <v>1657</v>
      </c>
      <c r="B1658" s="28" t="s">
        <v>2344</v>
      </c>
      <c r="C1658" s="28" t="s">
        <v>2342</v>
      </c>
      <c r="D1658" s="28" t="s">
        <v>670</v>
      </c>
      <c r="E1658" s="28" t="s">
        <v>211</v>
      </c>
      <c r="F1658" s="28" t="s">
        <v>212</v>
      </c>
      <c r="G1658" s="28" t="s">
        <v>981</v>
      </c>
      <c r="H1658" s="28">
        <v>5930027</v>
      </c>
      <c r="I1658" s="28">
        <v>179591</v>
      </c>
      <c r="J1658" s="28">
        <v>0.99</v>
      </c>
      <c r="K1658" s="28">
        <v>21</v>
      </c>
      <c r="L1658" s="28">
        <v>0</v>
      </c>
    </row>
    <row r="1659" spans="1:12" ht="14.25" customHeight="1" x14ac:dyDescent="0.2">
      <c r="A1659" s="28">
        <v>1658</v>
      </c>
      <c r="B1659" s="28" t="s">
        <v>2345</v>
      </c>
      <c r="C1659" s="28" t="s">
        <v>2342</v>
      </c>
      <c r="D1659" s="28" t="s">
        <v>670</v>
      </c>
      <c r="E1659" s="28" t="s">
        <v>211</v>
      </c>
      <c r="F1659" s="28" t="s">
        <v>212</v>
      </c>
      <c r="G1659" s="28" t="s">
        <v>680</v>
      </c>
      <c r="H1659" s="28">
        <v>12237859</v>
      </c>
      <c r="I1659" s="28">
        <v>376215</v>
      </c>
      <c r="J1659" s="28">
        <v>0.99</v>
      </c>
      <c r="K1659" s="28">
        <v>48</v>
      </c>
      <c r="L1659" s="28">
        <v>0</v>
      </c>
    </row>
    <row r="1660" spans="1:12" ht="14.25" customHeight="1" x14ac:dyDescent="0.2">
      <c r="A1660" s="28">
        <v>1659</v>
      </c>
      <c r="B1660" s="28" t="s">
        <v>2346</v>
      </c>
      <c r="C1660" s="28" t="s">
        <v>2342</v>
      </c>
      <c r="D1660" s="28" t="s">
        <v>670</v>
      </c>
      <c r="E1660" s="28" t="s">
        <v>211</v>
      </c>
      <c r="F1660" s="28" t="s">
        <v>212</v>
      </c>
      <c r="G1660" s="28" t="s">
        <v>680</v>
      </c>
      <c r="H1660" s="28">
        <v>8397423</v>
      </c>
      <c r="I1660" s="28">
        <v>252055</v>
      </c>
      <c r="J1660" s="28">
        <v>0.99</v>
      </c>
      <c r="K1660" s="28">
        <v>26</v>
      </c>
      <c r="L1660" s="28">
        <v>0</v>
      </c>
    </row>
    <row r="1661" spans="1:12" ht="14.25" customHeight="1" x14ac:dyDescent="0.2">
      <c r="A1661" s="28">
        <v>1660</v>
      </c>
      <c r="B1661" s="28" t="s">
        <v>2347</v>
      </c>
      <c r="C1661" s="28" t="s">
        <v>2342</v>
      </c>
      <c r="D1661" s="28" t="s">
        <v>670</v>
      </c>
      <c r="E1661" s="28" t="s">
        <v>211</v>
      </c>
      <c r="F1661" s="28" t="s">
        <v>212</v>
      </c>
      <c r="G1661" s="28" t="s">
        <v>680</v>
      </c>
      <c r="H1661" s="28">
        <v>9342342</v>
      </c>
      <c r="I1661" s="28">
        <v>284107</v>
      </c>
      <c r="J1661" s="28">
        <v>0.99</v>
      </c>
      <c r="K1661" s="28">
        <v>18</v>
      </c>
      <c r="L1661" s="28">
        <v>1</v>
      </c>
    </row>
    <row r="1662" spans="1:12" ht="14.25" customHeight="1" x14ac:dyDescent="0.2">
      <c r="A1662" s="28">
        <v>1661</v>
      </c>
      <c r="B1662" s="28" t="s">
        <v>2348</v>
      </c>
      <c r="C1662" s="28" t="s">
        <v>2342</v>
      </c>
      <c r="D1662" s="28" t="s">
        <v>670</v>
      </c>
      <c r="E1662" s="28" t="s">
        <v>211</v>
      </c>
      <c r="F1662" s="28" t="s">
        <v>212</v>
      </c>
      <c r="G1662" s="28" t="s">
        <v>680</v>
      </c>
      <c r="H1662" s="28">
        <v>18475264</v>
      </c>
      <c r="I1662" s="28">
        <v>566752</v>
      </c>
      <c r="J1662" s="28">
        <v>0.99</v>
      </c>
      <c r="K1662" s="28">
        <v>6</v>
      </c>
      <c r="L1662" s="28">
        <v>1</v>
      </c>
    </row>
    <row r="1663" spans="1:12" ht="14.25" customHeight="1" x14ac:dyDescent="0.2">
      <c r="A1663" s="28">
        <v>1662</v>
      </c>
      <c r="B1663" s="28" t="s">
        <v>2299</v>
      </c>
      <c r="C1663" s="28" t="s">
        <v>2349</v>
      </c>
      <c r="D1663" s="28" t="s">
        <v>670</v>
      </c>
      <c r="E1663" s="28" t="s">
        <v>211</v>
      </c>
      <c r="F1663" s="28" t="s">
        <v>212</v>
      </c>
      <c r="G1663" s="28" t="s">
        <v>2252</v>
      </c>
      <c r="H1663" s="28">
        <v>7897065</v>
      </c>
      <c r="I1663" s="28">
        <v>242442</v>
      </c>
      <c r="J1663" s="28">
        <v>0.99</v>
      </c>
      <c r="K1663" s="28">
        <v>88</v>
      </c>
      <c r="L1663" s="28">
        <v>1</v>
      </c>
    </row>
    <row r="1664" spans="1:12" ht="14.25" customHeight="1" x14ac:dyDescent="0.2">
      <c r="A1664" s="28">
        <v>1663</v>
      </c>
      <c r="B1664" s="28" t="s">
        <v>2323</v>
      </c>
      <c r="C1664" s="28" t="s">
        <v>2349</v>
      </c>
      <c r="D1664" s="28" t="s">
        <v>670</v>
      </c>
      <c r="E1664" s="28" t="s">
        <v>211</v>
      </c>
      <c r="F1664" s="28" t="s">
        <v>212</v>
      </c>
      <c r="G1664" s="28" t="s">
        <v>2254</v>
      </c>
      <c r="H1664" s="28">
        <v>7478487</v>
      </c>
      <c r="I1664" s="28">
        <v>230034</v>
      </c>
      <c r="J1664" s="28">
        <v>0.99</v>
      </c>
      <c r="K1664" s="28">
        <v>8</v>
      </c>
      <c r="L1664" s="28">
        <v>1</v>
      </c>
    </row>
    <row r="1665" spans="1:12" ht="14.25" customHeight="1" x14ac:dyDescent="0.2">
      <c r="A1665" s="28">
        <v>1664</v>
      </c>
      <c r="B1665" s="28" t="s">
        <v>2275</v>
      </c>
      <c r="C1665" s="28" t="s">
        <v>2349</v>
      </c>
      <c r="D1665" s="28" t="s">
        <v>670</v>
      </c>
      <c r="E1665" s="28" t="s">
        <v>211</v>
      </c>
      <c r="F1665" s="28" t="s">
        <v>212</v>
      </c>
      <c r="G1665" s="28" t="s">
        <v>2250</v>
      </c>
      <c r="H1665" s="28">
        <v>11465033</v>
      </c>
      <c r="I1665" s="28">
        <v>353358</v>
      </c>
      <c r="J1665" s="28">
        <v>0.99</v>
      </c>
      <c r="K1665" s="28">
        <v>41</v>
      </c>
      <c r="L1665" s="28">
        <v>0</v>
      </c>
    </row>
    <row r="1666" spans="1:12" ht="14.25" customHeight="1" x14ac:dyDescent="0.2">
      <c r="A1666" s="28">
        <v>1665</v>
      </c>
      <c r="B1666" s="28" t="s">
        <v>2350</v>
      </c>
      <c r="C1666" s="28" t="s">
        <v>2349</v>
      </c>
      <c r="D1666" s="28" t="s">
        <v>670</v>
      </c>
      <c r="E1666" s="28" t="s">
        <v>211</v>
      </c>
      <c r="F1666" s="28" t="s">
        <v>212</v>
      </c>
      <c r="G1666" s="28" t="s">
        <v>2250</v>
      </c>
      <c r="H1666" s="28">
        <v>16273705</v>
      </c>
      <c r="I1666" s="28">
        <v>505808</v>
      </c>
      <c r="J1666" s="28">
        <v>0.99</v>
      </c>
      <c r="K1666" s="28">
        <v>45</v>
      </c>
      <c r="L1666" s="28">
        <v>0</v>
      </c>
    </row>
    <row r="1667" spans="1:12" ht="14.25" customHeight="1" x14ac:dyDescent="0.2">
      <c r="A1667" s="28">
        <v>1666</v>
      </c>
      <c r="B1667" s="28" t="s">
        <v>2256</v>
      </c>
      <c r="C1667" s="28" t="s">
        <v>2349</v>
      </c>
      <c r="D1667" s="28" t="s">
        <v>670</v>
      </c>
      <c r="E1667" s="28" t="s">
        <v>211</v>
      </c>
      <c r="F1667" s="28" t="s">
        <v>212</v>
      </c>
      <c r="G1667" s="28" t="s">
        <v>676</v>
      </c>
      <c r="H1667" s="28">
        <v>52490554</v>
      </c>
      <c r="I1667" s="28">
        <v>1612329</v>
      </c>
      <c r="J1667" s="28">
        <v>0.99</v>
      </c>
      <c r="K1667" s="28">
        <v>41</v>
      </c>
      <c r="L1667" s="28">
        <v>1</v>
      </c>
    </row>
    <row r="1668" spans="1:12" ht="14.25" customHeight="1" x14ac:dyDescent="0.2">
      <c r="A1668" s="28">
        <v>1667</v>
      </c>
      <c r="B1668" s="28" t="s">
        <v>2282</v>
      </c>
      <c r="C1668" s="28" t="s">
        <v>2351</v>
      </c>
      <c r="D1668" s="28" t="s">
        <v>670</v>
      </c>
      <c r="E1668" s="28" t="s">
        <v>211</v>
      </c>
      <c r="F1668" s="28" t="s">
        <v>212</v>
      </c>
      <c r="G1668" s="28" t="s">
        <v>2254</v>
      </c>
      <c r="H1668" s="28">
        <v>24399285</v>
      </c>
      <c r="I1668" s="28">
        <v>749897</v>
      </c>
      <c r="J1668" s="28">
        <v>0.99</v>
      </c>
      <c r="K1668" s="28">
        <v>27</v>
      </c>
      <c r="L1668" s="28">
        <v>1</v>
      </c>
    </row>
    <row r="1669" spans="1:12" ht="14.25" customHeight="1" x14ac:dyDescent="0.2">
      <c r="A1669" s="28">
        <v>1668</v>
      </c>
      <c r="B1669" s="28" t="s">
        <v>2258</v>
      </c>
      <c r="C1669" s="28" t="s">
        <v>2351</v>
      </c>
      <c r="D1669" s="28" t="s">
        <v>670</v>
      </c>
      <c r="E1669" s="28" t="s">
        <v>211</v>
      </c>
      <c r="F1669" s="28" t="s">
        <v>212</v>
      </c>
      <c r="G1669" s="28" t="s">
        <v>2250</v>
      </c>
      <c r="H1669" s="28">
        <v>21354766</v>
      </c>
      <c r="I1669" s="28">
        <v>657293</v>
      </c>
      <c r="J1669" s="28">
        <v>0.99</v>
      </c>
      <c r="K1669" s="28">
        <v>31</v>
      </c>
      <c r="L1669" s="28">
        <v>1</v>
      </c>
    </row>
    <row r="1670" spans="1:12" ht="14.25" customHeight="1" x14ac:dyDescent="0.2">
      <c r="A1670" s="28">
        <v>1669</v>
      </c>
      <c r="B1670" s="28" t="s">
        <v>2318</v>
      </c>
      <c r="C1670" s="28" t="s">
        <v>2351</v>
      </c>
      <c r="D1670" s="28" t="s">
        <v>670</v>
      </c>
      <c r="E1670" s="28" t="s">
        <v>211</v>
      </c>
      <c r="F1670" s="28" t="s">
        <v>212</v>
      </c>
      <c r="G1670" s="28" t="s">
        <v>981</v>
      </c>
      <c r="H1670" s="28">
        <v>25345841</v>
      </c>
      <c r="I1670" s="28">
        <v>766354</v>
      </c>
      <c r="J1670" s="28">
        <v>0.99</v>
      </c>
      <c r="K1670" s="28">
        <v>43</v>
      </c>
      <c r="L1670" s="28">
        <v>0</v>
      </c>
    </row>
    <row r="1671" spans="1:12" ht="14.25" customHeight="1" x14ac:dyDescent="0.2">
      <c r="A1671" s="28">
        <v>1670</v>
      </c>
      <c r="B1671" s="28" t="s">
        <v>684</v>
      </c>
      <c r="C1671" s="28" t="s">
        <v>2351</v>
      </c>
      <c r="D1671" s="28" t="s">
        <v>670</v>
      </c>
      <c r="E1671" s="28" t="s">
        <v>211</v>
      </c>
      <c r="F1671" s="28" t="s">
        <v>212</v>
      </c>
      <c r="G1671" s="28" t="s">
        <v>2352</v>
      </c>
      <c r="H1671" s="28">
        <v>28191437</v>
      </c>
      <c r="I1671" s="28">
        <v>863895</v>
      </c>
      <c r="J1671" s="28">
        <v>0.99</v>
      </c>
      <c r="K1671" s="28">
        <v>53</v>
      </c>
      <c r="L1671" s="28">
        <v>0</v>
      </c>
    </row>
    <row r="1672" spans="1:12" ht="14.25" customHeight="1" x14ac:dyDescent="0.2">
      <c r="A1672" s="28">
        <v>1671</v>
      </c>
      <c r="B1672" s="28" t="s">
        <v>2353</v>
      </c>
      <c r="C1672" s="28" t="s">
        <v>2354</v>
      </c>
      <c r="D1672" s="28" t="s">
        <v>2355</v>
      </c>
      <c r="E1672" s="28" t="s">
        <v>211</v>
      </c>
      <c r="F1672" s="28" t="s">
        <v>490</v>
      </c>
      <c r="G1672" s="28" t="s">
        <v>2356</v>
      </c>
      <c r="H1672" s="28">
        <v>7640230</v>
      </c>
      <c r="I1672" s="28">
        <v>235728</v>
      </c>
      <c r="J1672" s="28">
        <v>0.99</v>
      </c>
      <c r="K1672" s="28">
        <v>99</v>
      </c>
      <c r="L1672" s="28">
        <v>0</v>
      </c>
    </row>
    <row r="1673" spans="1:12" ht="14.25" customHeight="1" x14ac:dyDescent="0.2">
      <c r="A1673" s="28">
        <v>1672</v>
      </c>
      <c r="B1673" s="28" t="s">
        <v>2357</v>
      </c>
      <c r="C1673" s="28" t="s">
        <v>2354</v>
      </c>
      <c r="D1673" s="28" t="s">
        <v>2355</v>
      </c>
      <c r="E1673" s="28" t="s">
        <v>211</v>
      </c>
      <c r="F1673" s="28" t="s">
        <v>490</v>
      </c>
      <c r="G1673" s="28" t="s">
        <v>2356</v>
      </c>
      <c r="H1673" s="28">
        <v>9165769</v>
      </c>
      <c r="I1673" s="28">
        <v>278256</v>
      </c>
      <c r="J1673" s="28">
        <v>0.99</v>
      </c>
      <c r="K1673" s="28">
        <v>32</v>
      </c>
      <c r="L1673" s="28">
        <v>2</v>
      </c>
    </row>
    <row r="1674" spans="1:12" ht="14.25" customHeight="1" x14ac:dyDescent="0.2">
      <c r="A1674" s="28">
        <v>1673</v>
      </c>
      <c r="B1674" s="28" t="s">
        <v>2358</v>
      </c>
      <c r="C1674" s="28" t="s">
        <v>2354</v>
      </c>
      <c r="D1674" s="28" t="s">
        <v>2355</v>
      </c>
      <c r="E1674" s="28" t="s">
        <v>211</v>
      </c>
      <c r="F1674" s="28" t="s">
        <v>490</v>
      </c>
      <c r="G1674" s="28" t="s">
        <v>2356</v>
      </c>
      <c r="H1674" s="28">
        <v>8590671</v>
      </c>
      <c r="I1674" s="28">
        <v>260231</v>
      </c>
      <c r="J1674" s="28">
        <v>0.99</v>
      </c>
      <c r="K1674" s="28">
        <v>52</v>
      </c>
      <c r="L1674" s="28">
        <v>1</v>
      </c>
    </row>
    <row r="1675" spans="1:12" ht="14.25" customHeight="1" x14ac:dyDescent="0.2">
      <c r="A1675" s="28">
        <v>1674</v>
      </c>
      <c r="B1675" s="28" t="s">
        <v>2359</v>
      </c>
      <c r="C1675" s="28" t="s">
        <v>2354</v>
      </c>
      <c r="D1675" s="28" t="s">
        <v>2355</v>
      </c>
      <c r="E1675" s="28" t="s">
        <v>211</v>
      </c>
      <c r="F1675" s="28" t="s">
        <v>490</v>
      </c>
      <c r="G1675" s="28" t="s">
        <v>2360</v>
      </c>
      <c r="H1675" s="28">
        <v>8655249</v>
      </c>
      <c r="I1675" s="28">
        <v>266161</v>
      </c>
      <c r="J1675" s="28">
        <v>0.99</v>
      </c>
      <c r="K1675" s="28">
        <v>51</v>
      </c>
      <c r="L1675" s="28">
        <v>0</v>
      </c>
    </row>
    <row r="1676" spans="1:12" ht="14.25" customHeight="1" x14ac:dyDescent="0.2">
      <c r="A1676" s="28">
        <v>1675</v>
      </c>
      <c r="B1676" s="28" t="s">
        <v>2361</v>
      </c>
      <c r="C1676" s="28" t="s">
        <v>2354</v>
      </c>
      <c r="D1676" s="28" t="s">
        <v>2355</v>
      </c>
      <c r="E1676" s="28" t="s">
        <v>211</v>
      </c>
      <c r="F1676" s="28" t="s">
        <v>490</v>
      </c>
      <c r="G1676" s="28" t="s">
        <v>2356</v>
      </c>
      <c r="H1676" s="28">
        <v>9234879</v>
      </c>
      <c r="I1676" s="28">
        <v>280084</v>
      </c>
      <c r="J1676" s="28">
        <v>0.99</v>
      </c>
      <c r="K1676" s="28">
        <v>31</v>
      </c>
      <c r="L1676" s="28">
        <v>0</v>
      </c>
    </row>
    <row r="1677" spans="1:12" ht="14.25" customHeight="1" x14ac:dyDescent="0.2">
      <c r="A1677" s="28">
        <v>1676</v>
      </c>
      <c r="B1677" s="28" t="s">
        <v>2362</v>
      </c>
      <c r="C1677" s="28" t="s">
        <v>2354</v>
      </c>
      <c r="D1677" s="28" t="s">
        <v>2355</v>
      </c>
      <c r="E1677" s="28" t="s">
        <v>211</v>
      </c>
      <c r="F1677" s="28" t="s">
        <v>490</v>
      </c>
      <c r="G1677" s="28" t="s">
        <v>2356</v>
      </c>
      <c r="H1677" s="28">
        <v>8234388</v>
      </c>
      <c r="I1677" s="28">
        <v>247614</v>
      </c>
      <c r="J1677" s="28">
        <v>0.99</v>
      </c>
      <c r="K1677" s="28">
        <v>58</v>
      </c>
      <c r="L1677" s="28">
        <v>0</v>
      </c>
    </row>
    <row r="1678" spans="1:12" ht="14.25" customHeight="1" x14ac:dyDescent="0.2">
      <c r="A1678" s="28">
        <v>1677</v>
      </c>
      <c r="B1678" s="28" t="s">
        <v>2363</v>
      </c>
      <c r="C1678" s="28" t="s">
        <v>2354</v>
      </c>
      <c r="D1678" s="28" t="s">
        <v>2355</v>
      </c>
      <c r="E1678" s="28" t="s">
        <v>211</v>
      </c>
      <c r="F1678" s="28" t="s">
        <v>490</v>
      </c>
      <c r="G1678" s="28" t="s">
        <v>2356</v>
      </c>
      <c r="H1678" s="28">
        <v>10793301</v>
      </c>
      <c r="I1678" s="28">
        <v>325955</v>
      </c>
      <c r="J1678" s="28">
        <v>0.99</v>
      </c>
      <c r="K1678" s="28">
        <v>49</v>
      </c>
      <c r="L1678" s="28">
        <v>1</v>
      </c>
    </row>
    <row r="1679" spans="1:12" ht="14.25" customHeight="1" x14ac:dyDescent="0.2">
      <c r="A1679" s="28">
        <v>1678</v>
      </c>
      <c r="B1679" s="28" t="s">
        <v>2364</v>
      </c>
      <c r="C1679" s="28" t="s">
        <v>2354</v>
      </c>
      <c r="D1679" s="28" t="s">
        <v>2355</v>
      </c>
      <c r="E1679" s="28" t="s">
        <v>211</v>
      </c>
      <c r="F1679" s="28" t="s">
        <v>490</v>
      </c>
      <c r="G1679" s="28" t="s">
        <v>2365</v>
      </c>
      <c r="H1679" s="28">
        <v>9853589</v>
      </c>
      <c r="I1679" s="28">
        <v>295053</v>
      </c>
      <c r="J1679" s="28">
        <v>0.99</v>
      </c>
      <c r="K1679" s="28">
        <v>59</v>
      </c>
      <c r="L1679" s="28">
        <v>1</v>
      </c>
    </row>
    <row r="1680" spans="1:12" ht="14.25" customHeight="1" x14ac:dyDescent="0.2">
      <c r="A1680" s="28">
        <v>1679</v>
      </c>
      <c r="B1680" s="28" t="s">
        <v>2366</v>
      </c>
      <c r="C1680" s="28" t="s">
        <v>2354</v>
      </c>
      <c r="D1680" s="28" t="s">
        <v>2355</v>
      </c>
      <c r="E1680" s="28" t="s">
        <v>211</v>
      </c>
      <c r="F1680" s="28" t="s">
        <v>490</v>
      </c>
      <c r="G1680" s="28" t="s">
        <v>2356</v>
      </c>
      <c r="H1680" s="28">
        <v>10573515</v>
      </c>
      <c r="I1680" s="28">
        <v>323918</v>
      </c>
      <c r="J1680" s="28">
        <v>0.99</v>
      </c>
      <c r="K1680" s="28">
        <v>4</v>
      </c>
      <c r="L1680" s="28">
        <v>1</v>
      </c>
    </row>
    <row r="1681" spans="1:12" ht="14.25" customHeight="1" x14ac:dyDescent="0.2">
      <c r="A1681" s="28">
        <v>1680</v>
      </c>
      <c r="B1681" s="28" t="s">
        <v>2367</v>
      </c>
      <c r="C1681" s="28" t="s">
        <v>2354</v>
      </c>
      <c r="D1681" s="28" t="s">
        <v>2355</v>
      </c>
      <c r="E1681" s="28" t="s">
        <v>211</v>
      </c>
      <c r="F1681" s="28" t="s">
        <v>490</v>
      </c>
      <c r="G1681" s="28" t="s">
        <v>2356</v>
      </c>
      <c r="H1681" s="28">
        <v>6643291</v>
      </c>
      <c r="I1681" s="28">
        <v>203337</v>
      </c>
      <c r="J1681" s="28">
        <v>0.99</v>
      </c>
      <c r="K1681" s="28">
        <v>4</v>
      </c>
      <c r="L1681" s="28">
        <v>0</v>
      </c>
    </row>
    <row r="1682" spans="1:12" ht="14.25" customHeight="1" x14ac:dyDescent="0.2">
      <c r="A1682" s="28">
        <v>1681</v>
      </c>
      <c r="B1682" s="28" t="s">
        <v>2368</v>
      </c>
      <c r="C1682" s="28" t="s">
        <v>2354</v>
      </c>
      <c r="D1682" s="28" t="s">
        <v>2355</v>
      </c>
      <c r="E1682" s="28" t="s">
        <v>211</v>
      </c>
      <c r="F1682" s="28" t="s">
        <v>490</v>
      </c>
      <c r="G1682" s="28" t="s">
        <v>2356</v>
      </c>
      <c r="H1682" s="28">
        <v>10608239</v>
      </c>
      <c r="I1682" s="28">
        <v>323056</v>
      </c>
      <c r="J1682" s="28">
        <v>0.99</v>
      </c>
      <c r="K1682" s="28">
        <v>82</v>
      </c>
      <c r="L1682" s="28">
        <v>1</v>
      </c>
    </row>
    <row r="1683" spans="1:12" ht="14.25" customHeight="1" x14ac:dyDescent="0.2">
      <c r="A1683" s="28">
        <v>1682</v>
      </c>
      <c r="B1683" s="28" t="s">
        <v>2369</v>
      </c>
      <c r="C1683" s="28" t="s">
        <v>2354</v>
      </c>
      <c r="D1683" s="28" t="s">
        <v>2355</v>
      </c>
      <c r="E1683" s="28" t="s">
        <v>211</v>
      </c>
      <c r="F1683" s="28" t="s">
        <v>490</v>
      </c>
      <c r="G1683" s="28" t="s">
        <v>2356</v>
      </c>
      <c r="H1683" s="28">
        <v>9619257</v>
      </c>
      <c r="I1683" s="28">
        <v>290298</v>
      </c>
      <c r="J1683" s="28">
        <v>0.99</v>
      </c>
      <c r="K1683" s="28">
        <v>96</v>
      </c>
      <c r="L1683" s="28">
        <v>0</v>
      </c>
    </row>
    <row r="1684" spans="1:12" ht="14.25" customHeight="1" x14ac:dyDescent="0.2">
      <c r="A1684" s="28">
        <v>1683</v>
      </c>
      <c r="B1684" s="28" t="s">
        <v>2370</v>
      </c>
      <c r="C1684" s="28" t="s">
        <v>2354</v>
      </c>
      <c r="D1684" s="28" t="s">
        <v>2355</v>
      </c>
      <c r="E1684" s="28" t="s">
        <v>211</v>
      </c>
      <c r="F1684" s="28" t="s">
        <v>490</v>
      </c>
      <c r="G1684" s="28" t="s">
        <v>2356</v>
      </c>
      <c r="H1684" s="28">
        <v>8844133</v>
      </c>
      <c r="I1684" s="28">
        <v>261668</v>
      </c>
      <c r="J1684" s="28">
        <v>0.99</v>
      </c>
      <c r="K1684" s="28">
        <v>33</v>
      </c>
      <c r="L1684" s="28">
        <v>0</v>
      </c>
    </row>
    <row r="1685" spans="1:12" ht="14.25" customHeight="1" x14ac:dyDescent="0.2">
      <c r="A1685" s="28">
        <v>1684</v>
      </c>
      <c r="B1685" s="28" t="s">
        <v>2371</v>
      </c>
      <c r="C1685" s="28" t="s">
        <v>2354</v>
      </c>
      <c r="D1685" s="28" t="s">
        <v>2355</v>
      </c>
      <c r="E1685" s="28" t="s">
        <v>211</v>
      </c>
      <c r="F1685" s="28" t="s">
        <v>490</v>
      </c>
      <c r="G1685" s="28" t="s">
        <v>2356</v>
      </c>
      <c r="H1685" s="28">
        <v>5781046</v>
      </c>
      <c r="I1685" s="28">
        <v>173897</v>
      </c>
      <c r="J1685" s="28">
        <v>0.99</v>
      </c>
      <c r="K1685" s="28">
        <v>56</v>
      </c>
      <c r="L1685" s="28">
        <v>1</v>
      </c>
    </row>
    <row r="1686" spans="1:12" ht="14.25" customHeight="1" x14ac:dyDescent="0.2">
      <c r="A1686" s="28">
        <v>1685</v>
      </c>
      <c r="B1686" s="28" t="s">
        <v>2372</v>
      </c>
      <c r="C1686" s="28" t="s">
        <v>2354</v>
      </c>
      <c r="D1686" s="28" t="s">
        <v>2355</v>
      </c>
      <c r="E1686" s="28" t="s">
        <v>211</v>
      </c>
      <c r="F1686" s="28" t="s">
        <v>490</v>
      </c>
      <c r="G1686" s="28" t="s">
        <v>2356</v>
      </c>
      <c r="H1686" s="28">
        <v>8570929</v>
      </c>
      <c r="I1686" s="28">
        <v>257253</v>
      </c>
      <c r="J1686" s="28">
        <v>0.99</v>
      </c>
      <c r="K1686" s="28">
        <v>13</v>
      </c>
      <c r="L1686" s="28">
        <v>1</v>
      </c>
    </row>
    <row r="1687" spans="1:12" ht="14.25" customHeight="1" x14ac:dyDescent="0.2">
      <c r="A1687" s="28">
        <v>1686</v>
      </c>
      <c r="B1687" s="28" t="s">
        <v>2373</v>
      </c>
      <c r="C1687" s="28" t="s">
        <v>2374</v>
      </c>
      <c r="D1687" s="28" t="s">
        <v>2355</v>
      </c>
      <c r="E1687" s="28" t="s">
        <v>211</v>
      </c>
      <c r="F1687" s="28" t="s">
        <v>490</v>
      </c>
      <c r="G1687" s="28" t="s">
        <v>2375</v>
      </c>
      <c r="H1687" s="28">
        <v>4826528</v>
      </c>
      <c r="I1687" s="28">
        <v>148401</v>
      </c>
      <c r="J1687" s="28">
        <v>0.99</v>
      </c>
      <c r="K1687" s="28">
        <v>55</v>
      </c>
      <c r="L1687" s="28">
        <v>1</v>
      </c>
    </row>
    <row r="1688" spans="1:12" ht="14.25" customHeight="1" x14ac:dyDescent="0.2">
      <c r="A1688" s="28">
        <v>1687</v>
      </c>
      <c r="B1688" s="28" t="s">
        <v>2376</v>
      </c>
      <c r="C1688" s="28" t="s">
        <v>2374</v>
      </c>
      <c r="D1688" s="28" t="s">
        <v>2355</v>
      </c>
      <c r="E1688" s="28" t="s">
        <v>211</v>
      </c>
      <c r="F1688" s="28" t="s">
        <v>490</v>
      </c>
      <c r="G1688" s="28" t="s">
        <v>2377</v>
      </c>
      <c r="H1688" s="28">
        <v>7796400</v>
      </c>
      <c r="I1688" s="28">
        <v>236826</v>
      </c>
      <c r="J1688" s="28">
        <v>0.99</v>
      </c>
      <c r="K1688" s="28">
        <v>68</v>
      </c>
      <c r="L1688" s="28">
        <v>0</v>
      </c>
    </row>
    <row r="1689" spans="1:12" ht="14.25" customHeight="1" x14ac:dyDescent="0.2">
      <c r="A1689" s="28">
        <v>1688</v>
      </c>
      <c r="B1689" s="28" t="s">
        <v>2378</v>
      </c>
      <c r="C1689" s="28" t="s">
        <v>2374</v>
      </c>
      <c r="D1689" s="28" t="s">
        <v>2355</v>
      </c>
      <c r="E1689" s="28" t="s">
        <v>211</v>
      </c>
      <c r="F1689" s="28" t="s">
        <v>490</v>
      </c>
      <c r="G1689" s="28" t="s">
        <v>2356</v>
      </c>
      <c r="H1689" s="28">
        <v>4625731</v>
      </c>
      <c r="I1689" s="28">
        <v>141453</v>
      </c>
      <c r="J1689" s="28">
        <v>0.99</v>
      </c>
      <c r="K1689" s="28">
        <v>73</v>
      </c>
      <c r="L1689" s="28">
        <v>0</v>
      </c>
    </row>
    <row r="1690" spans="1:12" ht="14.25" customHeight="1" x14ac:dyDescent="0.2">
      <c r="A1690" s="28">
        <v>1689</v>
      </c>
      <c r="B1690" s="28" t="s">
        <v>2379</v>
      </c>
      <c r="C1690" s="28" t="s">
        <v>2374</v>
      </c>
      <c r="D1690" s="28" t="s">
        <v>2355</v>
      </c>
      <c r="E1690" s="28" t="s">
        <v>211</v>
      </c>
      <c r="F1690" s="28" t="s">
        <v>490</v>
      </c>
      <c r="G1690" s="28" t="s">
        <v>2356</v>
      </c>
      <c r="H1690" s="28">
        <v>9026691</v>
      </c>
      <c r="I1690" s="28">
        <v>271229</v>
      </c>
      <c r="J1690" s="28">
        <v>0.99</v>
      </c>
      <c r="K1690" s="28">
        <v>58</v>
      </c>
      <c r="L1690" s="28">
        <v>0</v>
      </c>
    </row>
    <row r="1691" spans="1:12" ht="14.25" customHeight="1" x14ac:dyDescent="0.2">
      <c r="A1691" s="28">
        <v>1690</v>
      </c>
      <c r="B1691" s="28" t="s">
        <v>2380</v>
      </c>
      <c r="C1691" s="28" t="s">
        <v>2374</v>
      </c>
      <c r="D1691" s="28" t="s">
        <v>2355</v>
      </c>
      <c r="E1691" s="28" t="s">
        <v>211</v>
      </c>
      <c r="F1691" s="28" t="s">
        <v>490</v>
      </c>
      <c r="G1691" s="28" t="s">
        <v>2356</v>
      </c>
      <c r="H1691" s="28">
        <v>9963914</v>
      </c>
      <c r="I1691" s="28">
        <v>302158</v>
      </c>
      <c r="J1691" s="28">
        <v>0.99</v>
      </c>
      <c r="K1691" s="28">
        <v>62</v>
      </c>
      <c r="L1691" s="28">
        <v>2</v>
      </c>
    </row>
    <row r="1692" spans="1:12" ht="14.25" customHeight="1" x14ac:dyDescent="0.2">
      <c r="A1692" s="28">
        <v>1691</v>
      </c>
      <c r="B1692" s="28" t="s">
        <v>2381</v>
      </c>
      <c r="C1692" s="28" t="s">
        <v>2374</v>
      </c>
      <c r="D1692" s="28" t="s">
        <v>2355</v>
      </c>
      <c r="E1692" s="28" t="s">
        <v>211</v>
      </c>
      <c r="F1692" s="28" t="s">
        <v>490</v>
      </c>
      <c r="G1692" s="28" t="s">
        <v>2356</v>
      </c>
      <c r="H1692" s="28">
        <v>8610226</v>
      </c>
      <c r="I1692" s="28">
        <v>258168</v>
      </c>
      <c r="J1692" s="28">
        <v>0.99</v>
      </c>
      <c r="K1692" s="28">
        <v>19</v>
      </c>
      <c r="L1692" s="28">
        <v>1</v>
      </c>
    </row>
    <row r="1693" spans="1:12" ht="14.25" customHeight="1" x14ac:dyDescent="0.2">
      <c r="A1693" s="28">
        <v>1692</v>
      </c>
      <c r="B1693" s="28" t="s">
        <v>2382</v>
      </c>
      <c r="C1693" s="28" t="s">
        <v>2374</v>
      </c>
      <c r="D1693" s="28" t="s">
        <v>2355</v>
      </c>
      <c r="E1693" s="28" t="s">
        <v>211</v>
      </c>
      <c r="F1693" s="28" t="s">
        <v>490</v>
      </c>
      <c r="G1693" s="28" t="s">
        <v>2356</v>
      </c>
      <c r="H1693" s="28">
        <v>5822124</v>
      </c>
      <c r="I1693" s="28">
        <v>177606</v>
      </c>
      <c r="J1693" s="28">
        <v>0.99</v>
      </c>
      <c r="K1693" s="28">
        <v>87</v>
      </c>
      <c r="L1693" s="28">
        <v>0</v>
      </c>
    </row>
    <row r="1694" spans="1:12" ht="14.25" customHeight="1" x14ac:dyDescent="0.2">
      <c r="A1694" s="28">
        <v>1693</v>
      </c>
      <c r="B1694" s="28" t="s">
        <v>2383</v>
      </c>
      <c r="C1694" s="28" t="s">
        <v>2374</v>
      </c>
      <c r="D1694" s="28" t="s">
        <v>2355</v>
      </c>
      <c r="E1694" s="28" t="s">
        <v>211</v>
      </c>
      <c r="F1694" s="28" t="s">
        <v>490</v>
      </c>
      <c r="G1694" s="28" t="s">
        <v>2356</v>
      </c>
      <c r="H1694" s="28">
        <v>18092739</v>
      </c>
      <c r="I1694" s="28">
        <v>543007</v>
      </c>
      <c r="J1694" s="28">
        <v>0.99</v>
      </c>
      <c r="K1694" s="28">
        <v>46</v>
      </c>
      <c r="L1694" s="28">
        <v>0</v>
      </c>
    </row>
    <row r="1695" spans="1:12" ht="14.25" customHeight="1" x14ac:dyDescent="0.2">
      <c r="A1695" s="28">
        <v>1694</v>
      </c>
      <c r="B1695" s="28" t="s">
        <v>2384</v>
      </c>
      <c r="C1695" s="28" t="s">
        <v>2374</v>
      </c>
      <c r="D1695" s="28" t="s">
        <v>2355</v>
      </c>
      <c r="E1695" s="28" t="s">
        <v>211</v>
      </c>
      <c r="F1695" s="28" t="s">
        <v>490</v>
      </c>
      <c r="G1695" s="28" t="s">
        <v>2375</v>
      </c>
      <c r="H1695" s="28">
        <v>6432922</v>
      </c>
      <c r="I1695" s="28">
        <v>197146</v>
      </c>
      <c r="J1695" s="28">
        <v>0.99</v>
      </c>
      <c r="K1695" s="28">
        <v>97</v>
      </c>
      <c r="L1695" s="28">
        <v>0</v>
      </c>
    </row>
    <row r="1696" spans="1:12" ht="14.25" customHeight="1" x14ac:dyDescent="0.2">
      <c r="A1696" s="28">
        <v>1695</v>
      </c>
      <c r="B1696" s="28" t="s">
        <v>2385</v>
      </c>
      <c r="C1696" s="28" t="s">
        <v>2374</v>
      </c>
      <c r="D1696" s="28" t="s">
        <v>2355</v>
      </c>
      <c r="E1696" s="28" t="s">
        <v>211</v>
      </c>
      <c r="F1696" s="28" t="s">
        <v>490</v>
      </c>
      <c r="G1696" s="28" t="s">
        <v>2375</v>
      </c>
      <c r="H1696" s="28">
        <v>10130685</v>
      </c>
      <c r="I1696" s="28">
        <v>308401</v>
      </c>
      <c r="J1696" s="28">
        <v>0.99</v>
      </c>
      <c r="K1696" s="28">
        <v>29</v>
      </c>
      <c r="L1696" s="28">
        <v>1</v>
      </c>
    </row>
    <row r="1697" spans="1:12" ht="14.25" customHeight="1" x14ac:dyDescent="0.2">
      <c r="A1697" s="28">
        <v>1696</v>
      </c>
      <c r="B1697" s="28" t="s">
        <v>2386</v>
      </c>
      <c r="C1697" s="28" t="s">
        <v>2374</v>
      </c>
      <c r="D1697" s="28" t="s">
        <v>2355</v>
      </c>
      <c r="E1697" s="28" t="s">
        <v>211</v>
      </c>
      <c r="F1697" s="28" t="s">
        <v>490</v>
      </c>
      <c r="G1697" s="28" t="s">
        <v>2375</v>
      </c>
      <c r="H1697" s="28">
        <v>6667802</v>
      </c>
      <c r="I1697" s="28">
        <v>203781</v>
      </c>
      <c r="J1697" s="28">
        <v>0.99</v>
      </c>
      <c r="K1697" s="28">
        <v>95</v>
      </c>
      <c r="L1697" s="28">
        <v>1</v>
      </c>
    </row>
    <row r="1698" spans="1:12" ht="14.25" customHeight="1" x14ac:dyDescent="0.2">
      <c r="A1698" s="28">
        <v>1697</v>
      </c>
      <c r="B1698" s="28" t="s">
        <v>2387</v>
      </c>
      <c r="C1698" s="28" t="s">
        <v>2374</v>
      </c>
      <c r="D1698" s="28" t="s">
        <v>2355</v>
      </c>
      <c r="E1698" s="28" t="s">
        <v>211</v>
      </c>
      <c r="F1698" s="28" t="s">
        <v>490</v>
      </c>
      <c r="G1698" s="28" t="s">
        <v>2375</v>
      </c>
      <c r="H1698" s="28">
        <v>12063806</v>
      </c>
      <c r="I1698" s="28">
        <v>366445</v>
      </c>
      <c r="J1698" s="28">
        <v>0.99</v>
      </c>
      <c r="K1698" s="28">
        <v>33</v>
      </c>
      <c r="L1698" s="28">
        <v>0</v>
      </c>
    </row>
    <row r="1699" spans="1:12" ht="14.25" customHeight="1" x14ac:dyDescent="0.2">
      <c r="A1699" s="28">
        <v>1698</v>
      </c>
      <c r="B1699" s="28" t="s">
        <v>2388</v>
      </c>
      <c r="C1699" s="28" t="s">
        <v>2374</v>
      </c>
      <c r="D1699" s="28" t="s">
        <v>2355</v>
      </c>
      <c r="E1699" s="28" t="s">
        <v>211</v>
      </c>
      <c r="F1699" s="28" t="s">
        <v>490</v>
      </c>
      <c r="G1699" s="28" t="s">
        <v>2375</v>
      </c>
      <c r="H1699" s="28">
        <v>9258489</v>
      </c>
      <c r="I1699" s="28">
        <v>276558</v>
      </c>
      <c r="J1699" s="28">
        <v>0.99</v>
      </c>
      <c r="K1699" s="28">
        <v>1</v>
      </c>
      <c r="L1699" s="28">
        <v>0</v>
      </c>
    </row>
    <row r="1700" spans="1:12" ht="14.25" customHeight="1" x14ac:dyDescent="0.2">
      <c r="A1700" s="28">
        <v>1699</v>
      </c>
      <c r="B1700" s="28" t="s">
        <v>2389</v>
      </c>
      <c r="C1700" s="28" t="s">
        <v>2374</v>
      </c>
      <c r="D1700" s="28" t="s">
        <v>2355</v>
      </c>
      <c r="E1700" s="28" t="s">
        <v>211</v>
      </c>
      <c r="F1700" s="28" t="s">
        <v>490</v>
      </c>
      <c r="G1700" s="28" t="s">
        <v>2375</v>
      </c>
      <c r="H1700" s="28">
        <v>6677671</v>
      </c>
      <c r="I1700" s="28">
        <v>202213</v>
      </c>
      <c r="J1700" s="28">
        <v>0.99</v>
      </c>
      <c r="K1700" s="28">
        <v>97</v>
      </c>
      <c r="L1700" s="28">
        <v>1</v>
      </c>
    </row>
    <row r="1701" spans="1:12" ht="14.25" customHeight="1" x14ac:dyDescent="0.2">
      <c r="A1701" s="28">
        <v>1700</v>
      </c>
      <c r="B1701" s="28" t="s">
        <v>2366</v>
      </c>
      <c r="C1701" s="28" t="s">
        <v>2374</v>
      </c>
      <c r="D1701" s="28" t="s">
        <v>2355</v>
      </c>
      <c r="E1701" s="28" t="s">
        <v>211</v>
      </c>
      <c r="F1701" s="28" t="s">
        <v>490</v>
      </c>
      <c r="G1701" s="28" t="s">
        <v>2375</v>
      </c>
      <c r="H1701" s="28">
        <v>10501773</v>
      </c>
      <c r="I1701" s="28">
        <v>321724</v>
      </c>
      <c r="J1701" s="28">
        <v>0.99</v>
      </c>
      <c r="K1701" s="28">
        <v>9</v>
      </c>
      <c r="L1701" s="28">
        <v>1</v>
      </c>
    </row>
    <row r="1702" spans="1:12" ht="14.25" customHeight="1" x14ac:dyDescent="0.2">
      <c r="A1702" s="28">
        <v>1701</v>
      </c>
      <c r="B1702" s="28" t="s">
        <v>2390</v>
      </c>
      <c r="C1702" s="28" t="s">
        <v>2374</v>
      </c>
      <c r="D1702" s="28" t="s">
        <v>2355</v>
      </c>
      <c r="E1702" s="28" t="s">
        <v>211</v>
      </c>
      <c r="F1702" s="28" t="s">
        <v>490</v>
      </c>
      <c r="G1702" s="28" t="s">
        <v>2391</v>
      </c>
      <c r="H1702" s="28">
        <v>6296531</v>
      </c>
      <c r="I1702" s="28">
        <v>189231</v>
      </c>
      <c r="J1702" s="28">
        <v>0.99</v>
      </c>
      <c r="K1702" s="28">
        <v>4</v>
      </c>
      <c r="L1702" s="28">
        <v>0</v>
      </c>
    </row>
    <row r="1703" spans="1:12" ht="14.25" customHeight="1" x14ac:dyDescent="0.2">
      <c r="A1703" s="28">
        <v>1702</v>
      </c>
      <c r="B1703" s="28" t="s">
        <v>2392</v>
      </c>
      <c r="C1703" s="28" t="s">
        <v>2393</v>
      </c>
      <c r="D1703" s="28" t="s">
        <v>2394</v>
      </c>
      <c r="E1703" s="28" t="s">
        <v>211</v>
      </c>
      <c r="F1703" s="28" t="s">
        <v>212</v>
      </c>
      <c r="G1703" s="28" t="s">
        <v>2395</v>
      </c>
      <c r="H1703" s="28">
        <v>6905135</v>
      </c>
      <c r="I1703" s="28">
        <v>211591</v>
      </c>
      <c r="J1703" s="28">
        <v>0.99</v>
      </c>
      <c r="K1703" s="28">
        <v>66</v>
      </c>
      <c r="L1703" s="28">
        <v>1</v>
      </c>
    </row>
    <row r="1704" spans="1:12" ht="14.25" customHeight="1" x14ac:dyDescent="0.2">
      <c r="A1704" s="28">
        <v>1703</v>
      </c>
      <c r="B1704" s="28" t="s">
        <v>2396</v>
      </c>
      <c r="C1704" s="28" t="s">
        <v>2393</v>
      </c>
      <c r="D1704" s="28" t="s">
        <v>2394</v>
      </c>
      <c r="E1704" s="28" t="s">
        <v>211</v>
      </c>
      <c r="F1704" s="28" t="s">
        <v>212</v>
      </c>
      <c r="G1704" s="28" t="s">
        <v>2394</v>
      </c>
      <c r="H1704" s="28">
        <v>7322085</v>
      </c>
      <c r="I1704" s="28">
        <v>221962</v>
      </c>
      <c r="J1704" s="28">
        <v>0.99</v>
      </c>
      <c r="K1704" s="28">
        <v>97</v>
      </c>
      <c r="L1704" s="28">
        <v>0</v>
      </c>
    </row>
    <row r="1705" spans="1:12" ht="14.25" customHeight="1" x14ac:dyDescent="0.2">
      <c r="A1705" s="28">
        <v>1704</v>
      </c>
      <c r="B1705" s="28" t="s">
        <v>2397</v>
      </c>
      <c r="C1705" s="28" t="s">
        <v>2393</v>
      </c>
      <c r="D1705" s="28" t="s">
        <v>2394</v>
      </c>
      <c r="E1705" s="28" t="s">
        <v>211</v>
      </c>
      <c r="F1705" s="28" t="s">
        <v>212</v>
      </c>
      <c r="G1705" s="28" t="s">
        <v>2394</v>
      </c>
      <c r="H1705" s="28">
        <v>6680312</v>
      </c>
      <c r="I1705" s="28">
        <v>204199</v>
      </c>
      <c r="J1705" s="28">
        <v>0.99</v>
      </c>
      <c r="K1705" s="28">
        <v>37</v>
      </c>
      <c r="L1705" s="28">
        <v>1</v>
      </c>
    </row>
    <row r="1706" spans="1:12" ht="14.25" customHeight="1" x14ac:dyDescent="0.2">
      <c r="A1706" s="28">
        <v>1705</v>
      </c>
      <c r="B1706" s="28" t="s">
        <v>2398</v>
      </c>
      <c r="C1706" s="28" t="s">
        <v>2393</v>
      </c>
      <c r="D1706" s="28" t="s">
        <v>2394</v>
      </c>
      <c r="E1706" s="28" t="s">
        <v>211</v>
      </c>
      <c r="F1706" s="28" t="s">
        <v>212</v>
      </c>
      <c r="G1706" s="28" t="s">
        <v>2394</v>
      </c>
      <c r="H1706" s="28">
        <v>7490476</v>
      </c>
      <c r="I1706" s="28">
        <v>228989</v>
      </c>
      <c r="J1706" s="28">
        <v>0.99</v>
      </c>
      <c r="K1706" s="28">
        <v>15</v>
      </c>
      <c r="L1706" s="28">
        <v>0</v>
      </c>
    </row>
    <row r="1707" spans="1:12" ht="14.25" customHeight="1" x14ac:dyDescent="0.2">
      <c r="A1707" s="28">
        <v>1706</v>
      </c>
      <c r="B1707" s="28" t="s">
        <v>2399</v>
      </c>
      <c r="C1707" s="28" t="s">
        <v>2393</v>
      </c>
      <c r="D1707" s="28" t="s">
        <v>2394</v>
      </c>
      <c r="E1707" s="28" t="s">
        <v>211</v>
      </c>
      <c r="F1707" s="28" t="s">
        <v>212</v>
      </c>
      <c r="G1707" s="28" t="s">
        <v>2394</v>
      </c>
      <c r="H1707" s="28">
        <v>8078936</v>
      </c>
      <c r="I1707" s="28">
        <v>242703</v>
      </c>
      <c r="J1707" s="28">
        <v>0.99</v>
      </c>
      <c r="K1707" s="28">
        <v>15</v>
      </c>
      <c r="L1707" s="28">
        <v>0</v>
      </c>
    </row>
    <row r="1708" spans="1:12" ht="14.25" customHeight="1" x14ac:dyDescent="0.2">
      <c r="A1708" s="28">
        <v>1707</v>
      </c>
      <c r="B1708" s="28" t="s">
        <v>2400</v>
      </c>
      <c r="C1708" s="28" t="s">
        <v>2393</v>
      </c>
      <c r="D1708" s="28" t="s">
        <v>2394</v>
      </c>
      <c r="E1708" s="28" t="s">
        <v>211</v>
      </c>
      <c r="F1708" s="28" t="s">
        <v>212</v>
      </c>
      <c r="G1708" s="28" t="s">
        <v>2394</v>
      </c>
      <c r="H1708" s="28">
        <v>8937150</v>
      </c>
      <c r="I1708" s="28">
        <v>273815</v>
      </c>
      <c r="J1708" s="28">
        <v>0.99</v>
      </c>
      <c r="K1708" s="28">
        <v>14</v>
      </c>
      <c r="L1708" s="28">
        <v>0</v>
      </c>
    </row>
    <row r="1709" spans="1:12" ht="14.25" customHeight="1" x14ac:dyDescent="0.2">
      <c r="A1709" s="28">
        <v>1708</v>
      </c>
      <c r="B1709" s="28" t="s">
        <v>2401</v>
      </c>
      <c r="C1709" s="28" t="s">
        <v>2393</v>
      </c>
      <c r="D1709" s="28" t="s">
        <v>2394</v>
      </c>
      <c r="E1709" s="28" t="s">
        <v>211</v>
      </c>
      <c r="F1709" s="28" t="s">
        <v>212</v>
      </c>
      <c r="G1709" s="28" t="s">
        <v>2394</v>
      </c>
      <c r="H1709" s="28">
        <v>7668084</v>
      </c>
      <c r="I1709" s="28">
        <v>230321</v>
      </c>
      <c r="J1709" s="28">
        <v>0.99</v>
      </c>
      <c r="K1709" s="28">
        <v>82</v>
      </c>
      <c r="L1709" s="28">
        <v>2</v>
      </c>
    </row>
    <row r="1710" spans="1:12" ht="14.25" customHeight="1" x14ac:dyDescent="0.2">
      <c r="A1710" s="28">
        <v>1709</v>
      </c>
      <c r="B1710" s="28" t="s">
        <v>2402</v>
      </c>
      <c r="C1710" s="28" t="s">
        <v>2393</v>
      </c>
      <c r="D1710" s="28" t="s">
        <v>2394</v>
      </c>
      <c r="E1710" s="28" t="s">
        <v>211</v>
      </c>
      <c r="F1710" s="28" t="s">
        <v>212</v>
      </c>
      <c r="G1710" s="28" t="s">
        <v>2403</v>
      </c>
      <c r="H1710" s="28">
        <v>8538023</v>
      </c>
      <c r="I1710" s="28">
        <v>261773</v>
      </c>
      <c r="J1710" s="28">
        <v>0.99</v>
      </c>
      <c r="K1710" s="28">
        <v>3</v>
      </c>
      <c r="L1710" s="28">
        <v>1</v>
      </c>
    </row>
    <row r="1711" spans="1:12" ht="14.25" customHeight="1" x14ac:dyDescent="0.2">
      <c r="A1711" s="28">
        <v>1710</v>
      </c>
      <c r="B1711" s="28" t="s">
        <v>2404</v>
      </c>
      <c r="C1711" s="28" t="s">
        <v>2393</v>
      </c>
      <c r="D1711" s="28" t="s">
        <v>2394</v>
      </c>
      <c r="E1711" s="28" t="s">
        <v>211</v>
      </c>
      <c r="F1711" s="28" t="s">
        <v>212</v>
      </c>
      <c r="G1711" s="28" t="s">
        <v>2405</v>
      </c>
      <c r="H1711" s="28">
        <v>8447611</v>
      </c>
      <c r="I1711" s="28">
        <v>259683</v>
      </c>
      <c r="J1711" s="28">
        <v>0.99</v>
      </c>
      <c r="K1711" s="28">
        <v>66</v>
      </c>
      <c r="L1711" s="28">
        <v>0</v>
      </c>
    </row>
    <row r="1712" spans="1:12" ht="14.25" customHeight="1" x14ac:dyDescent="0.2">
      <c r="A1712" s="28">
        <v>1711</v>
      </c>
      <c r="B1712" s="28" t="s">
        <v>2406</v>
      </c>
      <c r="C1712" s="28" t="s">
        <v>2393</v>
      </c>
      <c r="D1712" s="28" t="s">
        <v>2394</v>
      </c>
      <c r="E1712" s="28" t="s">
        <v>211</v>
      </c>
      <c r="F1712" s="28" t="s">
        <v>212</v>
      </c>
      <c r="G1712" s="28" t="s">
        <v>2407</v>
      </c>
      <c r="H1712" s="28">
        <v>7593397</v>
      </c>
      <c r="I1712" s="28">
        <v>232515</v>
      </c>
      <c r="J1712" s="28">
        <v>0.99</v>
      </c>
      <c r="K1712" s="28">
        <v>49</v>
      </c>
      <c r="L1712" s="28">
        <v>0</v>
      </c>
    </row>
    <row r="1713" spans="1:12" ht="14.25" customHeight="1" x14ac:dyDescent="0.2">
      <c r="A1713" s="28">
        <v>1712</v>
      </c>
      <c r="B1713" s="28" t="s">
        <v>2408</v>
      </c>
      <c r="C1713" s="28" t="s">
        <v>2393</v>
      </c>
      <c r="D1713" s="28" t="s">
        <v>2394</v>
      </c>
      <c r="E1713" s="28" t="s">
        <v>211</v>
      </c>
      <c r="F1713" s="28" t="s">
        <v>212</v>
      </c>
      <c r="G1713" s="28" t="s">
        <v>2409</v>
      </c>
      <c r="H1713" s="28">
        <v>6222092</v>
      </c>
      <c r="I1713" s="28">
        <v>190354</v>
      </c>
      <c r="J1713" s="28">
        <v>0.99</v>
      </c>
      <c r="K1713" s="28">
        <v>27</v>
      </c>
      <c r="L1713" s="28">
        <v>0</v>
      </c>
    </row>
    <row r="1714" spans="1:12" ht="14.25" customHeight="1" x14ac:dyDescent="0.2">
      <c r="A1714" s="28">
        <v>1713</v>
      </c>
      <c r="B1714" s="28" t="s">
        <v>2410</v>
      </c>
      <c r="C1714" s="28" t="s">
        <v>2393</v>
      </c>
      <c r="D1714" s="28" t="s">
        <v>2394</v>
      </c>
      <c r="E1714" s="28" t="s">
        <v>211</v>
      </c>
      <c r="F1714" s="28" t="s">
        <v>212</v>
      </c>
      <c r="G1714" s="28" t="s">
        <v>2394</v>
      </c>
      <c r="H1714" s="28">
        <v>8477980</v>
      </c>
      <c r="I1714" s="28">
        <v>257123</v>
      </c>
      <c r="J1714" s="28">
        <v>0.99</v>
      </c>
      <c r="K1714" s="28">
        <v>42</v>
      </c>
      <c r="L1714" s="28">
        <v>1</v>
      </c>
    </row>
    <row r="1715" spans="1:12" ht="14.25" customHeight="1" x14ac:dyDescent="0.2">
      <c r="A1715" s="28">
        <v>1714</v>
      </c>
      <c r="B1715" s="28" t="s">
        <v>861</v>
      </c>
      <c r="C1715" s="28" t="s">
        <v>2393</v>
      </c>
      <c r="D1715" s="28" t="s">
        <v>2394</v>
      </c>
      <c r="E1715" s="28" t="s">
        <v>211</v>
      </c>
      <c r="F1715" s="28" t="s">
        <v>212</v>
      </c>
      <c r="G1715" s="28" t="s">
        <v>2411</v>
      </c>
      <c r="H1715" s="28">
        <v>9661978</v>
      </c>
      <c r="I1715" s="28">
        <v>295131</v>
      </c>
      <c r="J1715" s="28">
        <v>0.99</v>
      </c>
      <c r="K1715" s="28">
        <v>59</v>
      </c>
      <c r="L1715" s="28">
        <v>1</v>
      </c>
    </row>
    <row r="1716" spans="1:12" ht="14.25" customHeight="1" x14ac:dyDescent="0.2">
      <c r="A1716" s="28">
        <v>1715</v>
      </c>
      <c r="B1716" s="28" t="s">
        <v>2412</v>
      </c>
      <c r="C1716" s="28" t="s">
        <v>2393</v>
      </c>
      <c r="D1716" s="28" t="s">
        <v>2394</v>
      </c>
      <c r="E1716" s="28" t="s">
        <v>211</v>
      </c>
      <c r="F1716" s="28" t="s">
        <v>212</v>
      </c>
      <c r="G1716" s="28" t="s">
        <v>2394</v>
      </c>
      <c r="H1716" s="28">
        <v>11298085</v>
      </c>
      <c r="I1716" s="28">
        <v>342648</v>
      </c>
      <c r="J1716" s="28">
        <v>0.99</v>
      </c>
      <c r="K1716" s="28">
        <v>6</v>
      </c>
      <c r="L1716" s="28">
        <v>0</v>
      </c>
    </row>
    <row r="1717" spans="1:12" ht="14.25" customHeight="1" x14ac:dyDescent="0.2">
      <c r="A1717" s="28">
        <v>1716</v>
      </c>
      <c r="B1717" s="28" t="s">
        <v>2413</v>
      </c>
      <c r="C1717" s="28" t="s">
        <v>2393</v>
      </c>
      <c r="D1717" s="28" t="s">
        <v>2394</v>
      </c>
      <c r="E1717" s="28" t="s">
        <v>211</v>
      </c>
      <c r="F1717" s="28" t="s">
        <v>212</v>
      </c>
      <c r="G1717" s="28" t="s">
        <v>2394</v>
      </c>
      <c r="H1717" s="28">
        <v>9531301</v>
      </c>
      <c r="I1717" s="28">
        <v>290899</v>
      </c>
      <c r="J1717" s="28">
        <v>0.99</v>
      </c>
      <c r="K1717" s="28">
        <v>90</v>
      </c>
      <c r="L1717" s="28">
        <v>0</v>
      </c>
    </row>
    <row r="1718" spans="1:12" ht="14.25" customHeight="1" x14ac:dyDescent="0.2">
      <c r="A1718" s="28">
        <v>1717</v>
      </c>
      <c r="B1718" s="28" t="s">
        <v>2414</v>
      </c>
      <c r="C1718" s="28" t="s">
        <v>2415</v>
      </c>
      <c r="D1718" s="28" t="s">
        <v>622</v>
      </c>
      <c r="E1718" s="28" t="s">
        <v>211</v>
      </c>
      <c r="F1718" s="28" t="s">
        <v>490</v>
      </c>
      <c r="G1718" s="28"/>
      <c r="H1718" s="28">
        <v>6993763</v>
      </c>
      <c r="I1718" s="28">
        <v>210755</v>
      </c>
      <c r="J1718" s="28">
        <v>0.99</v>
      </c>
      <c r="K1718" s="28">
        <v>9</v>
      </c>
      <c r="L1718" s="28">
        <v>1</v>
      </c>
    </row>
    <row r="1719" spans="1:12" ht="14.25" customHeight="1" x14ac:dyDescent="0.2">
      <c r="A1719" s="28">
        <v>1718</v>
      </c>
      <c r="B1719" s="28" t="s">
        <v>2416</v>
      </c>
      <c r="C1719" s="28" t="s">
        <v>2417</v>
      </c>
      <c r="D1719" s="28" t="s">
        <v>622</v>
      </c>
      <c r="E1719" s="28" t="s">
        <v>211</v>
      </c>
      <c r="F1719" s="28" t="s">
        <v>490</v>
      </c>
      <c r="G1719" s="28"/>
      <c r="H1719" s="28">
        <v>8558481</v>
      </c>
      <c r="I1719" s="28">
        <v>261433</v>
      </c>
      <c r="J1719" s="28">
        <v>0.99</v>
      </c>
      <c r="K1719" s="28">
        <v>60</v>
      </c>
      <c r="L1719" s="28">
        <v>1</v>
      </c>
    </row>
    <row r="1720" spans="1:12" ht="14.25" customHeight="1" x14ac:dyDescent="0.2">
      <c r="A1720" s="28">
        <v>1719</v>
      </c>
      <c r="B1720" s="28" t="s">
        <v>2418</v>
      </c>
      <c r="C1720" s="28" t="s">
        <v>2417</v>
      </c>
      <c r="D1720" s="28" t="s">
        <v>622</v>
      </c>
      <c r="E1720" s="28" t="s">
        <v>211</v>
      </c>
      <c r="F1720" s="28" t="s">
        <v>490</v>
      </c>
      <c r="G1720" s="28"/>
      <c r="H1720" s="28">
        <v>7875347</v>
      </c>
      <c r="I1720" s="28">
        <v>237400</v>
      </c>
      <c r="J1720" s="28">
        <v>0.99</v>
      </c>
      <c r="K1720" s="28">
        <v>9</v>
      </c>
      <c r="L1720" s="28">
        <v>0</v>
      </c>
    </row>
    <row r="1721" spans="1:12" ht="14.25" customHeight="1" x14ac:dyDescent="0.2">
      <c r="A1721" s="28">
        <v>1720</v>
      </c>
      <c r="B1721" s="28" t="s">
        <v>2419</v>
      </c>
      <c r="C1721" s="28" t="s">
        <v>2415</v>
      </c>
      <c r="D1721" s="28" t="s">
        <v>622</v>
      </c>
      <c r="E1721" s="28" t="s">
        <v>211</v>
      </c>
      <c r="F1721" s="28" t="s">
        <v>490</v>
      </c>
      <c r="G1721" s="28"/>
      <c r="H1721" s="28">
        <v>7825215</v>
      </c>
      <c r="I1721" s="28">
        <v>236382</v>
      </c>
      <c r="J1721" s="28">
        <v>0.99</v>
      </c>
      <c r="K1721" s="28">
        <v>64</v>
      </c>
      <c r="L1721" s="28">
        <v>0</v>
      </c>
    </row>
    <row r="1722" spans="1:12" ht="14.25" customHeight="1" x14ac:dyDescent="0.2">
      <c r="A1722" s="28">
        <v>1721</v>
      </c>
      <c r="B1722" s="28" t="s">
        <v>2420</v>
      </c>
      <c r="C1722" s="28" t="s">
        <v>2417</v>
      </c>
      <c r="D1722" s="28" t="s">
        <v>622</v>
      </c>
      <c r="E1722" s="28" t="s">
        <v>211</v>
      </c>
      <c r="F1722" s="28" t="s">
        <v>490</v>
      </c>
      <c r="G1722" s="28"/>
      <c r="H1722" s="28">
        <v>8058651</v>
      </c>
      <c r="I1722" s="28">
        <v>242808</v>
      </c>
      <c r="J1722" s="28">
        <v>0.99</v>
      </c>
      <c r="K1722" s="28">
        <v>39</v>
      </c>
      <c r="L1722" s="28">
        <v>0</v>
      </c>
    </row>
    <row r="1723" spans="1:12" ht="14.25" customHeight="1" x14ac:dyDescent="0.2">
      <c r="A1723" s="28">
        <v>1722</v>
      </c>
      <c r="B1723" s="28" t="s">
        <v>2421</v>
      </c>
      <c r="C1723" s="28" t="s">
        <v>2415</v>
      </c>
      <c r="D1723" s="28" t="s">
        <v>622</v>
      </c>
      <c r="E1723" s="28" t="s">
        <v>211</v>
      </c>
      <c r="F1723" s="28" t="s">
        <v>490</v>
      </c>
      <c r="G1723" s="28"/>
      <c r="H1723" s="28">
        <v>10107269</v>
      </c>
      <c r="I1723" s="28">
        <v>307591</v>
      </c>
      <c r="J1723" s="28">
        <v>0.99</v>
      </c>
      <c r="K1723" s="28">
        <v>0</v>
      </c>
      <c r="L1723" s="28">
        <v>1</v>
      </c>
    </row>
    <row r="1724" spans="1:12" ht="14.25" customHeight="1" x14ac:dyDescent="0.2">
      <c r="A1724" s="28">
        <v>1723</v>
      </c>
      <c r="B1724" s="28" t="s">
        <v>2422</v>
      </c>
      <c r="C1724" s="28" t="s">
        <v>2415</v>
      </c>
      <c r="D1724" s="28" t="s">
        <v>622</v>
      </c>
      <c r="E1724" s="28" t="s">
        <v>211</v>
      </c>
      <c r="F1724" s="28" t="s">
        <v>490</v>
      </c>
      <c r="G1724" s="28"/>
      <c r="H1724" s="28">
        <v>8778465</v>
      </c>
      <c r="I1724" s="28">
        <v>263549</v>
      </c>
      <c r="J1724" s="28">
        <v>0.99</v>
      </c>
      <c r="K1724" s="28">
        <v>49</v>
      </c>
      <c r="L1724" s="28">
        <v>1</v>
      </c>
    </row>
    <row r="1725" spans="1:12" ht="14.25" customHeight="1" x14ac:dyDescent="0.2">
      <c r="A1725" s="28">
        <v>1724</v>
      </c>
      <c r="B1725" s="28" t="s">
        <v>2423</v>
      </c>
      <c r="C1725" s="28" t="s">
        <v>2417</v>
      </c>
      <c r="D1725" s="28" t="s">
        <v>622</v>
      </c>
      <c r="E1725" s="28" t="s">
        <v>211</v>
      </c>
      <c r="F1725" s="28" t="s">
        <v>490</v>
      </c>
      <c r="G1725" s="28"/>
      <c r="H1725" s="28">
        <v>5948039</v>
      </c>
      <c r="I1725" s="28">
        <v>180636</v>
      </c>
      <c r="J1725" s="28">
        <v>0.99</v>
      </c>
      <c r="K1725" s="28">
        <v>14</v>
      </c>
      <c r="L1725" s="28">
        <v>0</v>
      </c>
    </row>
    <row r="1726" spans="1:12" ht="14.25" customHeight="1" x14ac:dyDescent="0.2">
      <c r="A1726" s="28">
        <v>1725</v>
      </c>
      <c r="B1726" s="28" t="s">
        <v>2424</v>
      </c>
      <c r="C1726" s="28" t="s">
        <v>2417</v>
      </c>
      <c r="D1726" s="28" t="s">
        <v>622</v>
      </c>
      <c r="E1726" s="28" t="s">
        <v>211</v>
      </c>
      <c r="F1726" s="28" t="s">
        <v>490</v>
      </c>
      <c r="G1726" s="28"/>
      <c r="H1726" s="28">
        <v>7475780</v>
      </c>
      <c r="I1726" s="28">
        <v>225854</v>
      </c>
      <c r="J1726" s="28">
        <v>0.99</v>
      </c>
      <c r="K1726" s="28">
        <v>27</v>
      </c>
      <c r="L1726" s="28">
        <v>0</v>
      </c>
    </row>
    <row r="1727" spans="1:12" ht="14.25" customHeight="1" x14ac:dyDescent="0.2">
      <c r="A1727" s="28">
        <v>1726</v>
      </c>
      <c r="B1727" s="28" t="s">
        <v>2425</v>
      </c>
      <c r="C1727" s="28" t="s">
        <v>2415</v>
      </c>
      <c r="D1727" s="28" t="s">
        <v>622</v>
      </c>
      <c r="E1727" s="28" t="s">
        <v>211</v>
      </c>
      <c r="F1727" s="28" t="s">
        <v>490</v>
      </c>
      <c r="G1727" s="28"/>
      <c r="H1727" s="28">
        <v>6901681</v>
      </c>
      <c r="I1727" s="28">
        <v>208065</v>
      </c>
      <c r="J1727" s="28">
        <v>0.99</v>
      </c>
      <c r="K1727" s="28">
        <v>58</v>
      </c>
      <c r="L1727" s="28">
        <v>1</v>
      </c>
    </row>
    <row r="1728" spans="1:12" ht="14.25" customHeight="1" x14ac:dyDescent="0.2">
      <c r="A1728" s="28">
        <v>1727</v>
      </c>
      <c r="B1728" s="28" t="s">
        <v>2426</v>
      </c>
      <c r="C1728" s="28" t="s">
        <v>2415</v>
      </c>
      <c r="D1728" s="28" t="s">
        <v>622</v>
      </c>
      <c r="E1728" s="28" t="s">
        <v>211</v>
      </c>
      <c r="F1728" s="28" t="s">
        <v>490</v>
      </c>
      <c r="G1728" s="28"/>
      <c r="H1728" s="28">
        <v>7243499</v>
      </c>
      <c r="I1728" s="28">
        <v>216241</v>
      </c>
      <c r="J1728" s="28">
        <v>0.99</v>
      </c>
      <c r="K1728" s="28">
        <v>61</v>
      </c>
      <c r="L1728" s="28">
        <v>1</v>
      </c>
    </row>
    <row r="1729" spans="1:12" ht="14.25" customHeight="1" x14ac:dyDescent="0.2">
      <c r="A1729" s="28">
        <v>1728</v>
      </c>
      <c r="B1729" s="28" t="s">
        <v>2427</v>
      </c>
      <c r="C1729" s="28" t="s">
        <v>2417</v>
      </c>
      <c r="D1729" s="28" t="s">
        <v>622</v>
      </c>
      <c r="E1729" s="28" t="s">
        <v>211</v>
      </c>
      <c r="F1729" s="28" t="s">
        <v>490</v>
      </c>
      <c r="G1729" s="28"/>
      <c r="H1729" s="28">
        <v>6430939</v>
      </c>
      <c r="I1729" s="28">
        <v>194063</v>
      </c>
      <c r="J1729" s="28">
        <v>0.99</v>
      </c>
      <c r="K1729" s="28">
        <v>23</v>
      </c>
      <c r="L1729" s="28">
        <v>0</v>
      </c>
    </row>
    <row r="1730" spans="1:12" ht="14.25" customHeight="1" x14ac:dyDescent="0.2">
      <c r="A1730" s="28">
        <v>1729</v>
      </c>
      <c r="B1730" s="28" t="s">
        <v>2428</v>
      </c>
      <c r="C1730" s="28" t="s">
        <v>2417</v>
      </c>
      <c r="D1730" s="28" t="s">
        <v>622</v>
      </c>
      <c r="E1730" s="28" t="s">
        <v>211</v>
      </c>
      <c r="F1730" s="28" t="s">
        <v>490</v>
      </c>
      <c r="G1730" s="28"/>
      <c r="H1730" s="28">
        <v>11505484</v>
      </c>
      <c r="I1730" s="28">
        <v>346070</v>
      </c>
      <c r="J1730" s="28">
        <v>0.99</v>
      </c>
      <c r="K1730" s="28">
        <v>47</v>
      </c>
      <c r="L1730" s="28">
        <v>0</v>
      </c>
    </row>
    <row r="1731" spans="1:12" ht="14.25" customHeight="1" x14ac:dyDescent="0.2">
      <c r="A1731" s="28">
        <v>1730</v>
      </c>
      <c r="B1731" s="28" t="s">
        <v>2429</v>
      </c>
      <c r="C1731" s="28" t="s">
        <v>2415</v>
      </c>
      <c r="D1731" s="28" t="s">
        <v>622</v>
      </c>
      <c r="E1731" s="28" t="s">
        <v>211</v>
      </c>
      <c r="F1731" s="28" t="s">
        <v>490</v>
      </c>
      <c r="G1731" s="28"/>
      <c r="H1731" s="28">
        <v>6435114</v>
      </c>
      <c r="I1731" s="28">
        <v>193854</v>
      </c>
      <c r="J1731" s="28">
        <v>0.99</v>
      </c>
      <c r="K1731" s="28">
        <v>94</v>
      </c>
      <c r="L1731" s="28">
        <v>0</v>
      </c>
    </row>
    <row r="1732" spans="1:12" ht="14.25" customHeight="1" x14ac:dyDescent="0.2">
      <c r="A1732" s="28">
        <v>1731</v>
      </c>
      <c r="B1732" s="28" t="s">
        <v>2430</v>
      </c>
      <c r="C1732" s="28" t="s">
        <v>2415</v>
      </c>
      <c r="D1732" s="28" t="s">
        <v>622</v>
      </c>
      <c r="E1732" s="28" t="s">
        <v>211</v>
      </c>
      <c r="F1732" s="28" t="s">
        <v>490</v>
      </c>
      <c r="G1732" s="28"/>
      <c r="H1732" s="28">
        <v>9260588</v>
      </c>
      <c r="I1732" s="28">
        <v>280920</v>
      </c>
      <c r="J1732" s="28">
        <v>0.99</v>
      </c>
      <c r="K1732" s="28">
        <v>80</v>
      </c>
      <c r="L1732" s="28">
        <v>1</v>
      </c>
    </row>
    <row r="1733" spans="1:12" ht="14.25" customHeight="1" x14ac:dyDescent="0.2">
      <c r="A1733" s="28">
        <v>1732</v>
      </c>
      <c r="B1733" s="28" t="s">
        <v>2431</v>
      </c>
      <c r="C1733" s="28" t="s">
        <v>2417</v>
      </c>
      <c r="D1733" s="28" t="s">
        <v>622</v>
      </c>
      <c r="E1733" s="28" t="s">
        <v>211</v>
      </c>
      <c r="F1733" s="28" t="s">
        <v>490</v>
      </c>
      <c r="G1733" s="28"/>
      <c r="H1733" s="28">
        <v>8167819</v>
      </c>
      <c r="I1733" s="28">
        <v>246073</v>
      </c>
      <c r="J1733" s="28">
        <v>0.99</v>
      </c>
      <c r="K1733" s="28">
        <v>55</v>
      </c>
      <c r="L1733" s="28">
        <v>1</v>
      </c>
    </row>
    <row r="1734" spans="1:12" ht="14.25" customHeight="1" x14ac:dyDescent="0.2">
      <c r="A1734" s="28">
        <v>1733</v>
      </c>
      <c r="B1734" s="28" t="s">
        <v>2432</v>
      </c>
      <c r="C1734" s="28" t="s">
        <v>2415</v>
      </c>
      <c r="D1734" s="28" t="s">
        <v>622</v>
      </c>
      <c r="E1734" s="28" t="s">
        <v>211</v>
      </c>
      <c r="F1734" s="28" t="s">
        <v>490</v>
      </c>
      <c r="G1734" s="28"/>
      <c r="H1734" s="28">
        <v>4917615</v>
      </c>
      <c r="I1734" s="28">
        <v>149080</v>
      </c>
      <c r="J1734" s="28">
        <v>0.99</v>
      </c>
      <c r="K1734" s="28">
        <v>86</v>
      </c>
      <c r="L1734" s="28">
        <v>0</v>
      </c>
    </row>
    <row r="1735" spans="1:12" ht="14.25" customHeight="1" x14ac:dyDescent="0.2">
      <c r="A1735" s="28">
        <v>1734</v>
      </c>
      <c r="B1735" s="28" t="s">
        <v>2433</v>
      </c>
      <c r="C1735" s="28" t="s">
        <v>2417</v>
      </c>
      <c r="D1735" s="28" t="s">
        <v>622</v>
      </c>
      <c r="E1735" s="28" t="s">
        <v>211</v>
      </c>
      <c r="F1735" s="28" t="s">
        <v>490</v>
      </c>
      <c r="G1735" s="28"/>
      <c r="H1735" s="28">
        <v>7205844</v>
      </c>
      <c r="I1735" s="28">
        <v>217547</v>
      </c>
      <c r="J1735" s="28">
        <v>0.99</v>
      </c>
      <c r="K1735" s="28">
        <v>82</v>
      </c>
      <c r="L1735" s="28">
        <v>0</v>
      </c>
    </row>
    <row r="1736" spans="1:12" ht="14.25" customHeight="1" x14ac:dyDescent="0.2">
      <c r="A1736" s="28">
        <v>1735</v>
      </c>
      <c r="B1736" s="28" t="s">
        <v>2434</v>
      </c>
      <c r="C1736" s="28" t="s">
        <v>2417</v>
      </c>
      <c r="D1736" s="28" t="s">
        <v>622</v>
      </c>
      <c r="E1736" s="28" t="s">
        <v>211</v>
      </c>
      <c r="F1736" s="28" t="s">
        <v>490</v>
      </c>
      <c r="G1736" s="28"/>
      <c r="H1736" s="28">
        <v>4805897</v>
      </c>
      <c r="I1736" s="28">
        <v>146703</v>
      </c>
      <c r="J1736" s="28">
        <v>0.99</v>
      </c>
      <c r="K1736" s="28">
        <v>18</v>
      </c>
      <c r="L1736" s="28">
        <v>1</v>
      </c>
    </row>
    <row r="1737" spans="1:12" ht="14.25" customHeight="1" x14ac:dyDescent="0.2">
      <c r="A1737" s="28">
        <v>1736</v>
      </c>
      <c r="B1737" s="28" t="s">
        <v>2435</v>
      </c>
      <c r="C1737" s="28" t="s">
        <v>2415</v>
      </c>
      <c r="D1737" s="28" t="s">
        <v>622</v>
      </c>
      <c r="E1737" s="28" t="s">
        <v>211</v>
      </c>
      <c r="F1737" s="28" t="s">
        <v>490</v>
      </c>
      <c r="G1737" s="28"/>
      <c r="H1737" s="28">
        <v>6419139</v>
      </c>
      <c r="I1737" s="28">
        <v>196101</v>
      </c>
      <c r="J1737" s="28">
        <v>0.99</v>
      </c>
      <c r="K1737" s="28">
        <v>21</v>
      </c>
      <c r="L1737" s="28">
        <v>1</v>
      </c>
    </row>
    <row r="1738" spans="1:12" ht="14.25" customHeight="1" x14ac:dyDescent="0.2">
      <c r="A1738" s="28">
        <v>1737</v>
      </c>
      <c r="B1738" s="28" t="s">
        <v>2436</v>
      </c>
      <c r="C1738" s="28" t="s">
        <v>2415</v>
      </c>
      <c r="D1738" s="28" t="s">
        <v>622</v>
      </c>
      <c r="E1738" s="28" t="s">
        <v>211</v>
      </c>
      <c r="F1738" s="28" t="s">
        <v>490</v>
      </c>
      <c r="G1738" s="28"/>
      <c r="H1738" s="28">
        <v>7496584</v>
      </c>
      <c r="I1738" s="28">
        <v>227813</v>
      </c>
      <c r="J1738" s="28">
        <v>0.99</v>
      </c>
      <c r="K1738" s="28">
        <v>24</v>
      </c>
      <c r="L1738" s="28">
        <v>0</v>
      </c>
    </row>
    <row r="1739" spans="1:12" ht="14.25" customHeight="1" x14ac:dyDescent="0.2">
      <c r="A1739" s="28">
        <v>1738</v>
      </c>
      <c r="B1739" s="28" t="s">
        <v>2437</v>
      </c>
      <c r="C1739" s="28" t="s">
        <v>2417</v>
      </c>
      <c r="D1739" s="28" t="s">
        <v>622</v>
      </c>
      <c r="E1739" s="28" t="s">
        <v>211</v>
      </c>
      <c r="F1739" s="28" t="s">
        <v>490</v>
      </c>
      <c r="G1739" s="28"/>
      <c r="H1739" s="28">
        <v>9201645</v>
      </c>
      <c r="I1739" s="28">
        <v>276035</v>
      </c>
      <c r="J1739" s="28">
        <v>0.99</v>
      </c>
      <c r="K1739" s="28">
        <v>64</v>
      </c>
      <c r="L1739" s="28">
        <v>0</v>
      </c>
    </row>
    <row r="1740" spans="1:12" ht="14.25" customHeight="1" x14ac:dyDescent="0.2">
      <c r="A1740" s="28">
        <v>1739</v>
      </c>
      <c r="B1740" s="28" t="s">
        <v>2438</v>
      </c>
      <c r="C1740" s="28" t="s">
        <v>2417</v>
      </c>
      <c r="D1740" s="28" t="s">
        <v>622</v>
      </c>
      <c r="E1740" s="28" t="s">
        <v>211</v>
      </c>
      <c r="F1740" s="28" t="s">
        <v>490</v>
      </c>
      <c r="G1740" s="28"/>
      <c r="H1740" s="28">
        <v>8133732</v>
      </c>
      <c r="I1740" s="28">
        <v>246804</v>
      </c>
      <c r="J1740" s="28">
        <v>0.99</v>
      </c>
      <c r="K1740" s="28">
        <v>92</v>
      </c>
      <c r="L1740" s="28">
        <v>0</v>
      </c>
    </row>
    <row r="1741" spans="1:12" ht="14.25" customHeight="1" x14ac:dyDescent="0.2">
      <c r="A1741" s="28">
        <v>1740</v>
      </c>
      <c r="B1741" s="28" t="s">
        <v>2439</v>
      </c>
      <c r="C1741" s="28" t="s">
        <v>2415</v>
      </c>
      <c r="D1741" s="28" t="s">
        <v>622</v>
      </c>
      <c r="E1741" s="28" t="s">
        <v>211</v>
      </c>
      <c r="F1741" s="28" t="s">
        <v>490</v>
      </c>
      <c r="G1741" s="28"/>
      <c r="H1741" s="28">
        <v>9121087</v>
      </c>
      <c r="I1741" s="28">
        <v>278047</v>
      </c>
      <c r="J1741" s="28">
        <v>0.99</v>
      </c>
      <c r="K1741" s="28">
        <v>53</v>
      </c>
      <c r="L1741" s="28">
        <v>1</v>
      </c>
    </row>
    <row r="1742" spans="1:12" ht="14.25" customHeight="1" x14ac:dyDescent="0.2">
      <c r="A1742" s="28">
        <v>1741</v>
      </c>
      <c r="B1742" s="28" t="s">
        <v>2440</v>
      </c>
      <c r="C1742" s="28" t="s">
        <v>2417</v>
      </c>
      <c r="D1742" s="28" t="s">
        <v>622</v>
      </c>
      <c r="E1742" s="28" t="s">
        <v>211</v>
      </c>
      <c r="F1742" s="28" t="s">
        <v>490</v>
      </c>
      <c r="G1742" s="28"/>
      <c r="H1742" s="28">
        <v>8698959</v>
      </c>
      <c r="I1742" s="28">
        <v>261041</v>
      </c>
      <c r="J1742" s="28">
        <v>0.99</v>
      </c>
      <c r="K1742" s="28">
        <v>6</v>
      </c>
      <c r="L1742" s="28">
        <v>1</v>
      </c>
    </row>
    <row r="1743" spans="1:12" ht="14.25" customHeight="1" x14ac:dyDescent="0.2">
      <c r="A1743" s="28">
        <v>1742</v>
      </c>
      <c r="B1743" s="28" t="s">
        <v>2441</v>
      </c>
      <c r="C1743" s="28" t="s">
        <v>2415</v>
      </c>
      <c r="D1743" s="28" t="s">
        <v>622</v>
      </c>
      <c r="E1743" s="28" t="s">
        <v>211</v>
      </c>
      <c r="F1743" s="28" t="s">
        <v>490</v>
      </c>
      <c r="G1743" s="28"/>
      <c r="H1743" s="28">
        <v>6552490</v>
      </c>
      <c r="I1743" s="28">
        <v>195996</v>
      </c>
      <c r="J1743" s="28">
        <v>0.99</v>
      </c>
      <c r="K1743" s="28">
        <v>58</v>
      </c>
      <c r="L1743" s="28">
        <v>0</v>
      </c>
    </row>
    <row r="1744" spans="1:12" ht="14.25" customHeight="1" x14ac:dyDescent="0.2">
      <c r="A1744" s="28">
        <v>1743</v>
      </c>
      <c r="B1744" s="28" t="s">
        <v>2442</v>
      </c>
      <c r="C1744" s="28" t="s">
        <v>2415</v>
      </c>
      <c r="D1744" s="28" t="s">
        <v>622</v>
      </c>
      <c r="E1744" s="28" t="s">
        <v>211</v>
      </c>
      <c r="F1744" s="28" t="s">
        <v>490</v>
      </c>
      <c r="G1744" s="28"/>
      <c r="H1744" s="28">
        <v>6229645</v>
      </c>
      <c r="I1744" s="28">
        <v>189492</v>
      </c>
      <c r="J1744" s="28">
        <v>0.99</v>
      </c>
      <c r="K1744" s="28">
        <v>23</v>
      </c>
      <c r="L1744" s="28">
        <v>0</v>
      </c>
    </row>
    <row r="1745" spans="1:12" ht="14.25" customHeight="1" x14ac:dyDescent="0.2">
      <c r="A1745" s="28">
        <v>1744</v>
      </c>
      <c r="B1745" s="28" t="s">
        <v>2443</v>
      </c>
      <c r="C1745" s="28" t="s">
        <v>2417</v>
      </c>
      <c r="D1745" s="28" t="s">
        <v>622</v>
      </c>
      <c r="E1745" s="28" t="s">
        <v>211</v>
      </c>
      <c r="F1745" s="28" t="s">
        <v>490</v>
      </c>
      <c r="G1745" s="28"/>
      <c r="H1745" s="28">
        <v>7692697</v>
      </c>
      <c r="I1745" s="28">
        <v>231993</v>
      </c>
      <c r="J1745" s="28">
        <v>0.99</v>
      </c>
      <c r="K1745" s="28">
        <v>32</v>
      </c>
      <c r="L1745" s="28">
        <v>1</v>
      </c>
    </row>
    <row r="1746" spans="1:12" ht="14.25" customHeight="1" x14ac:dyDescent="0.2">
      <c r="A1746" s="28">
        <v>1745</v>
      </c>
      <c r="B1746" s="28" t="s">
        <v>2444</v>
      </c>
      <c r="C1746" s="28" t="s">
        <v>2445</v>
      </c>
      <c r="D1746" s="28" t="s">
        <v>2446</v>
      </c>
      <c r="E1746" s="28" t="s">
        <v>211</v>
      </c>
      <c r="F1746" s="28" t="s">
        <v>212</v>
      </c>
      <c r="G1746" s="28" t="s">
        <v>2447</v>
      </c>
      <c r="H1746" s="28">
        <v>4334038</v>
      </c>
      <c r="I1746" s="28">
        <v>134739</v>
      </c>
      <c r="J1746" s="28">
        <v>0.99</v>
      </c>
      <c r="K1746" s="28">
        <v>51</v>
      </c>
      <c r="L1746" s="28">
        <v>1</v>
      </c>
    </row>
    <row r="1747" spans="1:12" ht="14.25" customHeight="1" x14ac:dyDescent="0.2">
      <c r="A1747" s="28">
        <v>1746</v>
      </c>
      <c r="B1747" s="28" t="s">
        <v>2448</v>
      </c>
      <c r="C1747" s="28" t="s">
        <v>2445</v>
      </c>
      <c r="D1747" s="28" t="s">
        <v>2446</v>
      </c>
      <c r="E1747" s="28" t="s">
        <v>211</v>
      </c>
      <c r="F1747" s="28" t="s">
        <v>212</v>
      </c>
      <c r="G1747" s="28" t="s">
        <v>2447</v>
      </c>
      <c r="H1747" s="28">
        <v>7716005</v>
      </c>
      <c r="I1747" s="28">
        <v>234605</v>
      </c>
      <c r="J1747" s="28">
        <v>0.99</v>
      </c>
      <c r="K1747" s="28">
        <v>73</v>
      </c>
      <c r="L1747" s="28">
        <v>0</v>
      </c>
    </row>
    <row r="1748" spans="1:12" ht="14.25" customHeight="1" x14ac:dyDescent="0.2">
      <c r="A1748" s="28">
        <v>1747</v>
      </c>
      <c r="B1748" s="28" t="s">
        <v>2449</v>
      </c>
      <c r="C1748" s="28" t="s">
        <v>2445</v>
      </c>
      <c r="D1748" s="28" t="s">
        <v>2446</v>
      </c>
      <c r="E1748" s="28" t="s">
        <v>211</v>
      </c>
      <c r="F1748" s="28" t="s">
        <v>212</v>
      </c>
      <c r="G1748" s="28" t="s">
        <v>2447</v>
      </c>
      <c r="H1748" s="28">
        <v>4999814</v>
      </c>
      <c r="I1748" s="28">
        <v>153417</v>
      </c>
      <c r="J1748" s="28">
        <v>0.99</v>
      </c>
      <c r="K1748" s="28">
        <v>74</v>
      </c>
      <c r="L1748" s="28">
        <v>0</v>
      </c>
    </row>
    <row r="1749" spans="1:12" ht="14.25" customHeight="1" x14ac:dyDescent="0.2">
      <c r="A1749" s="28">
        <v>1748</v>
      </c>
      <c r="B1749" s="28" t="s">
        <v>2450</v>
      </c>
      <c r="C1749" s="28" t="s">
        <v>2445</v>
      </c>
      <c r="D1749" s="28" t="s">
        <v>2446</v>
      </c>
      <c r="E1749" s="28" t="s">
        <v>211</v>
      </c>
      <c r="F1749" s="28" t="s">
        <v>212</v>
      </c>
      <c r="G1749" s="28" t="s">
        <v>2447</v>
      </c>
      <c r="H1749" s="28">
        <v>11791068</v>
      </c>
      <c r="I1749" s="28">
        <v>356493</v>
      </c>
      <c r="J1749" s="28">
        <v>0.99</v>
      </c>
      <c r="K1749" s="28">
        <v>89</v>
      </c>
      <c r="L1749" s="28">
        <v>0</v>
      </c>
    </row>
    <row r="1750" spans="1:12" ht="14.25" customHeight="1" x14ac:dyDescent="0.2">
      <c r="A1750" s="28">
        <v>1749</v>
      </c>
      <c r="B1750" s="28" t="s">
        <v>2451</v>
      </c>
      <c r="C1750" s="28" t="s">
        <v>2445</v>
      </c>
      <c r="D1750" s="28" t="s">
        <v>2446</v>
      </c>
      <c r="E1750" s="28" t="s">
        <v>211</v>
      </c>
      <c r="F1750" s="28" t="s">
        <v>212</v>
      </c>
      <c r="G1750" s="28" t="s">
        <v>2447</v>
      </c>
      <c r="H1750" s="28">
        <v>11893723</v>
      </c>
      <c r="I1750" s="28">
        <v>366053</v>
      </c>
      <c r="J1750" s="28">
        <v>0.99</v>
      </c>
      <c r="K1750" s="28">
        <v>37</v>
      </c>
      <c r="L1750" s="28">
        <v>1</v>
      </c>
    </row>
    <row r="1751" spans="1:12" ht="14.25" customHeight="1" x14ac:dyDescent="0.2">
      <c r="A1751" s="28">
        <v>1750</v>
      </c>
      <c r="B1751" s="28" t="s">
        <v>2452</v>
      </c>
      <c r="C1751" s="28" t="s">
        <v>2445</v>
      </c>
      <c r="D1751" s="28" t="s">
        <v>2446</v>
      </c>
      <c r="E1751" s="28" t="s">
        <v>211</v>
      </c>
      <c r="F1751" s="28" t="s">
        <v>212</v>
      </c>
      <c r="G1751" s="28" t="s">
        <v>2447</v>
      </c>
      <c r="H1751" s="28">
        <v>4378835</v>
      </c>
      <c r="I1751" s="28">
        <v>133093</v>
      </c>
      <c r="J1751" s="28">
        <v>0.99</v>
      </c>
      <c r="K1751" s="28">
        <v>5</v>
      </c>
      <c r="L1751" s="28">
        <v>1</v>
      </c>
    </row>
    <row r="1752" spans="1:12" ht="14.25" customHeight="1" x14ac:dyDescent="0.2">
      <c r="A1752" s="28">
        <v>1751</v>
      </c>
      <c r="B1752" s="28" t="s">
        <v>2453</v>
      </c>
      <c r="C1752" s="28" t="s">
        <v>2445</v>
      </c>
      <c r="D1752" s="28" t="s">
        <v>2446</v>
      </c>
      <c r="E1752" s="28" t="s">
        <v>211</v>
      </c>
      <c r="F1752" s="28" t="s">
        <v>212</v>
      </c>
      <c r="G1752" s="28" t="s">
        <v>2447</v>
      </c>
      <c r="H1752" s="28">
        <v>3741319</v>
      </c>
      <c r="I1752" s="28">
        <v>112875</v>
      </c>
      <c r="J1752" s="28">
        <v>0.99</v>
      </c>
      <c r="K1752" s="28">
        <v>63</v>
      </c>
      <c r="L1752" s="28">
        <v>0</v>
      </c>
    </row>
    <row r="1753" spans="1:12" ht="14.25" customHeight="1" x14ac:dyDescent="0.2">
      <c r="A1753" s="28">
        <v>1752</v>
      </c>
      <c r="B1753" s="28" t="s">
        <v>2454</v>
      </c>
      <c r="C1753" s="28" t="s">
        <v>2445</v>
      </c>
      <c r="D1753" s="28" t="s">
        <v>2446</v>
      </c>
      <c r="E1753" s="28" t="s">
        <v>211</v>
      </c>
      <c r="F1753" s="28" t="s">
        <v>212</v>
      </c>
      <c r="G1753" s="28" t="s">
        <v>2447</v>
      </c>
      <c r="H1753" s="28">
        <v>18578995</v>
      </c>
      <c r="I1753" s="28">
        <v>569704</v>
      </c>
      <c r="J1753" s="28">
        <v>0.99</v>
      </c>
      <c r="K1753" s="28">
        <v>31</v>
      </c>
      <c r="L1753" s="28">
        <v>0</v>
      </c>
    </row>
    <row r="1754" spans="1:12" ht="14.25" customHeight="1" x14ac:dyDescent="0.2">
      <c r="A1754" s="28">
        <v>1753</v>
      </c>
      <c r="B1754" s="28" t="s">
        <v>2455</v>
      </c>
      <c r="C1754" s="28" t="s">
        <v>2445</v>
      </c>
      <c r="D1754" s="28" t="s">
        <v>2446</v>
      </c>
      <c r="E1754" s="28" t="s">
        <v>211</v>
      </c>
      <c r="F1754" s="28" t="s">
        <v>212</v>
      </c>
      <c r="G1754" s="28" t="s">
        <v>2447</v>
      </c>
      <c r="H1754" s="28">
        <v>9015366</v>
      </c>
      <c r="I1754" s="28">
        <v>272796</v>
      </c>
      <c r="J1754" s="28">
        <v>0.99</v>
      </c>
      <c r="K1754" s="28">
        <v>97</v>
      </c>
      <c r="L1754" s="28">
        <v>1</v>
      </c>
    </row>
    <row r="1755" spans="1:12" ht="14.25" customHeight="1" x14ac:dyDescent="0.2">
      <c r="A1755" s="28">
        <v>1754</v>
      </c>
      <c r="B1755" s="28" t="s">
        <v>2456</v>
      </c>
      <c r="C1755" s="28" t="s">
        <v>2445</v>
      </c>
      <c r="D1755" s="28" t="s">
        <v>2446</v>
      </c>
      <c r="E1755" s="28" t="s">
        <v>211</v>
      </c>
      <c r="F1755" s="28" t="s">
        <v>212</v>
      </c>
      <c r="G1755" s="28" t="s">
        <v>2447</v>
      </c>
      <c r="H1755" s="28">
        <v>4711776</v>
      </c>
      <c r="I1755" s="28">
        <v>143595</v>
      </c>
      <c r="J1755" s="28">
        <v>0.99</v>
      </c>
      <c r="K1755" s="28">
        <v>84</v>
      </c>
      <c r="L1755" s="28">
        <v>1</v>
      </c>
    </row>
    <row r="1756" spans="1:12" ht="14.25" customHeight="1" x14ac:dyDescent="0.2">
      <c r="A1756" s="28">
        <v>1755</v>
      </c>
      <c r="B1756" s="28" t="s">
        <v>2457</v>
      </c>
      <c r="C1756" s="28" t="s">
        <v>2458</v>
      </c>
      <c r="D1756" s="28" t="s">
        <v>2459</v>
      </c>
      <c r="E1756" s="28" t="s">
        <v>211</v>
      </c>
      <c r="F1756" s="28" t="s">
        <v>490</v>
      </c>
      <c r="G1756" s="28" t="s">
        <v>2460</v>
      </c>
      <c r="H1756" s="28">
        <v>4511390</v>
      </c>
      <c r="I1756" s="28">
        <v>136254</v>
      </c>
      <c r="J1756" s="28">
        <v>0.99</v>
      </c>
      <c r="K1756" s="28">
        <v>12</v>
      </c>
      <c r="L1756" s="28">
        <v>0</v>
      </c>
    </row>
    <row r="1757" spans="1:12" ht="14.25" customHeight="1" x14ac:dyDescent="0.2">
      <c r="A1757" s="28">
        <v>1756</v>
      </c>
      <c r="B1757" s="28" t="s">
        <v>2461</v>
      </c>
      <c r="C1757" s="28" t="s">
        <v>2458</v>
      </c>
      <c r="D1757" s="28" t="s">
        <v>2459</v>
      </c>
      <c r="E1757" s="28" t="s">
        <v>211</v>
      </c>
      <c r="F1757" s="28" t="s">
        <v>490</v>
      </c>
      <c r="G1757" s="28" t="s">
        <v>2460</v>
      </c>
      <c r="H1757" s="28">
        <v>7183757</v>
      </c>
      <c r="I1757" s="28">
        <v>215875</v>
      </c>
      <c r="J1757" s="28">
        <v>0.99</v>
      </c>
      <c r="K1757" s="28">
        <v>40</v>
      </c>
      <c r="L1757" s="28">
        <v>0</v>
      </c>
    </row>
    <row r="1758" spans="1:12" ht="14.25" customHeight="1" x14ac:dyDescent="0.2">
      <c r="A1758" s="28">
        <v>1757</v>
      </c>
      <c r="B1758" s="28" t="s">
        <v>2462</v>
      </c>
      <c r="C1758" s="28" t="s">
        <v>2458</v>
      </c>
      <c r="D1758" s="28" t="s">
        <v>2459</v>
      </c>
      <c r="E1758" s="28" t="s">
        <v>211</v>
      </c>
      <c r="F1758" s="28" t="s">
        <v>490</v>
      </c>
      <c r="G1758" s="28" t="s">
        <v>2463</v>
      </c>
      <c r="H1758" s="28">
        <v>4857761</v>
      </c>
      <c r="I1758" s="28">
        <v>145606</v>
      </c>
      <c r="J1758" s="28">
        <v>0.99</v>
      </c>
      <c r="K1758" s="28">
        <v>52</v>
      </c>
      <c r="L1758" s="28">
        <v>0</v>
      </c>
    </row>
    <row r="1759" spans="1:12" ht="14.25" customHeight="1" x14ac:dyDescent="0.2">
      <c r="A1759" s="28">
        <v>1758</v>
      </c>
      <c r="B1759" s="28" t="s">
        <v>2464</v>
      </c>
      <c r="C1759" s="28" t="s">
        <v>2458</v>
      </c>
      <c r="D1759" s="28" t="s">
        <v>2459</v>
      </c>
      <c r="E1759" s="28" t="s">
        <v>211</v>
      </c>
      <c r="F1759" s="28" t="s">
        <v>490</v>
      </c>
      <c r="G1759" s="28" t="s">
        <v>499</v>
      </c>
      <c r="H1759" s="28">
        <v>5760864</v>
      </c>
      <c r="I1759" s="28">
        <v>172800</v>
      </c>
      <c r="J1759" s="28">
        <v>0.99</v>
      </c>
      <c r="K1759" s="28">
        <v>95</v>
      </c>
      <c r="L1759" s="28">
        <v>1</v>
      </c>
    </row>
    <row r="1760" spans="1:12" ht="14.25" customHeight="1" x14ac:dyDescent="0.2">
      <c r="A1760" s="28">
        <v>1759</v>
      </c>
      <c r="B1760" s="28" t="s">
        <v>2465</v>
      </c>
      <c r="C1760" s="28" t="s">
        <v>2458</v>
      </c>
      <c r="D1760" s="28" t="s">
        <v>2459</v>
      </c>
      <c r="E1760" s="28" t="s">
        <v>211</v>
      </c>
      <c r="F1760" s="28" t="s">
        <v>490</v>
      </c>
      <c r="G1760" s="28" t="s">
        <v>622</v>
      </c>
      <c r="H1760" s="28">
        <v>6066234</v>
      </c>
      <c r="I1760" s="28">
        <v>183066</v>
      </c>
      <c r="J1760" s="28">
        <v>0.99</v>
      </c>
      <c r="K1760" s="28">
        <v>85</v>
      </c>
      <c r="L1760" s="28">
        <v>1</v>
      </c>
    </row>
    <row r="1761" spans="1:12" ht="14.25" customHeight="1" x14ac:dyDescent="0.2">
      <c r="A1761" s="28">
        <v>1760</v>
      </c>
      <c r="B1761" s="28" t="s">
        <v>2466</v>
      </c>
      <c r="C1761" s="28" t="s">
        <v>2458</v>
      </c>
      <c r="D1761" s="28" t="s">
        <v>2459</v>
      </c>
      <c r="E1761" s="28" t="s">
        <v>211</v>
      </c>
      <c r="F1761" s="28" t="s">
        <v>490</v>
      </c>
      <c r="G1761" s="28" t="s">
        <v>2460</v>
      </c>
      <c r="H1761" s="28">
        <v>7621482</v>
      </c>
      <c r="I1761" s="28">
        <v>230008</v>
      </c>
      <c r="J1761" s="28">
        <v>0.99</v>
      </c>
      <c r="K1761" s="28">
        <v>3</v>
      </c>
      <c r="L1761" s="28">
        <v>0</v>
      </c>
    </row>
    <row r="1762" spans="1:12" ht="14.25" customHeight="1" x14ac:dyDescent="0.2">
      <c r="A1762" s="28">
        <v>1761</v>
      </c>
      <c r="B1762" s="28" t="s">
        <v>2467</v>
      </c>
      <c r="C1762" s="28" t="s">
        <v>2458</v>
      </c>
      <c r="D1762" s="28" t="s">
        <v>2459</v>
      </c>
      <c r="E1762" s="28" t="s">
        <v>211</v>
      </c>
      <c r="F1762" s="28" t="s">
        <v>490</v>
      </c>
      <c r="G1762" s="28" t="s">
        <v>2468</v>
      </c>
      <c r="H1762" s="28">
        <v>1454532</v>
      </c>
      <c r="I1762" s="28">
        <v>45191</v>
      </c>
      <c r="J1762" s="28">
        <v>0.99</v>
      </c>
      <c r="K1762" s="28">
        <v>0</v>
      </c>
      <c r="L1762" s="28">
        <v>0</v>
      </c>
    </row>
    <row r="1763" spans="1:12" ht="14.25" customHeight="1" x14ac:dyDescent="0.2">
      <c r="A1763" s="28">
        <v>1762</v>
      </c>
      <c r="B1763" s="28" t="s">
        <v>947</v>
      </c>
      <c r="C1763" s="28" t="s">
        <v>2458</v>
      </c>
      <c r="D1763" s="28" t="s">
        <v>2459</v>
      </c>
      <c r="E1763" s="28" t="s">
        <v>211</v>
      </c>
      <c r="F1763" s="28" t="s">
        <v>490</v>
      </c>
      <c r="G1763" s="28" t="s">
        <v>2469</v>
      </c>
      <c r="H1763" s="28">
        <v>6318373</v>
      </c>
      <c r="I1763" s="28">
        <v>192339</v>
      </c>
      <c r="J1763" s="28">
        <v>0.99</v>
      </c>
      <c r="K1763" s="28">
        <v>64</v>
      </c>
      <c r="L1763" s="28">
        <v>1</v>
      </c>
    </row>
    <row r="1764" spans="1:12" ht="14.25" customHeight="1" x14ac:dyDescent="0.2">
      <c r="A1764" s="28">
        <v>1763</v>
      </c>
      <c r="B1764" s="28" t="s">
        <v>2470</v>
      </c>
      <c r="C1764" s="28" t="s">
        <v>2458</v>
      </c>
      <c r="D1764" s="28" t="s">
        <v>2459</v>
      </c>
      <c r="E1764" s="28" t="s">
        <v>211</v>
      </c>
      <c r="F1764" s="28" t="s">
        <v>490</v>
      </c>
      <c r="G1764" s="28" t="s">
        <v>2469</v>
      </c>
      <c r="H1764" s="28">
        <v>7012658</v>
      </c>
      <c r="I1764" s="28">
        <v>209005</v>
      </c>
      <c r="J1764" s="28">
        <v>0.99</v>
      </c>
      <c r="K1764" s="28">
        <v>23</v>
      </c>
      <c r="L1764" s="28">
        <v>1</v>
      </c>
    </row>
    <row r="1765" spans="1:12" ht="14.25" customHeight="1" x14ac:dyDescent="0.2">
      <c r="A1765" s="28">
        <v>1764</v>
      </c>
      <c r="B1765" s="28" t="s">
        <v>2471</v>
      </c>
      <c r="C1765" s="28" t="s">
        <v>2458</v>
      </c>
      <c r="D1765" s="28" t="s">
        <v>2459</v>
      </c>
      <c r="E1765" s="28" t="s">
        <v>211</v>
      </c>
      <c r="F1765" s="28" t="s">
        <v>490</v>
      </c>
      <c r="G1765" s="28" t="s">
        <v>2469</v>
      </c>
      <c r="H1765" s="28">
        <v>6512544</v>
      </c>
      <c r="I1765" s="28">
        <v>197276</v>
      </c>
      <c r="J1765" s="28">
        <v>0.99</v>
      </c>
      <c r="K1765" s="28">
        <v>61</v>
      </c>
      <c r="L1765" s="28">
        <v>0</v>
      </c>
    </row>
    <row r="1766" spans="1:12" ht="14.25" customHeight="1" x14ac:dyDescent="0.2">
      <c r="A1766" s="28">
        <v>1765</v>
      </c>
      <c r="B1766" s="28" t="s">
        <v>2472</v>
      </c>
      <c r="C1766" s="28" t="s">
        <v>2458</v>
      </c>
      <c r="D1766" s="28" t="s">
        <v>2459</v>
      </c>
      <c r="E1766" s="28" t="s">
        <v>211</v>
      </c>
      <c r="F1766" s="28" t="s">
        <v>490</v>
      </c>
      <c r="G1766" s="28" t="s">
        <v>2469</v>
      </c>
      <c r="H1766" s="28">
        <v>8196331</v>
      </c>
      <c r="I1766" s="28">
        <v>249808</v>
      </c>
      <c r="J1766" s="28">
        <v>0.99</v>
      </c>
      <c r="K1766" s="28">
        <v>32</v>
      </c>
      <c r="L1766" s="28">
        <v>0</v>
      </c>
    </row>
    <row r="1767" spans="1:12" ht="14.25" customHeight="1" x14ac:dyDescent="0.2">
      <c r="A1767" s="28">
        <v>1766</v>
      </c>
      <c r="B1767" s="28" t="s">
        <v>2473</v>
      </c>
      <c r="C1767" s="28" t="s">
        <v>2458</v>
      </c>
      <c r="D1767" s="28" t="s">
        <v>2459</v>
      </c>
      <c r="E1767" s="28" t="s">
        <v>211</v>
      </c>
      <c r="F1767" s="28" t="s">
        <v>490</v>
      </c>
      <c r="G1767" s="28" t="s">
        <v>2469</v>
      </c>
      <c r="H1767" s="28">
        <v>7211247</v>
      </c>
      <c r="I1767" s="28">
        <v>218801</v>
      </c>
      <c r="J1767" s="28">
        <v>0.99</v>
      </c>
      <c r="K1767" s="28">
        <v>25</v>
      </c>
      <c r="L1767" s="28">
        <v>0</v>
      </c>
    </row>
    <row r="1768" spans="1:12" ht="14.25" customHeight="1" x14ac:dyDescent="0.2">
      <c r="A1768" s="28">
        <v>1767</v>
      </c>
      <c r="B1768" s="28" t="s">
        <v>2474</v>
      </c>
      <c r="C1768" s="28" t="s">
        <v>2458</v>
      </c>
      <c r="D1768" s="28" t="s">
        <v>2459</v>
      </c>
      <c r="E1768" s="28" t="s">
        <v>211</v>
      </c>
      <c r="F1768" s="28" t="s">
        <v>490</v>
      </c>
      <c r="G1768" s="28" t="s">
        <v>2469</v>
      </c>
      <c r="H1768" s="28">
        <v>4326918</v>
      </c>
      <c r="I1768" s="28">
        <v>129410</v>
      </c>
      <c r="J1768" s="28">
        <v>0.99</v>
      </c>
      <c r="K1768" s="28">
        <v>58</v>
      </c>
      <c r="L1768" s="28">
        <v>1</v>
      </c>
    </row>
    <row r="1769" spans="1:12" ht="14.25" customHeight="1" x14ac:dyDescent="0.2">
      <c r="A1769" s="28">
        <v>1768</v>
      </c>
      <c r="B1769" s="28" t="s">
        <v>2475</v>
      </c>
      <c r="C1769" s="28" t="s">
        <v>2458</v>
      </c>
      <c r="D1769" s="28" t="s">
        <v>2459</v>
      </c>
      <c r="E1769" s="28" t="s">
        <v>211</v>
      </c>
      <c r="F1769" s="28" t="s">
        <v>490</v>
      </c>
      <c r="G1769" s="28" t="s">
        <v>2469</v>
      </c>
      <c r="H1769" s="28">
        <v>6699368</v>
      </c>
      <c r="I1769" s="28">
        <v>203520</v>
      </c>
      <c r="J1769" s="28">
        <v>0.99</v>
      </c>
      <c r="K1769" s="28">
        <v>82</v>
      </c>
      <c r="L1769" s="28">
        <v>1</v>
      </c>
    </row>
    <row r="1770" spans="1:12" ht="14.25" customHeight="1" x14ac:dyDescent="0.2">
      <c r="A1770" s="28">
        <v>1769</v>
      </c>
      <c r="B1770" s="28" t="s">
        <v>2476</v>
      </c>
      <c r="C1770" s="28" t="s">
        <v>2458</v>
      </c>
      <c r="D1770" s="28" t="s">
        <v>2459</v>
      </c>
      <c r="E1770" s="28" t="s">
        <v>211</v>
      </c>
      <c r="F1770" s="28" t="s">
        <v>490</v>
      </c>
      <c r="G1770" s="28" t="s">
        <v>2469</v>
      </c>
      <c r="H1770" s="28">
        <v>9158834</v>
      </c>
      <c r="I1770" s="28">
        <v>275591</v>
      </c>
      <c r="J1770" s="28">
        <v>0.99</v>
      </c>
      <c r="K1770" s="28">
        <v>76</v>
      </c>
      <c r="L1770" s="28">
        <v>0</v>
      </c>
    </row>
    <row r="1771" spans="1:12" ht="14.25" customHeight="1" x14ac:dyDescent="0.2">
      <c r="A1771" s="28">
        <v>1770</v>
      </c>
      <c r="B1771" s="28" t="s">
        <v>2477</v>
      </c>
      <c r="C1771" s="28" t="s">
        <v>2458</v>
      </c>
      <c r="D1771" s="28" t="s">
        <v>2459</v>
      </c>
      <c r="E1771" s="28" t="s">
        <v>211</v>
      </c>
      <c r="F1771" s="28" t="s">
        <v>490</v>
      </c>
      <c r="G1771" s="28" t="s">
        <v>2469</v>
      </c>
      <c r="H1771" s="28">
        <v>5246835</v>
      </c>
      <c r="I1771" s="28">
        <v>159190</v>
      </c>
      <c r="J1771" s="28">
        <v>0.99</v>
      </c>
      <c r="K1771" s="28">
        <v>90</v>
      </c>
      <c r="L1771" s="28">
        <v>0</v>
      </c>
    </row>
    <row r="1772" spans="1:12" ht="14.25" customHeight="1" x14ac:dyDescent="0.2">
      <c r="A1772" s="28">
        <v>1771</v>
      </c>
      <c r="B1772" s="28" t="s">
        <v>2478</v>
      </c>
      <c r="C1772" s="28" t="s">
        <v>2458</v>
      </c>
      <c r="D1772" s="28" t="s">
        <v>2459</v>
      </c>
      <c r="E1772" s="28" t="s">
        <v>211</v>
      </c>
      <c r="F1772" s="28" t="s">
        <v>490</v>
      </c>
      <c r="G1772" s="28" t="s">
        <v>2469</v>
      </c>
      <c r="H1772" s="28">
        <v>5922018</v>
      </c>
      <c r="I1772" s="28">
        <v>178207</v>
      </c>
      <c r="J1772" s="28">
        <v>0.99</v>
      </c>
      <c r="K1772" s="28">
        <v>29</v>
      </c>
      <c r="L1772" s="28">
        <v>1</v>
      </c>
    </row>
    <row r="1773" spans="1:12" ht="14.25" customHeight="1" x14ac:dyDescent="0.2">
      <c r="A1773" s="28">
        <v>1772</v>
      </c>
      <c r="B1773" s="28" t="s">
        <v>2479</v>
      </c>
      <c r="C1773" s="28" t="s">
        <v>2458</v>
      </c>
      <c r="D1773" s="28" t="s">
        <v>2459</v>
      </c>
      <c r="E1773" s="28" t="s">
        <v>211</v>
      </c>
      <c r="F1773" s="28" t="s">
        <v>490</v>
      </c>
      <c r="G1773" s="28" t="s">
        <v>2469</v>
      </c>
      <c r="H1773" s="28">
        <v>9553228</v>
      </c>
      <c r="I1773" s="28">
        <v>291866</v>
      </c>
      <c r="J1773" s="28">
        <v>0.99</v>
      </c>
      <c r="K1773" s="28">
        <v>92</v>
      </c>
      <c r="L1773" s="28">
        <v>1</v>
      </c>
    </row>
    <row r="1774" spans="1:12" ht="14.25" customHeight="1" x14ac:dyDescent="0.2">
      <c r="A1774" s="28">
        <v>1773</v>
      </c>
      <c r="B1774" s="28" t="s">
        <v>2480</v>
      </c>
      <c r="C1774" s="28" t="s">
        <v>2481</v>
      </c>
      <c r="D1774" s="28" t="s">
        <v>2482</v>
      </c>
      <c r="E1774" s="28" t="s">
        <v>211</v>
      </c>
      <c r="F1774" s="28" t="s">
        <v>2034</v>
      </c>
      <c r="G1774" s="28"/>
      <c r="H1774" s="28">
        <v>4477321</v>
      </c>
      <c r="I1774" s="28">
        <v>136986</v>
      </c>
      <c r="J1774" s="28">
        <v>0.99</v>
      </c>
      <c r="K1774" s="28">
        <v>58</v>
      </c>
      <c r="L1774" s="28">
        <v>0</v>
      </c>
    </row>
    <row r="1775" spans="1:12" ht="14.25" customHeight="1" x14ac:dyDescent="0.2">
      <c r="A1775" s="28">
        <v>1774</v>
      </c>
      <c r="B1775" s="28" t="s">
        <v>2483</v>
      </c>
      <c r="C1775" s="28" t="s">
        <v>2481</v>
      </c>
      <c r="D1775" s="28" t="s">
        <v>2482</v>
      </c>
      <c r="E1775" s="28" t="s">
        <v>211</v>
      </c>
      <c r="F1775" s="28" t="s">
        <v>2034</v>
      </c>
      <c r="G1775" s="28"/>
      <c r="H1775" s="28">
        <v>4860380</v>
      </c>
      <c r="I1775" s="28">
        <v>149054</v>
      </c>
      <c r="J1775" s="28">
        <v>0.99</v>
      </c>
      <c r="K1775" s="28">
        <v>73</v>
      </c>
      <c r="L1775" s="28">
        <v>0</v>
      </c>
    </row>
    <row r="1776" spans="1:12" ht="14.25" customHeight="1" x14ac:dyDescent="0.2">
      <c r="A1776" s="28">
        <v>1775</v>
      </c>
      <c r="B1776" s="28" t="s">
        <v>2484</v>
      </c>
      <c r="C1776" s="28" t="s">
        <v>2481</v>
      </c>
      <c r="D1776" s="28" t="s">
        <v>2482</v>
      </c>
      <c r="E1776" s="28" t="s">
        <v>211</v>
      </c>
      <c r="F1776" s="28" t="s">
        <v>2034</v>
      </c>
      <c r="G1776" s="28" t="s">
        <v>2485</v>
      </c>
      <c r="H1776" s="28">
        <v>5259218</v>
      </c>
      <c r="I1776" s="28">
        <v>161410</v>
      </c>
      <c r="J1776" s="28">
        <v>0.99</v>
      </c>
      <c r="K1776" s="28">
        <v>47</v>
      </c>
      <c r="L1776" s="28">
        <v>0</v>
      </c>
    </row>
    <row r="1777" spans="1:12" ht="14.25" customHeight="1" x14ac:dyDescent="0.2">
      <c r="A1777" s="28">
        <v>1776</v>
      </c>
      <c r="B1777" s="28" t="s">
        <v>2486</v>
      </c>
      <c r="C1777" s="28" t="s">
        <v>2481</v>
      </c>
      <c r="D1777" s="28" t="s">
        <v>2482</v>
      </c>
      <c r="E1777" s="28" t="s">
        <v>211</v>
      </c>
      <c r="F1777" s="28" t="s">
        <v>2034</v>
      </c>
      <c r="G1777" s="28" t="s">
        <v>2487</v>
      </c>
      <c r="H1777" s="28">
        <v>4437949</v>
      </c>
      <c r="I1777" s="28">
        <v>137221</v>
      </c>
      <c r="J1777" s="28">
        <v>0.99</v>
      </c>
      <c r="K1777" s="28">
        <v>65</v>
      </c>
      <c r="L1777" s="28">
        <v>1</v>
      </c>
    </row>
    <row r="1778" spans="1:12" ht="14.25" customHeight="1" x14ac:dyDescent="0.2">
      <c r="A1778" s="28">
        <v>1777</v>
      </c>
      <c r="B1778" s="28" t="s">
        <v>2488</v>
      </c>
      <c r="C1778" s="28" t="s">
        <v>2481</v>
      </c>
      <c r="D1778" s="28" t="s">
        <v>2482</v>
      </c>
      <c r="E1778" s="28" t="s">
        <v>211</v>
      </c>
      <c r="F1778" s="28" t="s">
        <v>2034</v>
      </c>
      <c r="G1778" s="28" t="s">
        <v>2489</v>
      </c>
      <c r="H1778" s="28">
        <v>4972815</v>
      </c>
      <c r="I1778" s="28">
        <v>152424</v>
      </c>
      <c r="J1778" s="28">
        <v>0.99</v>
      </c>
      <c r="K1778" s="28">
        <v>56</v>
      </c>
      <c r="L1778" s="28">
        <v>1</v>
      </c>
    </row>
    <row r="1779" spans="1:12" ht="14.25" customHeight="1" x14ac:dyDescent="0.2">
      <c r="A1779" s="28">
        <v>1778</v>
      </c>
      <c r="B1779" s="28" t="s">
        <v>2490</v>
      </c>
      <c r="C1779" s="28" t="s">
        <v>2481</v>
      </c>
      <c r="D1779" s="28" t="s">
        <v>2482</v>
      </c>
      <c r="E1779" s="28" t="s">
        <v>211</v>
      </c>
      <c r="F1779" s="28" t="s">
        <v>2034</v>
      </c>
      <c r="G1779" s="28" t="s">
        <v>2491</v>
      </c>
      <c r="H1779" s="28">
        <v>4631104</v>
      </c>
      <c r="I1779" s="28">
        <v>142027</v>
      </c>
      <c r="J1779" s="28">
        <v>0.99</v>
      </c>
      <c r="K1779" s="28">
        <v>91</v>
      </c>
      <c r="L1779" s="28">
        <v>0</v>
      </c>
    </row>
    <row r="1780" spans="1:12" ht="14.25" customHeight="1" x14ac:dyDescent="0.2">
      <c r="A1780" s="28">
        <v>1779</v>
      </c>
      <c r="B1780" s="28" t="s">
        <v>2492</v>
      </c>
      <c r="C1780" s="28" t="s">
        <v>2481</v>
      </c>
      <c r="D1780" s="28" t="s">
        <v>2482</v>
      </c>
      <c r="E1780" s="28" t="s">
        <v>211</v>
      </c>
      <c r="F1780" s="28" t="s">
        <v>2034</v>
      </c>
      <c r="G1780" s="28" t="s">
        <v>2493</v>
      </c>
      <c r="H1780" s="28">
        <v>5377546</v>
      </c>
      <c r="I1780" s="28">
        <v>166295</v>
      </c>
      <c r="J1780" s="28">
        <v>0.99</v>
      </c>
      <c r="K1780" s="28">
        <v>58</v>
      </c>
      <c r="L1780" s="28">
        <v>0</v>
      </c>
    </row>
    <row r="1781" spans="1:12" ht="14.25" customHeight="1" x14ac:dyDescent="0.2">
      <c r="A1781" s="28">
        <v>1780</v>
      </c>
      <c r="B1781" s="28" t="s">
        <v>2494</v>
      </c>
      <c r="C1781" s="28" t="s">
        <v>2481</v>
      </c>
      <c r="D1781" s="28" t="s">
        <v>2482</v>
      </c>
      <c r="E1781" s="28" t="s">
        <v>211</v>
      </c>
      <c r="F1781" s="28" t="s">
        <v>2034</v>
      </c>
      <c r="G1781" s="28" t="s">
        <v>2495</v>
      </c>
      <c r="H1781" s="28">
        <v>6477882</v>
      </c>
      <c r="I1781" s="28">
        <v>194821</v>
      </c>
      <c r="J1781" s="28">
        <v>0.99</v>
      </c>
      <c r="K1781" s="28">
        <v>17</v>
      </c>
      <c r="L1781" s="28">
        <v>0</v>
      </c>
    </row>
    <row r="1782" spans="1:12" ht="14.25" customHeight="1" x14ac:dyDescent="0.2">
      <c r="A1782" s="28">
        <v>1781</v>
      </c>
      <c r="B1782" s="28" t="s">
        <v>2496</v>
      </c>
      <c r="C1782" s="28" t="s">
        <v>2481</v>
      </c>
      <c r="D1782" s="28" t="s">
        <v>2482</v>
      </c>
      <c r="E1782" s="28" t="s">
        <v>211</v>
      </c>
      <c r="F1782" s="28" t="s">
        <v>2034</v>
      </c>
      <c r="G1782" s="28" t="s">
        <v>2497</v>
      </c>
      <c r="H1782" s="28">
        <v>7306719</v>
      </c>
      <c r="I1782" s="28">
        <v>223451</v>
      </c>
      <c r="J1782" s="28">
        <v>0.99</v>
      </c>
      <c r="K1782" s="28">
        <v>37</v>
      </c>
      <c r="L1782" s="28">
        <v>1</v>
      </c>
    </row>
    <row r="1783" spans="1:12" ht="14.25" customHeight="1" x14ac:dyDescent="0.2">
      <c r="A1783" s="28">
        <v>1782</v>
      </c>
      <c r="B1783" s="28" t="s">
        <v>2498</v>
      </c>
      <c r="C1783" s="28" t="s">
        <v>2481</v>
      </c>
      <c r="D1783" s="28" t="s">
        <v>2482</v>
      </c>
      <c r="E1783" s="28" t="s">
        <v>211</v>
      </c>
      <c r="F1783" s="28" t="s">
        <v>2034</v>
      </c>
      <c r="G1783" s="28" t="s">
        <v>2499</v>
      </c>
      <c r="H1783" s="28">
        <v>5789945</v>
      </c>
      <c r="I1783" s="28">
        <v>176404</v>
      </c>
      <c r="J1783" s="28">
        <v>0.99</v>
      </c>
      <c r="K1783" s="28">
        <v>40</v>
      </c>
      <c r="L1783" s="28">
        <v>0</v>
      </c>
    </row>
    <row r="1784" spans="1:12" ht="14.25" customHeight="1" x14ac:dyDescent="0.2">
      <c r="A1784" s="28">
        <v>1783</v>
      </c>
      <c r="B1784" s="28" t="s">
        <v>2500</v>
      </c>
      <c r="C1784" s="28" t="s">
        <v>2481</v>
      </c>
      <c r="D1784" s="28" t="s">
        <v>2482</v>
      </c>
      <c r="E1784" s="28" t="s">
        <v>211</v>
      </c>
      <c r="F1784" s="28" t="s">
        <v>2034</v>
      </c>
      <c r="G1784" s="28" t="s">
        <v>2499</v>
      </c>
      <c r="H1784" s="28">
        <v>6893603</v>
      </c>
      <c r="I1784" s="28">
        <v>210886</v>
      </c>
      <c r="J1784" s="28">
        <v>0.99</v>
      </c>
      <c r="K1784" s="28">
        <v>14</v>
      </c>
      <c r="L1784" s="28">
        <v>0</v>
      </c>
    </row>
    <row r="1785" spans="1:12" ht="14.25" customHeight="1" x14ac:dyDescent="0.2">
      <c r="A1785" s="28">
        <v>1784</v>
      </c>
      <c r="B1785" s="28" t="s">
        <v>2501</v>
      </c>
      <c r="C1785" s="28" t="s">
        <v>2481</v>
      </c>
      <c r="D1785" s="28" t="s">
        <v>2482</v>
      </c>
      <c r="E1785" s="28" t="s">
        <v>211</v>
      </c>
      <c r="F1785" s="28" t="s">
        <v>2034</v>
      </c>
      <c r="G1785" s="28" t="s">
        <v>2502</v>
      </c>
      <c r="H1785" s="28">
        <v>5647327</v>
      </c>
      <c r="I1785" s="28">
        <v>172486</v>
      </c>
      <c r="J1785" s="28">
        <v>0.99</v>
      </c>
      <c r="K1785" s="28">
        <v>87</v>
      </c>
      <c r="L1785" s="28">
        <v>0</v>
      </c>
    </row>
    <row r="1786" spans="1:12" ht="14.25" customHeight="1" x14ac:dyDescent="0.2">
      <c r="A1786" s="28">
        <v>1785</v>
      </c>
      <c r="B1786" s="28" t="s">
        <v>2503</v>
      </c>
      <c r="C1786" s="28" t="s">
        <v>2481</v>
      </c>
      <c r="D1786" s="28" t="s">
        <v>2482</v>
      </c>
      <c r="E1786" s="28" t="s">
        <v>211</v>
      </c>
      <c r="F1786" s="28" t="s">
        <v>2034</v>
      </c>
      <c r="G1786" s="28" t="s">
        <v>2504</v>
      </c>
      <c r="H1786" s="28">
        <v>8888206</v>
      </c>
      <c r="I1786" s="28">
        <v>273057</v>
      </c>
      <c r="J1786" s="28">
        <v>0.99</v>
      </c>
      <c r="K1786" s="28">
        <v>59</v>
      </c>
      <c r="L1786" s="28">
        <v>2</v>
      </c>
    </row>
    <row r="1787" spans="1:12" ht="14.25" customHeight="1" x14ac:dyDescent="0.2">
      <c r="A1787" s="28">
        <v>1786</v>
      </c>
      <c r="B1787" s="28" t="s">
        <v>2505</v>
      </c>
      <c r="C1787" s="28" t="s">
        <v>2481</v>
      </c>
      <c r="D1787" s="28" t="s">
        <v>2482</v>
      </c>
      <c r="E1787" s="28" t="s">
        <v>211</v>
      </c>
      <c r="F1787" s="28" t="s">
        <v>2034</v>
      </c>
      <c r="G1787" s="28" t="s">
        <v>2506</v>
      </c>
      <c r="H1787" s="28">
        <v>6342021</v>
      </c>
      <c r="I1787" s="28">
        <v>194821</v>
      </c>
      <c r="J1787" s="28">
        <v>0.99</v>
      </c>
      <c r="K1787" s="28">
        <v>33</v>
      </c>
      <c r="L1787" s="28">
        <v>2</v>
      </c>
    </row>
    <row r="1788" spans="1:12" ht="14.25" customHeight="1" x14ac:dyDescent="0.2">
      <c r="A1788" s="28">
        <v>1787</v>
      </c>
      <c r="B1788" s="28" t="s">
        <v>2507</v>
      </c>
      <c r="C1788" s="28" t="s">
        <v>2481</v>
      </c>
      <c r="D1788" s="28" t="s">
        <v>2482</v>
      </c>
      <c r="E1788" s="28" t="s">
        <v>211</v>
      </c>
      <c r="F1788" s="28" t="s">
        <v>2034</v>
      </c>
      <c r="G1788" s="28" t="s">
        <v>2482</v>
      </c>
      <c r="H1788" s="28">
        <v>7217872</v>
      </c>
      <c r="I1788" s="28">
        <v>218540</v>
      </c>
      <c r="J1788" s="28">
        <v>0.99</v>
      </c>
      <c r="K1788" s="28">
        <v>50</v>
      </c>
      <c r="L1788" s="28">
        <v>1</v>
      </c>
    </row>
    <row r="1789" spans="1:12" ht="14.25" customHeight="1" x14ac:dyDescent="0.2">
      <c r="A1789" s="28">
        <v>1788</v>
      </c>
      <c r="B1789" s="28" t="s">
        <v>2508</v>
      </c>
      <c r="C1789" s="28" t="s">
        <v>2481</v>
      </c>
      <c r="D1789" s="28" t="s">
        <v>2482</v>
      </c>
      <c r="E1789" s="28" t="s">
        <v>211</v>
      </c>
      <c r="F1789" s="28" t="s">
        <v>2034</v>
      </c>
      <c r="G1789" s="28" t="s">
        <v>2482</v>
      </c>
      <c r="H1789" s="28">
        <v>10383887</v>
      </c>
      <c r="I1789" s="28">
        <v>314514</v>
      </c>
      <c r="J1789" s="28">
        <v>0.99</v>
      </c>
      <c r="K1789" s="28">
        <v>55</v>
      </c>
      <c r="L1789" s="28">
        <v>0</v>
      </c>
    </row>
    <row r="1790" spans="1:12" ht="14.25" customHeight="1" x14ac:dyDescent="0.2">
      <c r="A1790" s="28">
        <v>1789</v>
      </c>
      <c r="B1790" s="28" t="s">
        <v>2509</v>
      </c>
      <c r="C1790" s="28" t="s">
        <v>2481</v>
      </c>
      <c r="D1790" s="28" t="s">
        <v>2482</v>
      </c>
      <c r="E1790" s="28" t="s">
        <v>211</v>
      </c>
      <c r="F1790" s="28" t="s">
        <v>2034</v>
      </c>
      <c r="G1790" s="28" t="s">
        <v>2482</v>
      </c>
      <c r="H1790" s="28">
        <v>7839179</v>
      </c>
      <c r="I1790" s="28">
        <v>235833</v>
      </c>
      <c r="J1790" s="28">
        <v>0.99</v>
      </c>
      <c r="K1790" s="28">
        <v>87</v>
      </c>
      <c r="L1790" s="28">
        <v>1</v>
      </c>
    </row>
    <row r="1791" spans="1:12" ht="14.25" customHeight="1" x14ac:dyDescent="0.2">
      <c r="A1791" s="28">
        <v>1790</v>
      </c>
      <c r="B1791" s="28" t="s">
        <v>2510</v>
      </c>
      <c r="C1791" s="28" t="s">
        <v>2481</v>
      </c>
      <c r="D1791" s="28" t="s">
        <v>2482</v>
      </c>
      <c r="E1791" s="28" t="s">
        <v>211</v>
      </c>
      <c r="F1791" s="28" t="s">
        <v>2034</v>
      </c>
      <c r="G1791" s="28" t="s">
        <v>2482</v>
      </c>
      <c r="H1791" s="28">
        <v>7522232</v>
      </c>
      <c r="I1791" s="28">
        <v>227892</v>
      </c>
      <c r="J1791" s="28">
        <v>0.99</v>
      </c>
      <c r="K1791" s="28">
        <v>62</v>
      </c>
      <c r="L1791" s="28">
        <v>1</v>
      </c>
    </row>
    <row r="1792" spans="1:12" ht="14.25" customHeight="1" x14ac:dyDescent="0.2">
      <c r="A1792" s="28">
        <v>1791</v>
      </c>
      <c r="B1792" s="28" t="s">
        <v>2511</v>
      </c>
      <c r="C1792" s="28" t="s">
        <v>2512</v>
      </c>
      <c r="D1792" s="28" t="s">
        <v>2513</v>
      </c>
      <c r="E1792" s="28" t="s">
        <v>211</v>
      </c>
      <c r="F1792" s="28" t="s">
        <v>212</v>
      </c>
      <c r="G1792" s="28"/>
      <c r="H1792" s="28">
        <v>7366142</v>
      </c>
      <c r="I1792" s="28">
        <v>222171</v>
      </c>
      <c r="J1792" s="28">
        <v>0.99</v>
      </c>
      <c r="K1792" s="28">
        <v>89</v>
      </c>
      <c r="L1792" s="28">
        <v>1</v>
      </c>
    </row>
    <row r="1793" spans="1:12" ht="14.25" customHeight="1" x14ac:dyDescent="0.2">
      <c r="A1793" s="28">
        <v>1792</v>
      </c>
      <c r="B1793" s="28" t="s">
        <v>2514</v>
      </c>
      <c r="C1793" s="28" t="s">
        <v>2512</v>
      </c>
      <c r="D1793" s="28" t="s">
        <v>2513</v>
      </c>
      <c r="E1793" s="28" t="s">
        <v>211</v>
      </c>
      <c r="F1793" s="28" t="s">
        <v>212</v>
      </c>
      <c r="G1793" s="28"/>
      <c r="H1793" s="28">
        <v>7408652</v>
      </c>
      <c r="I1793" s="28">
        <v>225410</v>
      </c>
      <c r="J1793" s="28">
        <v>0.99</v>
      </c>
      <c r="K1793" s="28">
        <v>57</v>
      </c>
      <c r="L1793" s="28">
        <v>0</v>
      </c>
    </row>
    <row r="1794" spans="1:12" ht="14.25" customHeight="1" x14ac:dyDescent="0.2">
      <c r="A1794" s="28">
        <v>1793</v>
      </c>
      <c r="B1794" s="28" t="s">
        <v>2515</v>
      </c>
      <c r="C1794" s="28" t="s">
        <v>2512</v>
      </c>
      <c r="D1794" s="28" t="s">
        <v>2513</v>
      </c>
      <c r="E1794" s="28" t="s">
        <v>211</v>
      </c>
      <c r="F1794" s="28" t="s">
        <v>212</v>
      </c>
      <c r="G1794" s="28"/>
      <c r="H1794" s="28">
        <v>7139814</v>
      </c>
      <c r="I1794" s="28">
        <v>216320</v>
      </c>
      <c r="J1794" s="28">
        <v>0.99</v>
      </c>
      <c r="K1794" s="28">
        <v>67</v>
      </c>
      <c r="L1794" s="28">
        <v>1</v>
      </c>
    </row>
    <row r="1795" spans="1:12" ht="14.25" customHeight="1" x14ac:dyDescent="0.2">
      <c r="A1795" s="28">
        <v>1794</v>
      </c>
      <c r="B1795" s="28" t="s">
        <v>2516</v>
      </c>
      <c r="C1795" s="28" t="s">
        <v>2512</v>
      </c>
      <c r="D1795" s="28" t="s">
        <v>2513</v>
      </c>
      <c r="E1795" s="28" t="s">
        <v>211</v>
      </c>
      <c r="F1795" s="28" t="s">
        <v>212</v>
      </c>
      <c r="G1795" s="28"/>
      <c r="H1795" s="28">
        <v>7107625</v>
      </c>
      <c r="I1795" s="28">
        <v>216476</v>
      </c>
      <c r="J1795" s="28">
        <v>0.99</v>
      </c>
      <c r="K1795" s="28">
        <v>16</v>
      </c>
      <c r="L1795" s="28">
        <v>1</v>
      </c>
    </row>
    <row r="1796" spans="1:12" ht="14.25" customHeight="1" x14ac:dyDescent="0.2">
      <c r="A1796" s="28">
        <v>1795</v>
      </c>
      <c r="B1796" s="28" t="s">
        <v>2517</v>
      </c>
      <c r="C1796" s="28" t="s">
        <v>2512</v>
      </c>
      <c r="D1796" s="28" t="s">
        <v>2513</v>
      </c>
      <c r="E1796" s="28" t="s">
        <v>211</v>
      </c>
      <c r="F1796" s="28" t="s">
        <v>212</v>
      </c>
      <c r="G1796" s="28"/>
      <c r="H1796" s="28">
        <v>13314900</v>
      </c>
      <c r="I1796" s="28">
        <v>408163</v>
      </c>
      <c r="J1796" s="28">
        <v>0.99</v>
      </c>
      <c r="K1796" s="28">
        <v>97</v>
      </c>
      <c r="L1796" s="28">
        <v>2</v>
      </c>
    </row>
    <row r="1797" spans="1:12" ht="14.25" customHeight="1" x14ac:dyDescent="0.2">
      <c r="A1797" s="28">
        <v>1796</v>
      </c>
      <c r="B1797" s="28" t="s">
        <v>2518</v>
      </c>
      <c r="C1797" s="28" t="s">
        <v>2512</v>
      </c>
      <c r="D1797" s="28" t="s">
        <v>2513</v>
      </c>
      <c r="E1797" s="28" t="s">
        <v>211</v>
      </c>
      <c r="F1797" s="28" t="s">
        <v>212</v>
      </c>
      <c r="G1797" s="28"/>
      <c r="H1797" s="28">
        <v>6682850</v>
      </c>
      <c r="I1797" s="28">
        <v>202396</v>
      </c>
      <c r="J1797" s="28">
        <v>0.99</v>
      </c>
      <c r="K1797" s="28">
        <v>73</v>
      </c>
      <c r="L1797" s="28">
        <v>0</v>
      </c>
    </row>
    <row r="1798" spans="1:12" ht="14.25" customHeight="1" x14ac:dyDescent="0.2">
      <c r="A1798" s="28">
        <v>1797</v>
      </c>
      <c r="B1798" s="28" t="s">
        <v>2519</v>
      </c>
      <c r="C1798" s="28" t="s">
        <v>2512</v>
      </c>
      <c r="D1798" s="28" t="s">
        <v>2513</v>
      </c>
      <c r="E1798" s="28" t="s">
        <v>211</v>
      </c>
      <c r="F1798" s="28" t="s">
        <v>212</v>
      </c>
      <c r="G1798" s="28"/>
      <c r="H1798" s="28">
        <v>8979965</v>
      </c>
      <c r="I1798" s="28">
        <v>273371</v>
      </c>
      <c r="J1798" s="28">
        <v>0.99</v>
      </c>
      <c r="K1798" s="28">
        <v>72</v>
      </c>
      <c r="L1798" s="28">
        <v>1</v>
      </c>
    </row>
    <row r="1799" spans="1:12" ht="14.25" customHeight="1" x14ac:dyDescent="0.2">
      <c r="A1799" s="28">
        <v>1798</v>
      </c>
      <c r="B1799" s="28" t="s">
        <v>2520</v>
      </c>
      <c r="C1799" s="28" t="s">
        <v>2512</v>
      </c>
      <c r="D1799" s="28" t="s">
        <v>2513</v>
      </c>
      <c r="E1799" s="28" t="s">
        <v>211</v>
      </c>
      <c r="F1799" s="28" t="s">
        <v>212</v>
      </c>
      <c r="G1799" s="28"/>
      <c r="H1799" s="28">
        <v>9110403</v>
      </c>
      <c r="I1799" s="28">
        <v>278465</v>
      </c>
      <c r="J1799" s="28">
        <v>0.99</v>
      </c>
      <c r="K1799" s="28">
        <v>70</v>
      </c>
      <c r="L1799" s="28">
        <v>0</v>
      </c>
    </row>
    <row r="1800" spans="1:12" ht="14.25" customHeight="1" x14ac:dyDescent="0.2">
      <c r="A1800" s="28">
        <v>1799</v>
      </c>
      <c r="B1800" s="28" t="s">
        <v>2521</v>
      </c>
      <c r="C1800" s="28" t="s">
        <v>2512</v>
      </c>
      <c r="D1800" s="28" t="s">
        <v>2513</v>
      </c>
      <c r="E1800" s="28" t="s">
        <v>211</v>
      </c>
      <c r="F1800" s="28" t="s">
        <v>212</v>
      </c>
      <c r="G1800" s="28"/>
      <c r="H1800" s="28">
        <v>6560753</v>
      </c>
      <c r="I1800" s="28">
        <v>198008</v>
      </c>
      <c r="J1800" s="28">
        <v>0.99</v>
      </c>
      <c r="K1800" s="28">
        <v>22</v>
      </c>
      <c r="L1800" s="28">
        <v>2</v>
      </c>
    </row>
    <row r="1801" spans="1:12" ht="14.25" customHeight="1" x14ac:dyDescent="0.2">
      <c r="A1801" s="28">
        <v>1800</v>
      </c>
      <c r="B1801" s="28" t="s">
        <v>2522</v>
      </c>
      <c r="C1801" s="28" t="s">
        <v>2512</v>
      </c>
      <c r="D1801" s="28" t="s">
        <v>2513</v>
      </c>
      <c r="E1801" s="28" t="s">
        <v>211</v>
      </c>
      <c r="F1801" s="28" t="s">
        <v>212</v>
      </c>
      <c r="G1801" s="28"/>
      <c r="H1801" s="28">
        <v>11829011</v>
      </c>
      <c r="I1801" s="28">
        <v>362004</v>
      </c>
      <c r="J1801" s="28">
        <v>0.99</v>
      </c>
      <c r="K1801" s="28">
        <v>74</v>
      </c>
      <c r="L1801" s="28">
        <v>0</v>
      </c>
    </row>
    <row r="1802" spans="1:12" ht="14.25" customHeight="1" x14ac:dyDescent="0.2">
      <c r="A1802" s="28">
        <v>1801</v>
      </c>
      <c r="B1802" s="28" t="s">
        <v>319</v>
      </c>
      <c r="C1802" s="28" t="s">
        <v>2523</v>
      </c>
      <c r="D1802" s="28" t="s">
        <v>774</v>
      </c>
      <c r="E1802" s="28" t="s">
        <v>211</v>
      </c>
      <c r="F1802" s="28" t="s">
        <v>322</v>
      </c>
      <c r="G1802" s="28" t="s">
        <v>2524</v>
      </c>
      <c r="H1802" s="28">
        <v>10852002</v>
      </c>
      <c r="I1802" s="28">
        <v>332251</v>
      </c>
      <c r="J1802" s="28">
        <v>0.99</v>
      </c>
      <c r="K1802" s="28">
        <v>6</v>
      </c>
      <c r="L1802" s="28">
        <v>0</v>
      </c>
    </row>
    <row r="1803" spans="1:12" ht="14.25" customHeight="1" x14ac:dyDescent="0.2">
      <c r="A1803" s="28">
        <v>1802</v>
      </c>
      <c r="B1803" s="28" t="s">
        <v>326</v>
      </c>
      <c r="C1803" s="28" t="s">
        <v>2523</v>
      </c>
      <c r="D1803" s="28" t="s">
        <v>774</v>
      </c>
      <c r="E1803" s="28" t="s">
        <v>211</v>
      </c>
      <c r="F1803" s="28" t="s">
        <v>322</v>
      </c>
      <c r="G1803" s="28" t="s">
        <v>2525</v>
      </c>
      <c r="H1803" s="28">
        <v>10541258</v>
      </c>
      <c r="I1803" s="28">
        <v>324754</v>
      </c>
      <c r="J1803" s="28">
        <v>0.99</v>
      </c>
      <c r="K1803" s="28">
        <v>44</v>
      </c>
      <c r="L1803" s="28">
        <v>0</v>
      </c>
    </row>
    <row r="1804" spans="1:12" ht="14.25" customHeight="1" x14ac:dyDescent="0.2">
      <c r="A1804" s="28">
        <v>1803</v>
      </c>
      <c r="B1804" s="28" t="s">
        <v>2526</v>
      </c>
      <c r="C1804" s="28" t="s">
        <v>2523</v>
      </c>
      <c r="D1804" s="28" t="s">
        <v>774</v>
      </c>
      <c r="E1804" s="28" t="s">
        <v>211</v>
      </c>
      <c r="F1804" s="28" t="s">
        <v>322</v>
      </c>
      <c r="G1804" s="28" t="s">
        <v>2525</v>
      </c>
      <c r="H1804" s="28">
        <v>7462011</v>
      </c>
      <c r="I1804" s="28">
        <v>227892</v>
      </c>
      <c r="J1804" s="28">
        <v>0.99</v>
      </c>
      <c r="K1804" s="28">
        <v>64</v>
      </c>
      <c r="L1804" s="28">
        <v>1</v>
      </c>
    </row>
    <row r="1805" spans="1:12" ht="14.25" customHeight="1" x14ac:dyDescent="0.2">
      <c r="A1805" s="28">
        <v>1804</v>
      </c>
      <c r="B1805" s="28" t="s">
        <v>325</v>
      </c>
      <c r="C1805" s="28" t="s">
        <v>2523</v>
      </c>
      <c r="D1805" s="28" t="s">
        <v>774</v>
      </c>
      <c r="E1805" s="28" t="s">
        <v>211</v>
      </c>
      <c r="F1805" s="28" t="s">
        <v>322</v>
      </c>
      <c r="G1805" s="28" t="s">
        <v>2524</v>
      </c>
      <c r="H1805" s="28">
        <v>12646886</v>
      </c>
      <c r="I1805" s="28">
        <v>387082</v>
      </c>
      <c r="J1805" s="28">
        <v>0.99</v>
      </c>
      <c r="K1805" s="28">
        <v>69</v>
      </c>
      <c r="L1805" s="28">
        <v>1</v>
      </c>
    </row>
    <row r="1806" spans="1:12" ht="14.25" customHeight="1" x14ac:dyDescent="0.2">
      <c r="A1806" s="28">
        <v>1805</v>
      </c>
      <c r="B1806" s="28" t="s">
        <v>328</v>
      </c>
      <c r="C1806" s="28" t="s">
        <v>2523</v>
      </c>
      <c r="D1806" s="28" t="s">
        <v>774</v>
      </c>
      <c r="E1806" s="28" t="s">
        <v>211</v>
      </c>
      <c r="F1806" s="28" t="s">
        <v>322</v>
      </c>
      <c r="G1806" s="28" t="s">
        <v>2525</v>
      </c>
      <c r="H1806" s="28">
        <v>13161169</v>
      </c>
      <c r="I1806" s="28">
        <v>404323</v>
      </c>
      <c r="J1806" s="28">
        <v>0.99</v>
      </c>
      <c r="K1806" s="28">
        <v>25</v>
      </c>
      <c r="L1806" s="28">
        <v>0</v>
      </c>
    </row>
    <row r="1807" spans="1:12" ht="14.25" customHeight="1" x14ac:dyDescent="0.2">
      <c r="A1807" s="28">
        <v>1806</v>
      </c>
      <c r="B1807" s="28" t="s">
        <v>2527</v>
      </c>
      <c r="C1807" s="28" t="s">
        <v>2523</v>
      </c>
      <c r="D1807" s="28" t="s">
        <v>774</v>
      </c>
      <c r="E1807" s="28" t="s">
        <v>211</v>
      </c>
      <c r="F1807" s="28" t="s">
        <v>322</v>
      </c>
      <c r="G1807" s="28" t="s">
        <v>2525</v>
      </c>
      <c r="H1807" s="28">
        <v>7827907</v>
      </c>
      <c r="I1807" s="28">
        <v>240483</v>
      </c>
      <c r="J1807" s="28">
        <v>0.99</v>
      </c>
      <c r="K1807" s="28">
        <v>66</v>
      </c>
      <c r="L1807" s="28">
        <v>0</v>
      </c>
    </row>
    <row r="1808" spans="1:12" ht="14.25" customHeight="1" x14ac:dyDescent="0.2">
      <c r="A1808" s="28">
        <v>1807</v>
      </c>
      <c r="B1808" s="28" t="s">
        <v>2528</v>
      </c>
      <c r="C1808" s="28" t="s">
        <v>2523</v>
      </c>
      <c r="D1808" s="28" t="s">
        <v>774</v>
      </c>
      <c r="E1808" s="28" t="s">
        <v>211</v>
      </c>
      <c r="F1808" s="28" t="s">
        <v>322</v>
      </c>
      <c r="G1808" s="28" t="s">
        <v>2524</v>
      </c>
      <c r="H1808" s="28">
        <v>8024047</v>
      </c>
      <c r="I1808" s="28">
        <v>244375</v>
      </c>
      <c r="J1808" s="28">
        <v>0.99</v>
      </c>
      <c r="K1808" s="28">
        <v>97</v>
      </c>
      <c r="L1808" s="28">
        <v>1</v>
      </c>
    </row>
    <row r="1809" spans="1:12" ht="14.25" customHeight="1" x14ac:dyDescent="0.2">
      <c r="A1809" s="28">
        <v>1808</v>
      </c>
      <c r="B1809" s="28" t="s">
        <v>2529</v>
      </c>
      <c r="C1809" s="28" t="s">
        <v>2523</v>
      </c>
      <c r="D1809" s="28" t="s">
        <v>774</v>
      </c>
      <c r="E1809" s="28" t="s">
        <v>211</v>
      </c>
      <c r="F1809" s="28" t="s">
        <v>322</v>
      </c>
      <c r="G1809" s="28" t="s">
        <v>2525</v>
      </c>
      <c r="H1809" s="28">
        <v>12606241</v>
      </c>
      <c r="I1809" s="28">
        <v>388832</v>
      </c>
      <c r="J1809" s="28">
        <v>0.99</v>
      </c>
      <c r="K1809" s="28">
        <v>83</v>
      </c>
      <c r="L1809" s="28">
        <v>2</v>
      </c>
    </row>
    <row r="1810" spans="1:12" ht="14.25" customHeight="1" x14ac:dyDescent="0.2">
      <c r="A1810" s="28">
        <v>1809</v>
      </c>
      <c r="B1810" s="28" t="s">
        <v>2530</v>
      </c>
      <c r="C1810" s="28" t="s">
        <v>2523</v>
      </c>
      <c r="D1810" s="28" t="s">
        <v>774</v>
      </c>
      <c r="E1810" s="28" t="s">
        <v>211</v>
      </c>
      <c r="F1810" s="28" t="s">
        <v>322</v>
      </c>
      <c r="G1810" s="28" t="s">
        <v>2524</v>
      </c>
      <c r="H1810" s="28">
        <v>8339785</v>
      </c>
      <c r="I1810" s="28">
        <v>256835</v>
      </c>
      <c r="J1810" s="28">
        <v>0.99</v>
      </c>
      <c r="K1810" s="28">
        <v>68</v>
      </c>
      <c r="L1810" s="28">
        <v>1</v>
      </c>
    </row>
    <row r="1811" spans="1:12" ht="14.25" customHeight="1" x14ac:dyDescent="0.2">
      <c r="A1811" s="28">
        <v>1810</v>
      </c>
      <c r="B1811" s="28" t="s">
        <v>2531</v>
      </c>
      <c r="C1811" s="28" t="s">
        <v>2523</v>
      </c>
      <c r="D1811" s="28" t="s">
        <v>774</v>
      </c>
      <c r="E1811" s="28" t="s">
        <v>211</v>
      </c>
      <c r="F1811" s="28" t="s">
        <v>322</v>
      </c>
      <c r="G1811" s="28" t="s">
        <v>2525</v>
      </c>
      <c r="H1811" s="28">
        <v>10055959</v>
      </c>
      <c r="I1811" s="28">
        <v>308610</v>
      </c>
      <c r="J1811" s="28">
        <v>0.99</v>
      </c>
      <c r="K1811" s="28">
        <v>46</v>
      </c>
      <c r="L1811" s="28">
        <v>1</v>
      </c>
    </row>
    <row r="1812" spans="1:12" ht="14.25" customHeight="1" x14ac:dyDescent="0.2">
      <c r="A1812" s="28">
        <v>1811</v>
      </c>
      <c r="B1812" s="28" t="s">
        <v>2532</v>
      </c>
      <c r="C1812" s="28" t="s">
        <v>2523</v>
      </c>
      <c r="D1812" s="28" t="s">
        <v>774</v>
      </c>
      <c r="E1812" s="28" t="s">
        <v>211</v>
      </c>
      <c r="F1812" s="28" t="s">
        <v>322</v>
      </c>
      <c r="G1812" s="28" t="s">
        <v>2533</v>
      </c>
      <c r="H1812" s="28">
        <v>13293515</v>
      </c>
      <c r="I1812" s="28">
        <v>409547</v>
      </c>
      <c r="J1812" s="28">
        <v>0.99</v>
      </c>
      <c r="K1812" s="28">
        <v>10</v>
      </c>
      <c r="L1812" s="28">
        <v>1</v>
      </c>
    </row>
    <row r="1813" spans="1:12" ht="14.25" customHeight="1" x14ac:dyDescent="0.2">
      <c r="A1813" s="28">
        <v>1812</v>
      </c>
      <c r="B1813" s="28" t="s">
        <v>2534</v>
      </c>
      <c r="C1813" s="28" t="s">
        <v>2523</v>
      </c>
      <c r="D1813" s="28" t="s">
        <v>774</v>
      </c>
      <c r="E1813" s="28" t="s">
        <v>211</v>
      </c>
      <c r="F1813" s="28" t="s">
        <v>322</v>
      </c>
      <c r="G1813" s="28" t="s">
        <v>2525</v>
      </c>
      <c r="H1813" s="28">
        <v>7654052</v>
      </c>
      <c r="I1813" s="28">
        <v>234240</v>
      </c>
      <c r="J1813" s="28">
        <v>0.99</v>
      </c>
      <c r="K1813" s="28">
        <v>99</v>
      </c>
      <c r="L1813" s="28">
        <v>1</v>
      </c>
    </row>
    <row r="1814" spans="1:12" ht="14.25" customHeight="1" x14ac:dyDescent="0.2">
      <c r="A1814" s="28">
        <v>1813</v>
      </c>
      <c r="B1814" s="28" t="s">
        <v>1483</v>
      </c>
      <c r="C1814" s="28" t="s">
        <v>2535</v>
      </c>
      <c r="D1814" s="28" t="s">
        <v>774</v>
      </c>
      <c r="E1814" s="28" t="s">
        <v>211</v>
      </c>
      <c r="F1814" s="28" t="s">
        <v>322</v>
      </c>
      <c r="G1814" s="28" t="s">
        <v>777</v>
      </c>
      <c r="H1814" s="28">
        <v>12977902</v>
      </c>
      <c r="I1814" s="28">
        <v>398315</v>
      </c>
      <c r="J1814" s="28">
        <v>0.99</v>
      </c>
      <c r="K1814" s="28">
        <v>85</v>
      </c>
      <c r="L1814" s="28">
        <v>1</v>
      </c>
    </row>
    <row r="1815" spans="1:12" ht="14.25" customHeight="1" x14ac:dyDescent="0.2">
      <c r="A1815" s="28">
        <v>1814</v>
      </c>
      <c r="B1815" s="28" t="s">
        <v>2536</v>
      </c>
      <c r="C1815" s="28" t="s">
        <v>2535</v>
      </c>
      <c r="D1815" s="28" t="s">
        <v>774</v>
      </c>
      <c r="E1815" s="28" t="s">
        <v>211</v>
      </c>
      <c r="F1815" s="28" t="s">
        <v>322</v>
      </c>
      <c r="G1815" s="28" t="s">
        <v>2537</v>
      </c>
      <c r="H1815" s="28">
        <v>13215133</v>
      </c>
      <c r="I1815" s="28">
        <v>403435</v>
      </c>
      <c r="J1815" s="28">
        <v>0.99</v>
      </c>
      <c r="K1815" s="28">
        <v>7</v>
      </c>
      <c r="L1815" s="28">
        <v>1</v>
      </c>
    </row>
    <row r="1816" spans="1:12" ht="14.25" customHeight="1" x14ac:dyDescent="0.2">
      <c r="A1816" s="28">
        <v>1815</v>
      </c>
      <c r="B1816" s="28" t="s">
        <v>2538</v>
      </c>
      <c r="C1816" s="28" t="s">
        <v>2535</v>
      </c>
      <c r="D1816" s="28" t="s">
        <v>774</v>
      </c>
      <c r="E1816" s="28" t="s">
        <v>211</v>
      </c>
      <c r="F1816" s="28" t="s">
        <v>322</v>
      </c>
      <c r="G1816" s="28" t="s">
        <v>2539</v>
      </c>
      <c r="H1816" s="28">
        <v>9688418</v>
      </c>
      <c r="I1816" s="28">
        <v>295418</v>
      </c>
      <c r="J1816" s="28">
        <v>0.99</v>
      </c>
      <c r="K1816" s="28">
        <v>86</v>
      </c>
      <c r="L1816" s="28">
        <v>1</v>
      </c>
    </row>
    <row r="1817" spans="1:12" ht="14.25" customHeight="1" x14ac:dyDescent="0.2">
      <c r="A1817" s="28">
        <v>1816</v>
      </c>
      <c r="B1817" s="28" t="s">
        <v>2540</v>
      </c>
      <c r="C1817" s="28" t="s">
        <v>2535</v>
      </c>
      <c r="D1817" s="28" t="s">
        <v>774</v>
      </c>
      <c r="E1817" s="28" t="s">
        <v>211</v>
      </c>
      <c r="F1817" s="28" t="s">
        <v>322</v>
      </c>
      <c r="G1817" s="28" t="s">
        <v>2541</v>
      </c>
      <c r="H1817" s="28">
        <v>6233729</v>
      </c>
      <c r="I1817" s="28">
        <v>190406</v>
      </c>
      <c r="J1817" s="28">
        <v>0.99</v>
      </c>
      <c r="K1817" s="28">
        <v>72</v>
      </c>
      <c r="L1817" s="28">
        <v>1</v>
      </c>
    </row>
    <row r="1818" spans="1:12" ht="14.25" customHeight="1" x14ac:dyDescent="0.2">
      <c r="A1818" s="28">
        <v>1817</v>
      </c>
      <c r="B1818" s="28" t="s">
        <v>2542</v>
      </c>
      <c r="C1818" s="28" t="s">
        <v>2535</v>
      </c>
      <c r="D1818" s="28" t="s">
        <v>774</v>
      </c>
      <c r="E1818" s="28" t="s">
        <v>211</v>
      </c>
      <c r="F1818" s="28" t="s">
        <v>322</v>
      </c>
      <c r="G1818" s="28" t="s">
        <v>782</v>
      </c>
      <c r="H1818" s="28">
        <v>6854313</v>
      </c>
      <c r="I1818" s="28">
        <v>209972</v>
      </c>
      <c r="J1818" s="28">
        <v>0.99</v>
      </c>
      <c r="K1818" s="28">
        <v>41</v>
      </c>
      <c r="L1818" s="28">
        <v>1</v>
      </c>
    </row>
    <row r="1819" spans="1:12" ht="14.25" customHeight="1" x14ac:dyDescent="0.2">
      <c r="A1819" s="28">
        <v>1818</v>
      </c>
      <c r="B1819" s="28" t="s">
        <v>2543</v>
      </c>
      <c r="C1819" s="28" t="s">
        <v>2535</v>
      </c>
      <c r="D1819" s="28" t="s">
        <v>774</v>
      </c>
      <c r="E1819" s="28" t="s">
        <v>211</v>
      </c>
      <c r="F1819" s="28" t="s">
        <v>322</v>
      </c>
      <c r="G1819" s="28" t="s">
        <v>777</v>
      </c>
      <c r="H1819" s="28">
        <v>15387219</v>
      </c>
      <c r="I1819" s="28">
        <v>470256</v>
      </c>
      <c r="J1819" s="28">
        <v>0.99</v>
      </c>
      <c r="K1819" s="28">
        <v>74</v>
      </c>
      <c r="L1819" s="28">
        <v>1</v>
      </c>
    </row>
    <row r="1820" spans="1:12" ht="14.25" customHeight="1" x14ac:dyDescent="0.2">
      <c r="A1820" s="28">
        <v>1819</v>
      </c>
      <c r="B1820" s="28" t="s">
        <v>2544</v>
      </c>
      <c r="C1820" s="28" t="s">
        <v>2535</v>
      </c>
      <c r="D1820" s="28" t="s">
        <v>774</v>
      </c>
      <c r="E1820" s="28" t="s">
        <v>211</v>
      </c>
      <c r="F1820" s="28" t="s">
        <v>322</v>
      </c>
      <c r="G1820" s="28" t="s">
        <v>2545</v>
      </c>
      <c r="H1820" s="28">
        <v>7090018</v>
      </c>
      <c r="I1820" s="28">
        <v>216685</v>
      </c>
      <c r="J1820" s="28">
        <v>0.99</v>
      </c>
      <c r="K1820" s="28">
        <v>89</v>
      </c>
      <c r="L1820" s="28">
        <v>1</v>
      </c>
    </row>
    <row r="1821" spans="1:12" ht="14.25" customHeight="1" x14ac:dyDescent="0.2">
      <c r="A1821" s="28">
        <v>1820</v>
      </c>
      <c r="B1821" s="28" t="s">
        <v>2546</v>
      </c>
      <c r="C1821" s="28" t="s">
        <v>2535</v>
      </c>
      <c r="D1821" s="28" t="s">
        <v>774</v>
      </c>
      <c r="E1821" s="28" t="s">
        <v>211</v>
      </c>
      <c r="F1821" s="28" t="s">
        <v>322</v>
      </c>
      <c r="G1821" s="28" t="s">
        <v>2541</v>
      </c>
      <c r="H1821" s="28">
        <v>11100130</v>
      </c>
      <c r="I1821" s="28">
        <v>341551</v>
      </c>
      <c r="J1821" s="28">
        <v>0.99</v>
      </c>
      <c r="K1821" s="28">
        <v>34</v>
      </c>
      <c r="L1821" s="28">
        <v>1</v>
      </c>
    </row>
    <row r="1822" spans="1:12" ht="14.25" customHeight="1" x14ac:dyDescent="0.2">
      <c r="A1822" s="28">
        <v>1821</v>
      </c>
      <c r="B1822" s="28" t="s">
        <v>2547</v>
      </c>
      <c r="C1822" s="28" t="s">
        <v>2535</v>
      </c>
      <c r="D1822" s="28" t="s">
        <v>774</v>
      </c>
      <c r="E1822" s="28" t="s">
        <v>211</v>
      </c>
      <c r="F1822" s="28" t="s">
        <v>322</v>
      </c>
      <c r="G1822" s="28" t="s">
        <v>777</v>
      </c>
      <c r="H1822" s="28">
        <v>8624492</v>
      </c>
      <c r="I1822" s="28">
        <v>265769</v>
      </c>
      <c r="J1822" s="28">
        <v>0.99</v>
      </c>
      <c r="K1822" s="28">
        <v>26</v>
      </c>
      <c r="L1822" s="28">
        <v>0</v>
      </c>
    </row>
    <row r="1823" spans="1:12" ht="14.25" customHeight="1" x14ac:dyDescent="0.2">
      <c r="A1823" s="28">
        <v>1822</v>
      </c>
      <c r="B1823" s="28" t="s">
        <v>2548</v>
      </c>
      <c r="C1823" s="28" t="s">
        <v>2535</v>
      </c>
      <c r="D1823" s="28" t="s">
        <v>774</v>
      </c>
      <c r="E1823" s="28" t="s">
        <v>211</v>
      </c>
      <c r="F1823" s="28" t="s">
        <v>322</v>
      </c>
      <c r="G1823" s="28" t="s">
        <v>2549</v>
      </c>
      <c r="H1823" s="28">
        <v>4514830</v>
      </c>
      <c r="I1823" s="28">
        <v>137717</v>
      </c>
      <c r="J1823" s="28">
        <v>0.99</v>
      </c>
      <c r="K1823" s="28">
        <v>81</v>
      </c>
      <c r="L1823" s="28">
        <v>2</v>
      </c>
    </row>
    <row r="1824" spans="1:12" ht="14.25" customHeight="1" x14ac:dyDescent="0.2">
      <c r="A1824" s="28">
        <v>1823</v>
      </c>
      <c r="B1824" s="28" t="s">
        <v>1070</v>
      </c>
      <c r="C1824" s="28" t="s">
        <v>2535</v>
      </c>
      <c r="D1824" s="28" t="s">
        <v>774</v>
      </c>
      <c r="E1824" s="28" t="s">
        <v>211</v>
      </c>
      <c r="F1824" s="28" t="s">
        <v>322</v>
      </c>
      <c r="G1824" s="28" t="s">
        <v>2550</v>
      </c>
      <c r="H1824" s="28">
        <v>6162894</v>
      </c>
      <c r="I1824" s="28">
        <v>189152</v>
      </c>
      <c r="J1824" s="28">
        <v>0.99</v>
      </c>
      <c r="K1824" s="28">
        <v>21</v>
      </c>
      <c r="L1824" s="28">
        <v>1</v>
      </c>
    </row>
    <row r="1825" spans="1:12" ht="14.25" customHeight="1" x14ac:dyDescent="0.2">
      <c r="A1825" s="28">
        <v>1824</v>
      </c>
      <c r="B1825" s="28" t="s">
        <v>2551</v>
      </c>
      <c r="C1825" s="28" t="s">
        <v>2535</v>
      </c>
      <c r="D1825" s="28" t="s">
        <v>774</v>
      </c>
      <c r="E1825" s="28" t="s">
        <v>211</v>
      </c>
      <c r="F1825" s="28" t="s">
        <v>322</v>
      </c>
      <c r="G1825" s="28" t="s">
        <v>2552</v>
      </c>
      <c r="H1825" s="28">
        <v>6021197</v>
      </c>
      <c r="I1825" s="28">
        <v>183693</v>
      </c>
      <c r="J1825" s="28">
        <v>0.99</v>
      </c>
      <c r="K1825" s="28">
        <v>26</v>
      </c>
      <c r="L1825" s="28">
        <v>0</v>
      </c>
    </row>
    <row r="1826" spans="1:12" ht="14.25" customHeight="1" x14ac:dyDescent="0.2">
      <c r="A1826" s="28">
        <v>1825</v>
      </c>
      <c r="B1826" s="28" t="s">
        <v>2514</v>
      </c>
      <c r="C1826" s="28" t="s">
        <v>2535</v>
      </c>
      <c r="D1826" s="28" t="s">
        <v>774</v>
      </c>
      <c r="E1826" s="28" t="s">
        <v>211</v>
      </c>
      <c r="F1826" s="28" t="s">
        <v>322</v>
      </c>
      <c r="G1826" s="28" t="s">
        <v>2553</v>
      </c>
      <c r="H1826" s="28">
        <v>7971330</v>
      </c>
      <c r="I1826" s="28">
        <v>245133</v>
      </c>
      <c r="J1826" s="28">
        <v>0.99</v>
      </c>
      <c r="K1826" s="28">
        <v>21</v>
      </c>
      <c r="L1826" s="28">
        <v>0</v>
      </c>
    </row>
    <row r="1827" spans="1:12" ht="14.25" customHeight="1" x14ac:dyDescent="0.2">
      <c r="A1827" s="28">
        <v>1826</v>
      </c>
      <c r="B1827" s="28" t="s">
        <v>2554</v>
      </c>
      <c r="C1827" s="28" t="s">
        <v>2535</v>
      </c>
      <c r="D1827" s="28" t="s">
        <v>774</v>
      </c>
      <c r="E1827" s="28" t="s">
        <v>211</v>
      </c>
      <c r="F1827" s="28" t="s">
        <v>322</v>
      </c>
      <c r="G1827" s="28" t="s">
        <v>2555</v>
      </c>
      <c r="H1827" s="28">
        <v>7212997</v>
      </c>
      <c r="I1827" s="28">
        <v>220212</v>
      </c>
      <c r="J1827" s="28">
        <v>0.99</v>
      </c>
      <c r="K1827" s="28">
        <v>96</v>
      </c>
      <c r="L1827" s="28">
        <v>1</v>
      </c>
    </row>
    <row r="1828" spans="1:12" ht="14.25" customHeight="1" x14ac:dyDescent="0.2">
      <c r="A1828" s="28">
        <v>1827</v>
      </c>
      <c r="B1828" s="28" t="s">
        <v>2556</v>
      </c>
      <c r="C1828" s="28" t="s">
        <v>2535</v>
      </c>
      <c r="D1828" s="28" t="s">
        <v>774</v>
      </c>
      <c r="E1828" s="28" t="s">
        <v>211</v>
      </c>
      <c r="F1828" s="28" t="s">
        <v>322</v>
      </c>
      <c r="G1828" s="28" t="s">
        <v>2553</v>
      </c>
      <c r="H1828" s="28">
        <v>9556060</v>
      </c>
      <c r="I1828" s="28">
        <v>292127</v>
      </c>
      <c r="J1828" s="28">
        <v>0.99</v>
      </c>
      <c r="K1828" s="28">
        <v>63</v>
      </c>
      <c r="L1828" s="28">
        <v>0</v>
      </c>
    </row>
    <row r="1829" spans="1:12" ht="14.25" customHeight="1" x14ac:dyDescent="0.2">
      <c r="A1829" s="28">
        <v>1828</v>
      </c>
      <c r="B1829" s="28" t="s">
        <v>2557</v>
      </c>
      <c r="C1829" s="28" t="s">
        <v>2535</v>
      </c>
      <c r="D1829" s="28" t="s">
        <v>774</v>
      </c>
      <c r="E1829" s="28" t="s">
        <v>211</v>
      </c>
      <c r="F1829" s="28" t="s">
        <v>322</v>
      </c>
      <c r="G1829" s="28" t="s">
        <v>2553</v>
      </c>
      <c r="H1829" s="28">
        <v>6276291</v>
      </c>
      <c r="I1829" s="28">
        <v>192052</v>
      </c>
      <c r="J1829" s="28">
        <v>0.99</v>
      </c>
      <c r="K1829" s="28">
        <v>99</v>
      </c>
      <c r="L1829" s="28">
        <v>0</v>
      </c>
    </row>
    <row r="1830" spans="1:12" ht="14.25" customHeight="1" x14ac:dyDescent="0.2">
      <c r="A1830" s="28">
        <v>1829</v>
      </c>
      <c r="B1830" s="28" t="s">
        <v>2558</v>
      </c>
      <c r="C1830" s="28" t="s">
        <v>2559</v>
      </c>
      <c r="D1830" s="28" t="s">
        <v>774</v>
      </c>
      <c r="E1830" s="28" t="s">
        <v>211</v>
      </c>
      <c r="F1830" s="28" t="s">
        <v>322</v>
      </c>
      <c r="G1830" s="28" t="s">
        <v>2560</v>
      </c>
      <c r="H1830" s="28">
        <v>8357088</v>
      </c>
      <c r="I1830" s="28">
        <v>257541</v>
      </c>
      <c r="J1830" s="28">
        <v>0.99</v>
      </c>
      <c r="K1830" s="28">
        <v>90</v>
      </c>
      <c r="L1830" s="28">
        <v>1</v>
      </c>
    </row>
    <row r="1831" spans="1:12" ht="14.25" customHeight="1" x14ac:dyDescent="0.2">
      <c r="A1831" s="28">
        <v>1830</v>
      </c>
      <c r="B1831" s="28" t="s">
        <v>2561</v>
      </c>
      <c r="C1831" s="28" t="s">
        <v>2559</v>
      </c>
      <c r="D1831" s="28" t="s">
        <v>774</v>
      </c>
      <c r="E1831" s="28" t="s">
        <v>211</v>
      </c>
      <c r="F1831" s="28" t="s">
        <v>322</v>
      </c>
      <c r="G1831" s="28" t="s">
        <v>2562</v>
      </c>
      <c r="H1831" s="28">
        <v>14178138</v>
      </c>
      <c r="I1831" s="28">
        <v>433188</v>
      </c>
      <c r="J1831" s="28">
        <v>0.99</v>
      </c>
      <c r="K1831" s="28">
        <v>46</v>
      </c>
      <c r="L1831" s="28">
        <v>1</v>
      </c>
    </row>
    <row r="1832" spans="1:12" ht="14.25" customHeight="1" x14ac:dyDescent="0.2">
      <c r="A1832" s="28">
        <v>1831</v>
      </c>
      <c r="B1832" s="28" t="s">
        <v>2563</v>
      </c>
      <c r="C1832" s="28" t="s">
        <v>2559</v>
      </c>
      <c r="D1832" s="28" t="s">
        <v>774</v>
      </c>
      <c r="E1832" s="28" t="s">
        <v>211</v>
      </c>
      <c r="F1832" s="28" t="s">
        <v>322</v>
      </c>
      <c r="G1832" s="28" t="s">
        <v>2564</v>
      </c>
      <c r="H1832" s="28">
        <v>6153933</v>
      </c>
      <c r="I1832" s="28">
        <v>188395</v>
      </c>
      <c r="J1832" s="28">
        <v>0.99</v>
      </c>
      <c r="K1832" s="28">
        <v>72</v>
      </c>
      <c r="L1832" s="28">
        <v>2</v>
      </c>
    </row>
    <row r="1833" spans="1:12" ht="14.25" customHeight="1" x14ac:dyDescent="0.2">
      <c r="A1833" s="28">
        <v>1832</v>
      </c>
      <c r="B1833" s="28" t="s">
        <v>2565</v>
      </c>
      <c r="C1833" s="28" t="s">
        <v>2559</v>
      </c>
      <c r="D1833" s="28" t="s">
        <v>774</v>
      </c>
      <c r="E1833" s="28" t="s">
        <v>211</v>
      </c>
      <c r="F1833" s="28" t="s">
        <v>322</v>
      </c>
      <c r="G1833" s="28" t="s">
        <v>2562</v>
      </c>
      <c r="H1833" s="28">
        <v>9135755</v>
      </c>
      <c r="I1833" s="28">
        <v>281573</v>
      </c>
      <c r="J1833" s="28">
        <v>0.99</v>
      </c>
      <c r="K1833" s="28">
        <v>85</v>
      </c>
      <c r="L1833" s="28">
        <v>1</v>
      </c>
    </row>
    <row r="1834" spans="1:12" ht="14.25" customHeight="1" x14ac:dyDescent="0.2">
      <c r="A1834" s="28">
        <v>1833</v>
      </c>
      <c r="B1834" s="28" t="s">
        <v>2566</v>
      </c>
      <c r="C1834" s="28" t="s">
        <v>2559</v>
      </c>
      <c r="D1834" s="28" t="s">
        <v>774</v>
      </c>
      <c r="E1834" s="28" t="s">
        <v>211</v>
      </c>
      <c r="F1834" s="28" t="s">
        <v>322</v>
      </c>
      <c r="G1834" s="28" t="s">
        <v>2567</v>
      </c>
      <c r="H1834" s="28">
        <v>8234710</v>
      </c>
      <c r="I1834" s="28">
        <v>254955</v>
      </c>
      <c r="J1834" s="28">
        <v>0.99</v>
      </c>
      <c r="K1834" s="28">
        <v>50</v>
      </c>
      <c r="L1834" s="28">
        <v>1</v>
      </c>
    </row>
    <row r="1835" spans="1:12" ht="14.25" customHeight="1" x14ac:dyDescent="0.2">
      <c r="A1835" s="28">
        <v>1834</v>
      </c>
      <c r="B1835" s="28" t="s">
        <v>2568</v>
      </c>
      <c r="C1835" s="28" t="s">
        <v>2559</v>
      </c>
      <c r="D1835" s="28" t="s">
        <v>774</v>
      </c>
      <c r="E1835" s="28" t="s">
        <v>211</v>
      </c>
      <c r="F1835" s="28" t="s">
        <v>322</v>
      </c>
      <c r="G1835" s="28" t="s">
        <v>2560</v>
      </c>
      <c r="H1835" s="28">
        <v>8102839</v>
      </c>
      <c r="I1835" s="28">
        <v>249208</v>
      </c>
      <c r="J1835" s="28">
        <v>0.99</v>
      </c>
      <c r="K1835" s="28">
        <v>47</v>
      </c>
      <c r="L1835" s="28">
        <v>1</v>
      </c>
    </row>
    <row r="1836" spans="1:12" ht="14.25" customHeight="1" x14ac:dyDescent="0.2">
      <c r="A1836" s="28">
        <v>1835</v>
      </c>
      <c r="B1836" s="28" t="s">
        <v>2569</v>
      </c>
      <c r="C1836" s="28" t="s">
        <v>2559</v>
      </c>
      <c r="D1836" s="28" t="s">
        <v>774</v>
      </c>
      <c r="E1836" s="28" t="s">
        <v>211</v>
      </c>
      <c r="F1836" s="28" t="s">
        <v>322</v>
      </c>
      <c r="G1836" s="28" t="s">
        <v>2562</v>
      </c>
      <c r="H1836" s="28">
        <v>9817143</v>
      </c>
      <c r="I1836" s="28">
        <v>302053</v>
      </c>
      <c r="J1836" s="28">
        <v>0.99</v>
      </c>
      <c r="K1836" s="28">
        <v>62</v>
      </c>
      <c r="L1836" s="28">
        <v>2</v>
      </c>
    </row>
    <row r="1837" spans="1:12" ht="14.25" customHeight="1" x14ac:dyDescent="0.2">
      <c r="A1837" s="28">
        <v>1836</v>
      </c>
      <c r="B1837" s="28" t="s">
        <v>2570</v>
      </c>
      <c r="C1837" s="28" t="s">
        <v>2559</v>
      </c>
      <c r="D1837" s="28" t="s">
        <v>774</v>
      </c>
      <c r="E1837" s="28" t="s">
        <v>211</v>
      </c>
      <c r="F1837" s="28" t="s">
        <v>322</v>
      </c>
      <c r="G1837" s="28" t="s">
        <v>2560</v>
      </c>
      <c r="H1837" s="28">
        <v>12672166</v>
      </c>
      <c r="I1837" s="28">
        <v>386795</v>
      </c>
      <c r="J1837" s="28">
        <v>0.99</v>
      </c>
      <c r="K1837" s="28">
        <v>42</v>
      </c>
      <c r="L1837" s="28">
        <v>0</v>
      </c>
    </row>
    <row r="1838" spans="1:12" ht="14.25" customHeight="1" x14ac:dyDescent="0.2">
      <c r="A1838" s="28">
        <v>1837</v>
      </c>
      <c r="B1838" s="28" t="s">
        <v>2571</v>
      </c>
      <c r="C1838" s="28" t="s">
        <v>2559</v>
      </c>
      <c r="D1838" s="28" t="s">
        <v>774</v>
      </c>
      <c r="E1838" s="28" t="s">
        <v>211</v>
      </c>
      <c r="F1838" s="28" t="s">
        <v>322</v>
      </c>
      <c r="G1838" s="28" t="s">
        <v>2560</v>
      </c>
      <c r="H1838" s="28">
        <v>13452301</v>
      </c>
      <c r="I1838" s="28">
        <v>415817</v>
      </c>
      <c r="J1838" s="28">
        <v>0.99</v>
      </c>
      <c r="K1838" s="28">
        <v>55</v>
      </c>
      <c r="L1838" s="28">
        <v>1</v>
      </c>
    </row>
    <row r="1839" spans="1:12" ht="14.25" customHeight="1" x14ac:dyDescent="0.2">
      <c r="A1839" s="28">
        <v>1838</v>
      </c>
      <c r="B1839" s="28" t="s">
        <v>2572</v>
      </c>
      <c r="C1839" s="28" t="s">
        <v>2559</v>
      </c>
      <c r="D1839" s="28" t="s">
        <v>774</v>
      </c>
      <c r="E1839" s="28" t="s">
        <v>211</v>
      </c>
      <c r="F1839" s="28" t="s">
        <v>322</v>
      </c>
      <c r="G1839" s="28" t="s">
        <v>2562</v>
      </c>
      <c r="H1839" s="28">
        <v>10141785</v>
      </c>
      <c r="I1839" s="28">
        <v>311327</v>
      </c>
      <c r="J1839" s="28">
        <v>0.99</v>
      </c>
      <c r="K1839" s="28">
        <v>92</v>
      </c>
      <c r="L1839" s="28">
        <v>1</v>
      </c>
    </row>
    <row r="1840" spans="1:12" ht="14.25" customHeight="1" x14ac:dyDescent="0.2">
      <c r="A1840" s="28">
        <v>1839</v>
      </c>
      <c r="B1840" s="28" t="s">
        <v>2573</v>
      </c>
      <c r="C1840" s="28" t="s">
        <v>2574</v>
      </c>
      <c r="D1840" s="28" t="s">
        <v>774</v>
      </c>
      <c r="E1840" s="28" t="s">
        <v>211</v>
      </c>
      <c r="F1840" s="28" t="s">
        <v>322</v>
      </c>
      <c r="G1840" s="28" t="s">
        <v>2560</v>
      </c>
      <c r="H1840" s="28">
        <v>9931015</v>
      </c>
      <c r="I1840" s="28">
        <v>304457</v>
      </c>
      <c r="J1840" s="28">
        <v>0.99</v>
      </c>
      <c r="K1840" s="28">
        <v>64</v>
      </c>
      <c r="L1840" s="28">
        <v>1</v>
      </c>
    </row>
    <row r="1841" spans="1:12" ht="14.25" customHeight="1" x14ac:dyDescent="0.2">
      <c r="A1841" s="28">
        <v>1840</v>
      </c>
      <c r="B1841" s="28" t="s">
        <v>2575</v>
      </c>
      <c r="C1841" s="28" t="s">
        <v>2574</v>
      </c>
      <c r="D1841" s="28" t="s">
        <v>774</v>
      </c>
      <c r="E1841" s="28" t="s">
        <v>211</v>
      </c>
      <c r="F1841" s="28" t="s">
        <v>322</v>
      </c>
      <c r="G1841" s="28" t="s">
        <v>2576</v>
      </c>
      <c r="H1841" s="28">
        <v>10732251</v>
      </c>
      <c r="I1841" s="28">
        <v>328254</v>
      </c>
      <c r="J1841" s="28">
        <v>0.99</v>
      </c>
      <c r="K1841" s="28">
        <v>88</v>
      </c>
      <c r="L1841" s="28">
        <v>1</v>
      </c>
    </row>
    <row r="1842" spans="1:12" ht="14.25" customHeight="1" x14ac:dyDescent="0.2">
      <c r="A1842" s="28">
        <v>1841</v>
      </c>
      <c r="B1842" s="28" t="s">
        <v>2577</v>
      </c>
      <c r="C1842" s="28" t="s">
        <v>2574</v>
      </c>
      <c r="D1842" s="28" t="s">
        <v>774</v>
      </c>
      <c r="E1842" s="28" t="s">
        <v>211</v>
      </c>
      <c r="F1842" s="28" t="s">
        <v>322</v>
      </c>
      <c r="G1842" s="28" t="s">
        <v>2576</v>
      </c>
      <c r="H1842" s="28">
        <v>13005152</v>
      </c>
      <c r="I1842" s="28">
        <v>398942</v>
      </c>
      <c r="J1842" s="28">
        <v>0.99</v>
      </c>
      <c r="K1842" s="28">
        <v>90</v>
      </c>
      <c r="L1842" s="28">
        <v>2</v>
      </c>
    </row>
    <row r="1843" spans="1:12" ht="14.25" customHeight="1" x14ac:dyDescent="0.2">
      <c r="A1843" s="28">
        <v>1842</v>
      </c>
      <c r="B1843" s="28" t="s">
        <v>2578</v>
      </c>
      <c r="C1843" s="28" t="s">
        <v>2574</v>
      </c>
      <c r="D1843" s="28" t="s">
        <v>774</v>
      </c>
      <c r="E1843" s="28" t="s">
        <v>211</v>
      </c>
      <c r="F1843" s="28" t="s">
        <v>322</v>
      </c>
      <c r="G1843" s="28" t="s">
        <v>2560</v>
      </c>
      <c r="H1843" s="28">
        <v>8837394</v>
      </c>
      <c r="I1843" s="28">
        <v>269740</v>
      </c>
      <c r="J1843" s="28">
        <v>0.99</v>
      </c>
      <c r="K1843" s="28">
        <v>59</v>
      </c>
      <c r="L1843" s="28">
        <v>1</v>
      </c>
    </row>
    <row r="1844" spans="1:12" ht="14.25" customHeight="1" x14ac:dyDescent="0.2">
      <c r="A1844" s="28">
        <v>1843</v>
      </c>
      <c r="B1844" s="28" t="s">
        <v>2579</v>
      </c>
      <c r="C1844" s="28" t="s">
        <v>2574</v>
      </c>
      <c r="D1844" s="28" t="s">
        <v>774</v>
      </c>
      <c r="E1844" s="28" t="s">
        <v>211</v>
      </c>
      <c r="F1844" s="28" t="s">
        <v>322</v>
      </c>
      <c r="G1844" s="28" t="s">
        <v>2576</v>
      </c>
      <c r="H1844" s="28">
        <v>10681477</v>
      </c>
      <c r="I1844" s="28">
        <v>328097</v>
      </c>
      <c r="J1844" s="28">
        <v>0.99</v>
      </c>
      <c r="K1844" s="28">
        <v>45</v>
      </c>
      <c r="L1844" s="28">
        <v>1</v>
      </c>
    </row>
    <row r="1845" spans="1:12" ht="14.25" customHeight="1" x14ac:dyDescent="0.2">
      <c r="A1845" s="28">
        <v>1844</v>
      </c>
      <c r="B1845" s="28" t="s">
        <v>2580</v>
      </c>
      <c r="C1845" s="28" t="s">
        <v>2574</v>
      </c>
      <c r="D1845" s="28" t="s">
        <v>774</v>
      </c>
      <c r="E1845" s="28" t="s">
        <v>211</v>
      </c>
      <c r="F1845" s="28" t="s">
        <v>322</v>
      </c>
      <c r="G1845" s="28" t="s">
        <v>2576</v>
      </c>
      <c r="H1845" s="28">
        <v>8540298</v>
      </c>
      <c r="I1845" s="28">
        <v>261982</v>
      </c>
      <c r="J1845" s="28">
        <v>0.99</v>
      </c>
      <c r="K1845" s="28">
        <v>46</v>
      </c>
      <c r="L1845" s="28">
        <v>0</v>
      </c>
    </row>
    <row r="1846" spans="1:12" ht="14.25" customHeight="1" x14ac:dyDescent="0.2">
      <c r="A1846" s="28">
        <v>1845</v>
      </c>
      <c r="B1846" s="28" t="s">
        <v>2581</v>
      </c>
      <c r="C1846" s="28" t="s">
        <v>2574</v>
      </c>
      <c r="D1846" s="28" t="s">
        <v>774</v>
      </c>
      <c r="E1846" s="28" t="s">
        <v>211</v>
      </c>
      <c r="F1846" s="28" t="s">
        <v>322</v>
      </c>
      <c r="G1846" s="28" t="s">
        <v>2576</v>
      </c>
      <c r="H1846" s="28">
        <v>16249420</v>
      </c>
      <c r="I1846" s="28">
        <v>497998</v>
      </c>
      <c r="J1846" s="28">
        <v>0.99</v>
      </c>
      <c r="K1846" s="28">
        <v>69</v>
      </c>
      <c r="L1846" s="28">
        <v>1</v>
      </c>
    </row>
    <row r="1847" spans="1:12" ht="14.25" customHeight="1" x14ac:dyDescent="0.2">
      <c r="A1847" s="28">
        <v>1846</v>
      </c>
      <c r="B1847" s="28" t="s">
        <v>2582</v>
      </c>
      <c r="C1847" s="28" t="s">
        <v>2574</v>
      </c>
      <c r="D1847" s="28" t="s">
        <v>774</v>
      </c>
      <c r="E1847" s="28" t="s">
        <v>211</v>
      </c>
      <c r="F1847" s="28" t="s">
        <v>322</v>
      </c>
      <c r="G1847" s="28" t="s">
        <v>2560</v>
      </c>
      <c r="H1847" s="28">
        <v>9648615</v>
      </c>
      <c r="I1847" s="28">
        <v>294347</v>
      </c>
      <c r="J1847" s="28">
        <v>0.99</v>
      </c>
      <c r="K1847" s="28">
        <v>43</v>
      </c>
      <c r="L1847" s="28">
        <v>1</v>
      </c>
    </row>
    <row r="1848" spans="1:12" ht="14.25" customHeight="1" x14ac:dyDescent="0.2">
      <c r="A1848" s="28">
        <v>1847</v>
      </c>
      <c r="B1848" s="28" t="s">
        <v>2583</v>
      </c>
      <c r="C1848" s="28" t="s">
        <v>2574</v>
      </c>
      <c r="D1848" s="28" t="s">
        <v>774</v>
      </c>
      <c r="E1848" s="28" t="s">
        <v>211</v>
      </c>
      <c r="F1848" s="28" t="s">
        <v>322</v>
      </c>
      <c r="G1848" s="28" t="s">
        <v>2560</v>
      </c>
      <c r="H1848" s="28">
        <v>7854349</v>
      </c>
      <c r="I1848" s="28">
        <v>240065</v>
      </c>
      <c r="J1848" s="28">
        <v>0.99</v>
      </c>
      <c r="K1848" s="28">
        <v>73</v>
      </c>
      <c r="L1848" s="28">
        <v>1</v>
      </c>
    </row>
    <row r="1849" spans="1:12" ht="14.25" customHeight="1" x14ac:dyDescent="0.2">
      <c r="A1849" s="28">
        <v>1848</v>
      </c>
      <c r="B1849" s="28" t="s">
        <v>2584</v>
      </c>
      <c r="C1849" s="28" t="s">
        <v>2574</v>
      </c>
      <c r="D1849" s="28" t="s">
        <v>774</v>
      </c>
      <c r="E1849" s="28" t="s">
        <v>211</v>
      </c>
      <c r="F1849" s="28" t="s">
        <v>322</v>
      </c>
      <c r="G1849" s="28" t="s">
        <v>2576</v>
      </c>
      <c r="H1849" s="28">
        <v>7762300</v>
      </c>
      <c r="I1849" s="28">
        <v>237296</v>
      </c>
      <c r="J1849" s="28">
        <v>0.99</v>
      </c>
      <c r="K1849" s="28">
        <v>2</v>
      </c>
      <c r="L1849" s="28">
        <v>0</v>
      </c>
    </row>
    <row r="1850" spans="1:12" ht="14.25" customHeight="1" x14ac:dyDescent="0.2">
      <c r="A1850" s="28">
        <v>1849</v>
      </c>
      <c r="B1850" s="28" t="s">
        <v>2585</v>
      </c>
      <c r="C1850" s="28" t="s">
        <v>2574</v>
      </c>
      <c r="D1850" s="28" t="s">
        <v>774</v>
      </c>
      <c r="E1850" s="28" t="s">
        <v>211</v>
      </c>
      <c r="F1850" s="28" t="s">
        <v>322</v>
      </c>
      <c r="G1850" s="28" t="s">
        <v>2560</v>
      </c>
      <c r="H1850" s="28">
        <v>10508310</v>
      </c>
      <c r="I1850" s="28">
        <v>319764</v>
      </c>
      <c r="J1850" s="28">
        <v>0.99</v>
      </c>
      <c r="K1850" s="28">
        <v>82</v>
      </c>
      <c r="L1850" s="28">
        <v>1</v>
      </c>
    </row>
    <row r="1851" spans="1:12" ht="14.25" customHeight="1" x14ac:dyDescent="0.2">
      <c r="A1851" s="28">
        <v>1850</v>
      </c>
      <c r="B1851" s="28" t="s">
        <v>2586</v>
      </c>
      <c r="C1851" s="28" t="s">
        <v>2574</v>
      </c>
      <c r="D1851" s="28" t="s">
        <v>774</v>
      </c>
      <c r="E1851" s="28" t="s">
        <v>211</v>
      </c>
      <c r="F1851" s="28" t="s">
        <v>322</v>
      </c>
      <c r="G1851" s="28" t="s">
        <v>2576</v>
      </c>
      <c r="H1851" s="28">
        <v>11486686</v>
      </c>
      <c r="I1851" s="28">
        <v>351738</v>
      </c>
      <c r="J1851" s="28">
        <v>0.99</v>
      </c>
      <c r="K1851" s="28">
        <v>47</v>
      </c>
      <c r="L1851" s="28">
        <v>0</v>
      </c>
    </row>
    <row r="1852" spans="1:12" ht="14.25" customHeight="1" x14ac:dyDescent="0.2">
      <c r="A1852" s="28">
        <v>1851</v>
      </c>
      <c r="B1852" s="28" t="s">
        <v>2587</v>
      </c>
      <c r="C1852" s="28" t="s">
        <v>2574</v>
      </c>
      <c r="D1852" s="28" t="s">
        <v>774</v>
      </c>
      <c r="E1852" s="28" t="s">
        <v>211</v>
      </c>
      <c r="F1852" s="28" t="s">
        <v>322</v>
      </c>
      <c r="G1852" s="28" t="s">
        <v>2560</v>
      </c>
      <c r="H1852" s="28">
        <v>10390947</v>
      </c>
      <c r="I1852" s="28">
        <v>317204</v>
      </c>
      <c r="J1852" s="28">
        <v>0.99</v>
      </c>
      <c r="K1852" s="28">
        <v>2</v>
      </c>
      <c r="L1852" s="28">
        <v>0</v>
      </c>
    </row>
    <row r="1853" spans="1:12" ht="14.25" customHeight="1" x14ac:dyDescent="0.2">
      <c r="A1853" s="28">
        <v>1852</v>
      </c>
      <c r="B1853" s="28" t="s">
        <v>2588</v>
      </c>
      <c r="C1853" s="28" t="s">
        <v>2574</v>
      </c>
      <c r="D1853" s="28" t="s">
        <v>774</v>
      </c>
      <c r="E1853" s="28" t="s">
        <v>211</v>
      </c>
      <c r="F1853" s="28" t="s">
        <v>322</v>
      </c>
      <c r="G1853" s="28" t="s">
        <v>2560</v>
      </c>
      <c r="H1853" s="28">
        <v>19286261</v>
      </c>
      <c r="I1853" s="28">
        <v>588721</v>
      </c>
      <c r="J1853" s="28">
        <v>0.99</v>
      </c>
      <c r="K1853" s="28">
        <v>43</v>
      </c>
      <c r="L1853" s="28">
        <v>1</v>
      </c>
    </row>
    <row r="1854" spans="1:12" ht="14.25" customHeight="1" x14ac:dyDescent="0.2">
      <c r="A1854" s="28">
        <v>1853</v>
      </c>
      <c r="B1854" s="28" t="s">
        <v>2589</v>
      </c>
      <c r="C1854" s="28" t="s">
        <v>323</v>
      </c>
      <c r="D1854" s="28" t="s">
        <v>774</v>
      </c>
      <c r="E1854" s="28" t="s">
        <v>211</v>
      </c>
      <c r="F1854" s="28" t="s">
        <v>322</v>
      </c>
      <c r="G1854" s="28" t="s">
        <v>2590</v>
      </c>
      <c r="H1854" s="28">
        <v>10229577</v>
      </c>
      <c r="I1854" s="28">
        <v>312424</v>
      </c>
      <c r="J1854" s="28">
        <v>0.99</v>
      </c>
      <c r="K1854" s="28">
        <v>94</v>
      </c>
      <c r="L1854" s="28">
        <v>2</v>
      </c>
    </row>
    <row r="1855" spans="1:12" ht="14.25" customHeight="1" x14ac:dyDescent="0.2">
      <c r="A1855" s="28">
        <v>1854</v>
      </c>
      <c r="B1855" s="28" t="s">
        <v>323</v>
      </c>
      <c r="C1855" s="28" t="s">
        <v>323</v>
      </c>
      <c r="D1855" s="28" t="s">
        <v>774</v>
      </c>
      <c r="E1855" s="28" t="s">
        <v>211</v>
      </c>
      <c r="F1855" s="28" t="s">
        <v>322</v>
      </c>
      <c r="G1855" s="28" t="s">
        <v>2591</v>
      </c>
      <c r="H1855" s="28">
        <v>16893720</v>
      </c>
      <c r="I1855" s="28">
        <v>515239</v>
      </c>
      <c r="J1855" s="28">
        <v>0.99</v>
      </c>
      <c r="K1855" s="28">
        <v>53</v>
      </c>
      <c r="L1855" s="28">
        <v>1</v>
      </c>
    </row>
    <row r="1856" spans="1:12" ht="14.25" customHeight="1" x14ac:dyDescent="0.2">
      <c r="A1856" s="28">
        <v>1855</v>
      </c>
      <c r="B1856" s="28" t="s">
        <v>2592</v>
      </c>
      <c r="C1856" s="28" t="s">
        <v>323</v>
      </c>
      <c r="D1856" s="28" t="s">
        <v>774</v>
      </c>
      <c r="E1856" s="28" t="s">
        <v>211</v>
      </c>
      <c r="F1856" s="28" t="s">
        <v>322</v>
      </c>
      <c r="G1856" s="28" t="s">
        <v>2591</v>
      </c>
      <c r="H1856" s="28">
        <v>12952368</v>
      </c>
      <c r="I1856" s="28">
        <v>396199</v>
      </c>
      <c r="J1856" s="28">
        <v>0.99</v>
      </c>
      <c r="K1856" s="28">
        <v>31</v>
      </c>
      <c r="L1856" s="28">
        <v>1</v>
      </c>
    </row>
    <row r="1857" spans="1:12" ht="14.25" customHeight="1" x14ac:dyDescent="0.2">
      <c r="A1857" s="28">
        <v>1856</v>
      </c>
      <c r="B1857" s="28" t="s">
        <v>329</v>
      </c>
      <c r="C1857" s="28" t="s">
        <v>323</v>
      </c>
      <c r="D1857" s="28" t="s">
        <v>774</v>
      </c>
      <c r="E1857" s="28" t="s">
        <v>211</v>
      </c>
      <c r="F1857" s="28" t="s">
        <v>322</v>
      </c>
      <c r="G1857" s="28" t="s">
        <v>2591</v>
      </c>
      <c r="H1857" s="28">
        <v>12679965</v>
      </c>
      <c r="I1857" s="28">
        <v>387186</v>
      </c>
      <c r="J1857" s="28">
        <v>0.99</v>
      </c>
      <c r="K1857" s="28">
        <v>65</v>
      </c>
      <c r="L1857" s="28">
        <v>1</v>
      </c>
    </row>
    <row r="1858" spans="1:12" ht="14.25" customHeight="1" x14ac:dyDescent="0.2">
      <c r="A1858" s="28">
        <v>1857</v>
      </c>
      <c r="B1858" s="28" t="s">
        <v>2593</v>
      </c>
      <c r="C1858" s="28" t="s">
        <v>323</v>
      </c>
      <c r="D1858" s="28" t="s">
        <v>774</v>
      </c>
      <c r="E1858" s="28" t="s">
        <v>211</v>
      </c>
      <c r="F1858" s="28" t="s">
        <v>322</v>
      </c>
      <c r="G1858" s="28" t="s">
        <v>2590</v>
      </c>
      <c r="H1858" s="28">
        <v>16135560</v>
      </c>
      <c r="I1858" s="28">
        <v>496718</v>
      </c>
      <c r="J1858" s="28">
        <v>0.99</v>
      </c>
      <c r="K1858" s="28">
        <v>75</v>
      </c>
      <c r="L1858" s="28">
        <v>1</v>
      </c>
    </row>
    <row r="1859" spans="1:12" ht="14.25" customHeight="1" x14ac:dyDescent="0.2">
      <c r="A1859" s="28">
        <v>1858</v>
      </c>
      <c r="B1859" s="28" t="s">
        <v>2594</v>
      </c>
      <c r="C1859" s="28" t="s">
        <v>323</v>
      </c>
      <c r="D1859" s="28" t="s">
        <v>774</v>
      </c>
      <c r="E1859" s="28" t="s">
        <v>211</v>
      </c>
      <c r="F1859" s="28" t="s">
        <v>322</v>
      </c>
      <c r="G1859" s="28" t="s">
        <v>2595</v>
      </c>
      <c r="H1859" s="28">
        <v>11310434</v>
      </c>
      <c r="I1859" s="28">
        <v>347428</v>
      </c>
      <c r="J1859" s="28">
        <v>0.99</v>
      </c>
      <c r="K1859" s="28">
        <v>25</v>
      </c>
      <c r="L1859" s="28">
        <v>2</v>
      </c>
    </row>
    <row r="1860" spans="1:12" ht="14.25" customHeight="1" x14ac:dyDescent="0.2">
      <c r="A1860" s="28">
        <v>1859</v>
      </c>
      <c r="B1860" s="28" t="s">
        <v>2596</v>
      </c>
      <c r="C1860" s="28" t="s">
        <v>323</v>
      </c>
      <c r="D1860" s="28" t="s">
        <v>774</v>
      </c>
      <c r="E1860" s="28" t="s">
        <v>211</v>
      </c>
      <c r="F1860" s="28" t="s">
        <v>322</v>
      </c>
      <c r="G1860" s="28" t="s">
        <v>2591</v>
      </c>
      <c r="H1860" s="28">
        <v>16378477</v>
      </c>
      <c r="I1860" s="28">
        <v>500062</v>
      </c>
      <c r="J1860" s="28">
        <v>0.99</v>
      </c>
      <c r="K1860" s="28">
        <v>33</v>
      </c>
      <c r="L1860" s="28">
        <v>1</v>
      </c>
    </row>
    <row r="1861" spans="1:12" ht="14.25" customHeight="1" x14ac:dyDescent="0.2">
      <c r="A1861" s="28">
        <v>1860</v>
      </c>
      <c r="B1861" s="28" t="s">
        <v>2597</v>
      </c>
      <c r="C1861" s="28" t="s">
        <v>323</v>
      </c>
      <c r="D1861" s="28" t="s">
        <v>774</v>
      </c>
      <c r="E1861" s="28" t="s">
        <v>211</v>
      </c>
      <c r="F1861" s="28" t="s">
        <v>322</v>
      </c>
      <c r="G1861" s="28" t="s">
        <v>2591</v>
      </c>
      <c r="H1861" s="28">
        <v>10725029</v>
      </c>
      <c r="I1861" s="28">
        <v>330919</v>
      </c>
      <c r="J1861" s="28">
        <v>0.99</v>
      </c>
      <c r="K1861" s="28">
        <v>63</v>
      </c>
      <c r="L1861" s="28">
        <v>1</v>
      </c>
    </row>
    <row r="1862" spans="1:12" ht="14.25" customHeight="1" x14ac:dyDescent="0.2">
      <c r="A1862" s="28">
        <v>1861</v>
      </c>
      <c r="B1862" s="28" t="s">
        <v>2598</v>
      </c>
      <c r="C1862" s="28" t="s">
        <v>2599</v>
      </c>
      <c r="D1862" s="28" t="s">
        <v>774</v>
      </c>
      <c r="E1862" s="28" t="s">
        <v>211</v>
      </c>
      <c r="F1862" s="28" t="s">
        <v>322</v>
      </c>
      <c r="G1862" s="28" t="s">
        <v>2600</v>
      </c>
      <c r="H1862" s="28">
        <v>8876811</v>
      </c>
      <c r="I1862" s="28">
        <v>269557</v>
      </c>
      <c r="J1862" s="28">
        <v>0.99</v>
      </c>
      <c r="K1862" s="28">
        <v>6</v>
      </c>
      <c r="L1862" s="28">
        <v>1</v>
      </c>
    </row>
    <row r="1863" spans="1:12" ht="14.25" customHeight="1" x14ac:dyDescent="0.2">
      <c r="A1863" s="28">
        <v>1862</v>
      </c>
      <c r="B1863" s="28" t="s">
        <v>2601</v>
      </c>
      <c r="C1863" s="28" t="s">
        <v>2599</v>
      </c>
      <c r="D1863" s="28" t="s">
        <v>774</v>
      </c>
      <c r="E1863" s="28" t="s">
        <v>211</v>
      </c>
      <c r="F1863" s="28" t="s">
        <v>322</v>
      </c>
      <c r="G1863" s="28" t="s">
        <v>2602</v>
      </c>
      <c r="H1863" s="28">
        <v>9110730</v>
      </c>
      <c r="I1863" s="28">
        <v>279353</v>
      </c>
      <c r="J1863" s="28">
        <v>0.99</v>
      </c>
      <c r="K1863" s="28">
        <v>44</v>
      </c>
      <c r="L1863" s="28">
        <v>1</v>
      </c>
    </row>
    <row r="1864" spans="1:12" ht="14.25" customHeight="1" x14ac:dyDescent="0.2">
      <c r="A1864" s="28">
        <v>1863</v>
      </c>
      <c r="B1864" s="28" t="s">
        <v>2603</v>
      </c>
      <c r="C1864" s="28" t="s">
        <v>2599</v>
      </c>
      <c r="D1864" s="28" t="s">
        <v>774</v>
      </c>
      <c r="E1864" s="28" t="s">
        <v>211</v>
      </c>
      <c r="F1864" s="28" t="s">
        <v>322</v>
      </c>
      <c r="G1864" s="28" t="s">
        <v>2602</v>
      </c>
      <c r="H1864" s="28">
        <v>10414832</v>
      </c>
      <c r="I1864" s="28">
        <v>318955</v>
      </c>
      <c r="J1864" s="28">
        <v>0.99</v>
      </c>
      <c r="K1864" s="28">
        <v>3</v>
      </c>
      <c r="L1864" s="28">
        <v>0</v>
      </c>
    </row>
    <row r="1865" spans="1:12" ht="14.25" customHeight="1" x14ac:dyDescent="0.2">
      <c r="A1865" s="28">
        <v>1864</v>
      </c>
      <c r="B1865" s="28" t="s">
        <v>2604</v>
      </c>
      <c r="C1865" s="28" t="s">
        <v>2599</v>
      </c>
      <c r="D1865" s="28" t="s">
        <v>774</v>
      </c>
      <c r="E1865" s="28" t="s">
        <v>211</v>
      </c>
      <c r="F1865" s="28" t="s">
        <v>322</v>
      </c>
      <c r="G1865" s="28" t="s">
        <v>2600</v>
      </c>
      <c r="H1865" s="28">
        <v>12886474</v>
      </c>
      <c r="I1865" s="28">
        <v>395520</v>
      </c>
      <c r="J1865" s="28">
        <v>0.99</v>
      </c>
      <c r="K1865" s="28">
        <v>29</v>
      </c>
      <c r="L1865" s="28">
        <v>2</v>
      </c>
    </row>
    <row r="1866" spans="1:12" ht="14.25" customHeight="1" x14ac:dyDescent="0.2">
      <c r="A1866" s="28">
        <v>1865</v>
      </c>
      <c r="B1866" s="28" t="s">
        <v>2605</v>
      </c>
      <c r="C1866" s="28" t="s">
        <v>2599</v>
      </c>
      <c r="D1866" s="28" t="s">
        <v>774</v>
      </c>
      <c r="E1866" s="28" t="s">
        <v>211</v>
      </c>
      <c r="F1866" s="28" t="s">
        <v>322</v>
      </c>
      <c r="G1866" s="28" t="s">
        <v>2602</v>
      </c>
      <c r="H1866" s="28">
        <v>10549070</v>
      </c>
      <c r="I1866" s="28">
        <v>322899</v>
      </c>
      <c r="J1866" s="28">
        <v>0.99</v>
      </c>
      <c r="K1866" s="28">
        <v>24</v>
      </c>
      <c r="L1866" s="28">
        <v>2</v>
      </c>
    </row>
    <row r="1867" spans="1:12" ht="14.25" customHeight="1" x14ac:dyDescent="0.2">
      <c r="A1867" s="28">
        <v>1866</v>
      </c>
      <c r="B1867" s="28" t="s">
        <v>2606</v>
      </c>
      <c r="C1867" s="28" t="s">
        <v>2599</v>
      </c>
      <c r="D1867" s="28" t="s">
        <v>774</v>
      </c>
      <c r="E1867" s="28" t="s">
        <v>211</v>
      </c>
      <c r="F1867" s="28" t="s">
        <v>322</v>
      </c>
      <c r="G1867" s="28" t="s">
        <v>2600</v>
      </c>
      <c r="H1867" s="28">
        <v>10199789</v>
      </c>
      <c r="I1867" s="28">
        <v>313103</v>
      </c>
      <c r="J1867" s="28">
        <v>0.99</v>
      </c>
      <c r="K1867" s="28">
        <v>59</v>
      </c>
      <c r="L1867" s="28">
        <v>1</v>
      </c>
    </row>
    <row r="1868" spans="1:12" ht="14.25" customHeight="1" x14ac:dyDescent="0.2">
      <c r="A1868" s="28">
        <v>1867</v>
      </c>
      <c r="B1868" s="28" t="s">
        <v>2607</v>
      </c>
      <c r="C1868" s="28" t="s">
        <v>2599</v>
      </c>
      <c r="D1868" s="28" t="s">
        <v>774</v>
      </c>
      <c r="E1868" s="28" t="s">
        <v>211</v>
      </c>
      <c r="F1868" s="28" t="s">
        <v>322</v>
      </c>
      <c r="G1868" s="28" t="s">
        <v>2600</v>
      </c>
      <c r="H1868" s="28">
        <v>12170693</v>
      </c>
      <c r="I1868" s="28">
        <v>372480</v>
      </c>
      <c r="J1868" s="28">
        <v>0.99</v>
      </c>
      <c r="K1868" s="28">
        <v>86</v>
      </c>
      <c r="L1868" s="28">
        <v>0</v>
      </c>
    </row>
    <row r="1869" spans="1:12" ht="14.25" customHeight="1" x14ac:dyDescent="0.2">
      <c r="A1869" s="28">
        <v>1868</v>
      </c>
      <c r="B1869" s="28" t="s">
        <v>2608</v>
      </c>
      <c r="C1869" s="28" t="s">
        <v>2599</v>
      </c>
      <c r="D1869" s="28" t="s">
        <v>774</v>
      </c>
      <c r="E1869" s="28" t="s">
        <v>211</v>
      </c>
      <c r="F1869" s="28" t="s">
        <v>322</v>
      </c>
      <c r="G1869" s="28" t="s">
        <v>2600</v>
      </c>
      <c r="H1869" s="28">
        <v>8019586</v>
      </c>
      <c r="I1869" s="28">
        <v>245394</v>
      </c>
      <c r="J1869" s="28">
        <v>0.99</v>
      </c>
      <c r="K1869" s="28">
        <v>79</v>
      </c>
      <c r="L1869" s="28">
        <v>1</v>
      </c>
    </row>
    <row r="1870" spans="1:12" ht="14.25" customHeight="1" x14ac:dyDescent="0.2">
      <c r="A1870" s="28">
        <v>1869</v>
      </c>
      <c r="B1870" s="28" t="s">
        <v>2609</v>
      </c>
      <c r="C1870" s="28" t="s">
        <v>2599</v>
      </c>
      <c r="D1870" s="28" t="s">
        <v>774</v>
      </c>
      <c r="E1870" s="28" t="s">
        <v>211</v>
      </c>
      <c r="F1870" s="28" t="s">
        <v>322</v>
      </c>
      <c r="G1870" s="28" t="s">
        <v>2610</v>
      </c>
      <c r="H1870" s="28">
        <v>13571280</v>
      </c>
      <c r="I1870" s="28">
        <v>414380</v>
      </c>
      <c r="J1870" s="28">
        <v>0.99</v>
      </c>
      <c r="K1870" s="28">
        <v>59</v>
      </c>
      <c r="L1870" s="28">
        <v>1</v>
      </c>
    </row>
    <row r="1871" spans="1:12" ht="14.25" customHeight="1" x14ac:dyDescent="0.2">
      <c r="A1871" s="28">
        <v>1870</v>
      </c>
      <c r="B1871" s="28" t="s">
        <v>2611</v>
      </c>
      <c r="C1871" s="28" t="s">
        <v>2599</v>
      </c>
      <c r="D1871" s="28" t="s">
        <v>774</v>
      </c>
      <c r="E1871" s="28" t="s">
        <v>211</v>
      </c>
      <c r="F1871" s="28" t="s">
        <v>322</v>
      </c>
      <c r="G1871" s="28" t="s">
        <v>2602</v>
      </c>
      <c r="H1871" s="28">
        <v>12009412</v>
      </c>
      <c r="I1871" s="28">
        <v>365061</v>
      </c>
      <c r="J1871" s="28">
        <v>0.99</v>
      </c>
      <c r="K1871" s="28">
        <v>99</v>
      </c>
      <c r="L1871" s="28">
        <v>1</v>
      </c>
    </row>
    <row r="1872" spans="1:12" ht="14.25" customHeight="1" x14ac:dyDescent="0.2">
      <c r="A1872" s="28">
        <v>1871</v>
      </c>
      <c r="B1872" s="28" t="s">
        <v>2612</v>
      </c>
      <c r="C1872" s="28" t="s">
        <v>2599</v>
      </c>
      <c r="D1872" s="28" t="s">
        <v>774</v>
      </c>
      <c r="E1872" s="28" t="s">
        <v>211</v>
      </c>
      <c r="F1872" s="28" t="s">
        <v>322</v>
      </c>
      <c r="G1872" s="28" t="s">
        <v>2602</v>
      </c>
      <c r="H1872" s="28">
        <v>14855583</v>
      </c>
      <c r="I1872" s="28">
        <v>457639</v>
      </c>
      <c r="J1872" s="28">
        <v>0.99</v>
      </c>
      <c r="K1872" s="28">
        <v>31</v>
      </c>
      <c r="L1872" s="28">
        <v>1</v>
      </c>
    </row>
    <row r="1873" spans="1:12" ht="14.25" customHeight="1" x14ac:dyDescent="0.2">
      <c r="A1873" s="28">
        <v>1872</v>
      </c>
      <c r="B1873" s="28" t="s">
        <v>2613</v>
      </c>
      <c r="C1873" s="28" t="s">
        <v>2599</v>
      </c>
      <c r="D1873" s="28" t="s">
        <v>774</v>
      </c>
      <c r="E1873" s="28" t="s">
        <v>211</v>
      </c>
      <c r="F1873" s="28" t="s">
        <v>322</v>
      </c>
      <c r="G1873" s="28" t="s">
        <v>2602</v>
      </c>
      <c r="H1873" s="28">
        <v>10335734</v>
      </c>
      <c r="I1873" s="28">
        <v>315898</v>
      </c>
      <c r="J1873" s="28">
        <v>0.99</v>
      </c>
      <c r="K1873" s="28">
        <v>81</v>
      </c>
      <c r="L1873" s="28">
        <v>1</v>
      </c>
    </row>
    <row r="1874" spans="1:12" ht="14.25" customHeight="1" x14ac:dyDescent="0.2">
      <c r="A1874" s="28">
        <v>1873</v>
      </c>
      <c r="B1874" s="28" t="s">
        <v>2614</v>
      </c>
      <c r="C1874" s="28" t="s">
        <v>2599</v>
      </c>
      <c r="D1874" s="28" t="s">
        <v>774</v>
      </c>
      <c r="E1874" s="28" t="s">
        <v>211</v>
      </c>
      <c r="F1874" s="28" t="s">
        <v>322</v>
      </c>
      <c r="G1874" s="28" t="s">
        <v>2600</v>
      </c>
      <c r="H1874" s="28">
        <v>16190041</v>
      </c>
      <c r="I1874" s="28">
        <v>496065</v>
      </c>
      <c r="J1874" s="28">
        <v>0.99</v>
      </c>
      <c r="K1874" s="28">
        <v>11</v>
      </c>
      <c r="L1874" s="28">
        <v>0</v>
      </c>
    </row>
    <row r="1875" spans="1:12" ht="14.25" customHeight="1" x14ac:dyDescent="0.2">
      <c r="A1875" s="28">
        <v>1874</v>
      </c>
      <c r="B1875" s="28" t="s">
        <v>2615</v>
      </c>
      <c r="C1875" s="28" t="s">
        <v>2616</v>
      </c>
      <c r="D1875" s="28" t="s">
        <v>774</v>
      </c>
      <c r="E1875" s="28" t="s">
        <v>211</v>
      </c>
      <c r="F1875" s="28" t="s">
        <v>322</v>
      </c>
      <c r="G1875" s="28" t="s">
        <v>774</v>
      </c>
      <c r="H1875" s="28">
        <v>9420856</v>
      </c>
      <c r="I1875" s="28">
        <v>285753</v>
      </c>
      <c r="J1875" s="28">
        <v>0.99</v>
      </c>
      <c r="K1875" s="28">
        <v>11</v>
      </c>
      <c r="L1875" s="28">
        <v>0</v>
      </c>
    </row>
    <row r="1876" spans="1:12" ht="14.25" customHeight="1" x14ac:dyDescent="0.2">
      <c r="A1876" s="28">
        <v>1875</v>
      </c>
      <c r="B1876" s="28" t="s">
        <v>2616</v>
      </c>
      <c r="C1876" s="28" t="s">
        <v>2616</v>
      </c>
      <c r="D1876" s="28" t="s">
        <v>774</v>
      </c>
      <c r="E1876" s="28" t="s">
        <v>211</v>
      </c>
      <c r="F1876" s="28" t="s">
        <v>322</v>
      </c>
      <c r="G1876" s="28" t="s">
        <v>774</v>
      </c>
      <c r="H1876" s="28">
        <v>13055884</v>
      </c>
      <c r="I1876" s="28">
        <v>397740</v>
      </c>
      <c r="J1876" s="28">
        <v>0.99</v>
      </c>
      <c r="K1876" s="28">
        <v>90</v>
      </c>
      <c r="L1876" s="28">
        <v>1</v>
      </c>
    </row>
    <row r="1877" spans="1:12" ht="14.25" customHeight="1" x14ac:dyDescent="0.2">
      <c r="A1877" s="28">
        <v>1876</v>
      </c>
      <c r="B1877" s="28" t="s">
        <v>2617</v>
      </c>
      <c r="C1877" s="28" t="s">
        <v>2616</v>
      </c>
      <c r="D1877" s="28" t="s">
        <v>774</v>
      </c>
      <c r="E1877" s="28" t="s">
        <v>211</v>
      </c>
      <c r="F1877" s="28" t="s">
        <v>322</v>
      </c>
      <c r="G1877" s="28" t="s">
        <v>774</v>
      </c>
      <c r="H1877" s="28">
        <v>10159725</v>
      </c>
      <c r="I1877" s="28">
        <v>311719</v>
      </c>
      <c r="J1877" s="28">
        <v>0.99</v>
      </c>
      <c r="K1877" s="28">
        <v>99</v>
      </c>
      <c r="L1877" s="28">
        <v>2</v>
      </c>
    </row>
    <row r="1878" spans="1:12" ht="14.25" customHeight="1" x14ac:dyDescent="0.2">
      <c r="A1878" s="28">
        <v>1877</v>
      </c>
      <c r="B1878" s="28" t="s">
        <v>2618</v>
      </c>
      <c r="C1878" s="28" t="s">
        <v>2616</v>
      </c>
      <c r="D1878" s="28" t="s">
        <v>774</v>
      </c>
      <c r="E1878" s="28" t="s">
        <v>211</v>
      </c>
      <c r="F1878" s="28" t="s">
        <v>322</v>
      </c>
      <c r="G1878" s="28" t="s">
        <v>774</v>
      </c>
      <c r="H1878" s="28">
        <v>13531954</v>
      </c>
      <c r="I1878" s="28">
        <v>414824</v>
      </c>
      <c r="J1878" s="28">
        <v>0.99</v>
      </c>
      <c r="K1878" s="28">
        <v>20</v>
      </c>
      <c r="L1878" s="28">
        <v>1</v>
      </c>
    </row>
    <row r="1879" spans="1:12" ht="14.25" customHeight="1" x14ac:dyDescent="0.2">
      <c r="A1879" s="28">
        <v>1878</v>
      </c>
      <c r="B1879" s="28" t="s">
        <v>2619</v>
      </c>
      <c r="C1879" s="28" t="s">
        <v>2616</v>
      </c>
      <c r="D1879" s="28" t="s">
        <v>774</v>
      </c>
      <c r="E1879" s="28" t="s">
        <v>211</v>
      </c>
      <c r="F1879" s="28" t="s">
        <v>322</v>
      </c>
      <c r="G1879" s="28" t="s">
        <v>774</v>
      </c>
      <c r="H1879" s="28">
        <v>7975942</v>
      </c>
      <c r="I1879" s="28">
        <v>244532</v>
      </c>
      <c r="J1879" s="28">
        <v>0.99</v>
      </c>
      <c r="K1879" s="28">
        <v>9</v>
      </c>
      <c r="L1879" s="28">
        <v>0</v>
      </c>
    </row>
    <row r="1880" spans="1:12" ht="14.25" customHeight="1" x14ac:dyDescent="0.2">
      <c r="A1880" s="28">
        <v>1879</v>
      </c>
      <c r="B1880" s="28" t="s">
        <v>2620</v>
      </c>
      <c r="C1880" s="28" t="s">
        <v>2616</v>
      </c>
      <c r="D1880" s="28" t="s">
        <v>774</v>
      </c>
      <c r="E1880" s="28" t="s">
        <v>211</v>
      </c>
      <c r="F1880" s="28" t="s">
        <v>322</v>
      </c>
      <c r="G1880" s="28" t="s">
        <v>774</v>
      </c>
      <c r="H1880" s="28">
        <v>8652332</v>
      </c>
      <c r="I1880" s="28">
        <v>264359</v>
      </c>
      <c r="J1880" s="28">
        <v>0.99</v>
      </c>
      <c r="K1880" s="28">
        <v>65</v>
      </c>
      <c r="L1880" s="28">
        <v>0</v>
      </c>
    </row>
    <row r="1881" spans="1:12" ht="14.25" customHeight="1" x14ac:dyDescent="0.2">
      <c r="A1881" s="28">
        <v>1880</v>
      </c>
      <c r="B1881" s="28" t="s">
        <v>327</v>
      </c>
      <c r="C1881" s="28" t="s">
        <v>2616</v>
      </c>
      <c r="D1881" s="28" t="s">
        <v>774</v>
      </c>
      <c r="E1881" s="28" t="s">
        <v>211</v>
      </c>
      <c r="F1881" s="28" t="s">
        <v>322</v>
      </c>
      <c r="G1881" s="28" t="s">
        <v>774</v>
      </c>
      <c r="H1881" s="28">
        <v>12955593</v>
      </c>
      <c r="I1881" s="28">
        <v>396878</v>
      </c>
      <c r="J1881" s="28">
        <v>0.99</v>
      </c>
      <c r="K1881" s="28">
        <v>95</v>
      </c>
      <c r="L1881" s="28">
        <v>1</v>
      </c>
    </row>
    <row r="1882" spans="1:12" ht="14.25" customHeight="1" x14ac:dyDescent="0.2">
      <c r="A1882" s="28">
        <v>1881</v>
      </c>
      <c r="B1882" s="28" t="s">
        <v>2621</v>
      </c>
      <c r="C1882" s="28" t="s">
        <v>2616</v>
      </c>
      <c r="D1882" s="28" t="s">
        <v>774</v>
      </c>
      <c r="E1882" s="28" t="s">
        <v>211</v>
      </c>
      <c r="F1882" s="28" t="s">
        <v>322</v>
      </c>
      <c r="G1882" s="28" t="s">
        <v>774</v>
      </c>
      <c r="H1882" s="28">
        <v>17486240</v>
      </c>
      <c r="I1882" s="28">
        <v>534883</v>
      </c>
      <c r="J1882" s="28">
        <v>0.99</v>
      </c>
      <c r="K1882" s="28">
        <v>49</v>
      </c>
      <c r="L1882" s="28">
        <v>1</v>
      </c>
    </row>
    <row r="1883" spans="1:12" ht="14.25" customHeight="1" x14ac:dyDescent="0.2">
      <c r="A1883" s="28">
        <v>1882</v>
      </c>
      <c r="B1883" s="28" t="s">
        <v>2622</v>
      </c>
      <c r="C1883" s="28" t="s">
        <v>2623</v>
      </c>
      <c r="D1883" s="28" t="s">
        <v>774</v>
      </c>
      <c r="E1883" s="28" t="s">
        <v>211</v>
      </c>
      <c r="F1883" s="28" t="s">
        <v>322</v>
      </c>
      <c r="G1883" s="28" t="s">
        <v>2624</v>
      </c>
      <c r="H1883" s="28">
        <v>11510849</v>
      </c>
      <c r="I1883" s="28">
        <v>350458</v>
      </c>
      <c r="J1883" s="28">
        <v>0.99</v>
      </c>
      <c r="K1883" s="28">
        <v>67</v>
      </c>
      <c r="L1883" s="28">
        <v>1</v>
      </c>
    </row>
    <row r="1884" spans="1:12" ht="14.25" customHeight="1" x14ac:dyDescent="0.2">
      <c r="A1884" s="28">
        <v>1883</v>
      </c>
      <c r="B1884" s="28" t="s">
        <v>2623</v>
      </c>
      <c r="C1884" s="28" t="s">
        <v>2623</v>
      </c>
      <c r="D1884" s="28" t="s">
        <v>774</v>
      </c>
      <c r="E1884" s="28" t="s">
        <v>211</v>
      </c>
      <c r="F1884" s="28" t="s">
        <v>322</v>
      </c>
      <c r="G1884" s="28" t="s">
        <v>2624</v>
      </c>
      <c r="H1884" s="28">
        <v>14363779</v>
      </c>
      <c r="I1884" s="28">
        <v>441234</v>
      </c>
      <c r="J1884" s="28">
        <v>0.99</v>
      </c>
      <c r="K1884" s="28">
        <v>77</v>
      </c>
      <c r="L1884" s="28">
        <v>0</v>
      </c>
    </row>
    <row r="1885" spans="1:12" ht="14.25" customHeight="1" x14ac:dyDescent="0.2">
      <c r="A1885" s="28">
        <v>1884</v>
      </c>
      <c r="B1885" s="28" t="s">
        <v>2625</v>
      </c>
      <c r="C1885" s="28" t="s">
        <v>2623</v>
      </c>
      <c r="D1885" s="28" t="s">
        <v>774</v>
      </c>
      <c r="E1885" s="28" t="s">
        <v>211</v>
      </c>
      <c r="F1885" s="28" t="s">
        <v>322</v>
      </c>
      <c r="G1885" s="28" t="s">
        <v>2624</v>
      </c>
      <c r="H1885" s="28">
        <v>16557497</v>
      </c>
      <c r="I1885" s="28">
        <v>505626</v>
      </c>
      <c r="J1885" s="28">
        <v>0.99</v>
      </c>
      <c r="K1885" s="28">
        <v>38</v>
      </c>
      <c r="L1885" s="28">
        <v>1</v>
      </c>
    </row>
    <row r="1886" spans="1:12" ht="14.25" customHeight="1" x14ac:dyDescent="0.2">
      <c r="A1886" s="28">
        <v>1885</v>
      </c>
      <c r="B1886" s="28" t="s">
        <v>2626</v>
      </c>
      <c r="C1886" s="28" t="s">
        <v>2623</v>
      </c>
      <c r="D1886" s="28" t="s">
        <v>774</v>
      </c>
      <c r="E1886" s="28" t="s">
        <v>211</v>
      </c>
      <c r="F1886" s="28" t="s">
        <v>322</v>
      </c>
      <c r="G1886" s="28" t="s">
        <v>2624</v>
      </c>
      <c r="H1886" s="28">
        <v>10670604</v>
      </c>
      <c r="I1886" s="28">
        <v>324989</v>
      </c>
      <c r="J1886" s="28">
        <v>0.99</v>
      </c>
      <c r="K1886" s="28">
        <v>77</v>
      </c>
      <c r="L1886" s="28">
        <v>0</v>
      </c>
    </row>
    <row r="1887" spans="1:12" ht="14.25" customHeight="1" x14ac:dyDescent="0.2">
      <c r="A1887" s="28">
        <v>1886</v>
      </c>
      <c r="B1887" s="28" t="s">
        <v>2627</v>
      </c>
      <c r="C1887" s="28" t="s">
        <v>2623</v>
      </c>
      <c r="D1887" s="28" t="s">
        <v>774</v>
      </c>
      <c r="E1887" s="28" t="s">
        <v>211</v>
      </c>
      <c r="F1887" s="28" t="s">
        <v>322</v>
      </c>
      <c r="G1887" s="28" t="s">
        <v>2624</v>
      </c>
      <c r="H1887" s="28">
        <v>16591800</v>
      </c>
      <c r="I1887" s="28">
        <v>510197</v>
      </c>
      <c r="J1887" s="28">
        <v>0.99</v>
      </c>
      <c r="K1887" s="28">
        <v>11</v>
      </c>
      <c r="L1887" s="28">
        <v>1</v>
      </c>
    </row>
    <row r="1888" spans="1:12" ht="14.25" customHeight="1" x14ac:dyDescent="0.2">
      <c r="A1888" s="28">
        <v>1887</v>
      </c>
      <c r="B1888" s="28" t="s">
        <v>1811</v>
      </c>
      <c r="C1888" s="28" t="s">
        <v>2623</v>
      </c>
      <c r="D1888" s="28" t="s">
        <v>774</v>
      </c>
      <c r="E1888" s="28" t="s">
        <v>211</v>
      </c>
      <c r="F1888" s="28" t="s">
        <v>322</v>
      </c>
      <c r="G1888" s="28" t="s">
        <v>2624</v>
      </c>
      <c r="H1888" s="28">
        <v>11253756</v>
      </c>
      <c r="I1888" s="28">
        <v>345626</v>
      </c>
      <c r="J1888" s="28">
        <v>0.99</v>
      </c>
      <c r="K1888" s="28">
        <v>85</v>
      </c>
      <c r="L1888" s="28">
        <v>1</v>
      </c>
    </row>
    <row r="1889" spans="1:12" ht="14.25" customHeight="1" x14ac:dyDescent="0.2">
      <c r="A1889" s="28">
        <v>1888</v>
      </c>
      <c r="B1889" s="28" t="s">
        <v>2628</v>
      </c>
      <c r="C1889" s="28" t="s">
        <v>2623</v>
      </c>
      <c r="D1889" s="28" t="s">
        <v>774</v>
      </c>
      <c r="E1889" s="28" t="s">
        <v>211</v>
      </c>
      <c r="F1889" s="28" t="s">
        <v>322</v>
      </c>
      <c r="G1889" s="28" t="s">
        <v>2624</v>
      </c>
      <c r="H1889" s="28">
        <v>14093551</v>
      </c>
      <c r="I1889" s="28">
        <v>430210</v>
      </c>
      <c r="J1889" s="28">
        <v>0.99</v>
      </c>
      <c r="K1889" s="28">
        <v>17</v>
      </c>
      <c r="L1889" s="28">
        <v>2</v>
      </c>
    </row>
    <row r="1890" spans="1:12" ht="14.25" customHeight="1" x14ac:dyDescent="0.2">
      <c r="A1890" s="28">
        <v>1889</v>
      </c>
      <c r="B1890" s="28" t="s">
        <v>2629</v>
      </c>
      <c r="C1890" s="28" t="s">
        <v>2623</v>
      </c>
      <c r="D1890" s="28" t="s">
        <v>774</v>
      </c>
      <c r="E1890" s="28" t="s">
        <v>211</v>
      </c>
      <c r="F1890" s="28" t="s">
        <v>322</v>
      </c>
      <c r="G1890" s="28" t="s">
        <v>2624</v>
      </c>
      <c r="H1890" s="28">
        <v>10616595</v>
      </c>
      <c r="I1890" s="28">
        <v>327235</v>
      </c>
      <c r="J1890" s="28">
        <v>0.99</v>
      </c>
      <c r="K1890" s="28">
        <v>5</v>
      </c>
      <c r="L1890" s="28">
        <v>0</v>
      </c>
    </row>
    <row r="1891" spans="1:12" ht="14.25" customHeight="1" x14ac:dyDescent="0.2">
      <c r="A1891" s="28">
        <v>1890</v>
      </c>
      <c r="B1891" s="28" t="s">
        <v>2630</v>
      </c>
      <c r="C1891" s="28" t="s">
        <v>2623</v>
      </c>
      <c r="D1891" s="28" t="s">
        <v>774</v>
      </c>
      <c r="E1891" s="28" t="s">
        <v>211</v>
      </c>
      <c r="F1891" s="28" t="s">
        <v>322</v>
      </c>
      <c r="G1891" s="28" t="s">
        <v>2624</v>
      </c>
      <c r="H1891" s="28">
        <v>14014582</v>
      </c>
      <c r="I1891" s="28">
        <v>429479</v>
      </c>
      <c r="J1891" s="28">
        <v>0.99</v>
      </c>
      <c r="K1891" s="28">
        <v>25</v>
      </c>
      <c r="L1891" s="28">
        <v>0</v>
      </c>
    </row>
    <row r="1892" spans="1:12" ht="14.25" customHeight="1" x14ac:dyDescent="0.2">
      <c r="A1892" s="28">
        <v>1891</v>
      </c>
      <c r="B1892" s="28" t="s">
        <v>2631</v>
      </c>
      <c r="C1892" s="28" t="s">
        <v>2623</v>
      </c>
      <c r="D1892" s="28" t="s">
        <v>774</v>
      </c>
      <c r="E1892" s="28" t="s">
        <v>211</v>
      </c>
      <c r="F1892" s="28" t="s">
        <v>322</v>
      </c>
      <c r="G1892" s="28" t="s">
        <v>2624</v>
      </c>
      <c r="H1892" s="28">
        <v>10232537</v>
      </c>
      <c r="I1892" s="28">
        <v>314017</v>
      </c>
      <c r="J1892" s="28">
        <v>0.99</v>
      </c>
      <c r="K1892" s="28">
        <v>84</v>
      </c>
      <c r="L1892" s="28">
        <v>0</v>
      </c>
    </row>
    <row r="1893" spans="1:12" ht="14.25" customHeight="1" x14ac:dyDescent="0.2">
      <c r="A1893" s="28">
        <v>1892</v>
      </c>
      <c r="B1893" s="28" t="s">
        <v>2632</v>
      </c>
      <c r="C1893" s="28" t="s">
        <v>2623</v>
      </c>
      <c r="D1893" s="28" t="s">
        <v>774</v>
      </c>
      <c r="E1893" s="28" t="s">
        <v>211</v>
      </c>
      <c r="F1893" s="28" t="s">
        <v>322</v>
      </c>
      <c r="G1893" s="28" t="s">
        <v>2624</v>
      </c>
      <c r="H1893" s="28">
        <v>17162741</v>
      </c>
      <c r="I1893" s="28">
        <v>527986</v>
      </c>
      <c r="J1893" s="28">
        <v>0.99</v>
      </c>
      <c r="K1893" s="28">
        <v>75</v>
      </c>
      <c r="L1893" s="28">
        <v>1</v>
      </c>
    </row>
    <row r="1894" spans="1:12" ht="14.25" customHeight="1" x14ac:dyDescent="0.2">
      <c r="A1894" s="28">
        <v>1893</v>
      </c>
      <c r="B1894" s="28" t="s">
        <v>2633</v>
      </c>
      <c r="C1894" s="28" t="s">
        <v>2634</v>
      </c>
      <c r="D1894" s="28" t="s">
        <v>774</v>
      </c>
      <c r="E1894" s="28" t="s">
        <v>211</v>
      </c>
      <c r="F1894" s="28" t="s">
        <v>322</v>
      </c>
      <c r="G1894" s="28" t="s">
        <v>2635</v>
      </c>
      <c r="H1894" s="28">
        <v>13254874</v>
      </c>
      <c r="I1894" s="28">
        <v>403382</v>
      </c>
      <c r="J1894" s="28">
        <v>0.99</v>
      </c>
      <c r="K1894" s="28">
        <v>77</v>
      </c>
      <c r="L1894" s="28">
        <v>1</v>
      </c>
    </row>
    <row r="1895" spans="1:12" ht="14.25" customHeight="1" x14ac:dyDescent="0.2">
      <c r="A1895" s="28">
        <v>1894</v>
      </c>
      <c r="B1895" s="28" t="s">
        <v>2634</v>
      </c>
      <c r="C1895" s="28" t="s">
        <v>2634</v>
      </c>
      <c r="D1895" s="28" t="s">
        <v>774</v>
      </c>
      <c r="E1895" s="28" t="s">
        <v>211</v>
      </c>
      <c r="F1895" s="28" t="s">
        <v>322</v>
      </c>
      <c r="G1895" s="28" t="s">
        <v>2636</v>
      </c>
      <c r="H1895" s="28">
        <v>19262088</v>
      </c>
      <c r="I1895" s="28">
        <v>585769</v>
      </c>
      <c r="J1895" s="28">
        <v>0.99</v>
      </c>
      <c r="K1895" s="28">
        <v>54</v>
      </c>
      <c r="L1895" s="28">
        <v>1</v>
      </c>
    </row>
    <row r="1896" spans="1:12" ht="14.25" customHeight="1" x14ac:dyDescent="0.2">
      <c r="A1896" s="28">
        <v>1895</v>
      </c>
      <c r="B1896" s="28" t="s">
        <v>2637</v>
      </c>
      <c r="C1896" s="28" t="s">
        <v>2634</v>
      </c>
      <c r="D1896" s="28" t="s">
        <v>774</v>
      </c>
      <c r="E1896" s="28" t="s">
        <v>211</v>
      </c>
      <c r="F1896" s="28" t="s">
        <v>322</v>
      </c>
      <c r="G1896" s="28" t="s">
        <v>2636</v>
      </c>
      <c r="H1896" s="28">
        <v>12747894</v>
      </c>
      <c r="I1896" s="28">
        <v>385828</v>
      </c>
      <c r="J1896" s="28">
        <v>0.99</v>
      </c>
      <c r="K1896" s="28">
        <v>75</v>
      </c>
      <c r="L1896" s="28">
        <v>1</v>
      </c>
    </row>
    <row r="1897" spans="1:12" ht="14.25" customHeight="1" x14ac:dyDescent="0.2">
      <c r="A1897" s="28">
        <v>1896</v>
      </c>
      <c r="B1897" s="28" t="s">
        <v>2638</v>
      </c>
      <c r="C1897" s="28" t="s">
        <v>2634</v>
      </c>
      <c r="D1897" s="28" t="s">
        <v>774</v>
      </c>
      <c r="E1897" s="28" t="s">
        <v>211</v>
      </c>
      <c r="F1897" s="28" t="s">
        <v>322</v>
      </c>
      <c r="G1897" s="28" t="s">
        <v>2639</v>
      </c>
      <c r="H1897" s="28">
        <v>14695721</v>
      </c>
      <c r="I1897" s="28">
        <v>446484</v>
      </c>
      <c r="J1897" s="28">
        <v>0.99</v>
      </c>
      <c r="K1897" s="28">
        <v>17</v>
      </c>
      <c r="L1897" s="28">
        <v>0</v>
      </c>
    </row>
    <row r="1898" spans="1:12" ht="14.25" customHeight="1" x14ac:dyDescent="0.2">
      <c r="A1898" s="28">
        <v>1897</v>
      </c>
      <c r="B1898" s="28" t="s">
        <v>2640</v>
      </c>
      <c r="C1898" s="28" t="s">
        <v>2634</v>
      </c>
      <c r="D1898" s="28" t="s">
        <v>774</v>
      </c>
      <c r="E1898" s="28" t="s">
        <v>211</v>
      </c>
      <c r="F1898" s="28" t="s">
        <v>322</v>
      </c>
      <c r="G1898" s="28" t="s">
        <v>2641</v>
      </c>
      <c r="H1898" s="28">
        <v>13013990</v>
      </c>
      <c r="I1898" s="28">
        <v>395389</v>
      </c>
      <c r="J1898" s="28">
        <v>0.99</v>
      </c>
      <c r="K1898" s="28">
        <v>6</v>
      </c>
      <c r="L1898" s="28">
        <v>0</v>
      </c>
    </row>
    <row r="1899" spans="1:12" ht="14.25" customHeight="1" x14ac:dyDescent="0.2">
      <c r="A1899" s="28">
        <v>1898</v>
      </c>
      <c r="B1899" s="28" t="s">
        <v>324</v>
      </c>
      <c r="C1899" s="28" t="s">
        <v>2634</v>
      </c>
      <c r="D1899" s="28" t="s">
        <v>774</v>
      </c>
      <c r="E1899" s="28" t="s">
        <v>211</v>
      </c>
      <c r="F1899" s="28" t="s">
        <v>322</v>
      </c>
      <c r="G1899" s="28" t="s">
        <v>2641</v>
      </c>
      <c r="H1899" s="28">
        <v>11377339</v>
      </c>
      <c r="I1899" s="28">
        <v>345547</v>
      </c>
      <c r="J1899" s="28">
        <v>0.99</v>
      </c>
      <c r="K1899" s="28">
        <v>83</v>
      </c>
      <c r="L1899" s="28">
        <v>1</v>
      </c>
    </row>
    <row r="1900" spans="1:12" ht="14.25" customHeight="1" x14ac:dyDescent="0.2">
      <c r="A1900" s="28">
        <v>1899</v>
      </c>
      <c r="B1900" s="28" t="s">
        <v>2642</v>
      </c>
      <c r="C1900" s="28" t="s">
        <v>2634</v>
      </c>
      <c r="D1900" s="28" t="s">
        <v>774</v>
      </c>
      <c r="E1900" s="28" t="s">
        <v>211</v>
      </c>
      <c r="F1900" s="28" t="s">
        <v>322</v>
      </c>
      <c r="G1900" s="28" t="s">
        <v>2524</v>
      </c>
      <c r="H1900" s="28">
        <v>15198986</v>
      </c>
      <c r="I1900" s="28">
        <v>464039</v>
      </c>
      <c r="J1900" s="28">
        <v>0.99</v>
      </c>
      <c r="K1900" s="28">
        <v>15</v>
      </c>
      <c r="L1900" s="28">
        <v>1</v>
      </c>
    </row>
    <row r="1901" spans="1:12" ht="14.25" customHeight="1" x14ac:dyDescent="0.2">
      <c r="A1901" s="28">
        <v>1900</v>
      </c>
      <c r="B1901" s="28" t="s">
        <v>2643</v>
      </c>
      <c r="C1901" s="28" t="s">
        <v>2634</v>
      </c>
      <c r="D1901" s="28" t="s">
        <v>774</v>
      </c>
      <c r="E1901" s="28" t="s">
        <v>211</v>
      </c>
      <c r="F1901" s="28" t="s">
        <v>322</v>
      </c>
      <c r="G1901" s="28" t="s">
        <v>2644</v>
      </c>
      <c r="H1901" s="28">
        <v>19243795</v>
      </c>
      <c r="I1901" s="28">
        <v>588564</v>
      </c>
      <c r="J1901" s="28">
        <v>0.99</v>
      </c>
      <c r="K1901" s="28">
        <v>0</v>
      </c>
      <c r="L1901" s="28">
        <v>1</v>
      </c>
    </row>
    <row r="1902" spans="1:12" ht="14.25" customHeight="1" x14ac:dyDescent="0.2">
      <c r="A1902" s="28">
        <v>1901</v>
      </c>
      <c r="B1902" s="28" t="s">
        <v>2645</v>
      </c>
      <c r="C1902" s="28" t="s">
        <v>2634</v>
      </c>
      <c r="D1902" s="28" t="s">
        <v>774</v>
      </c>
      <c r="E1902" s="28" t="s">
        <v>211</v>
      </c>
      <c r="F1902" s="28" t="s">
        <v>322</v>
      </c>
      <c r="G1902" s="28" t="s">
        <v>2524</v>
      </c>
      <c r="H1902" s="28">
        <v>10302828</v>
      </c>
      <c r="I1902" s="28">
        <v>313991</v>
      </c>
      <c r="J1902" s="28">
        <v>0.99</v>
      </c>
      <c r="K1902" s="28">
        <v>10</v>
      </c>
      <c r="L1902" s="28">
        <v>0</v>
      </c>
    </row>
    <row r="1903" spans="1:12" ht="14.25" customHeight="1" x14ac:dyDescent="0.2">
      <c r="A1903" s="28">
        <v>1902</v>
      </c>
      <c r="B1903" s="28" t="s">
        <v>2646</v>
      </c>
      <c r="C1903" s="28" t="s">
        <v>2647</v>
      </c>
      <c r="D1903" s="28" t="s">
        <v>1060</v>
      </c>
      <c r="E1903" s="28" t="s">
        <v>211</v>
      </c>
      <c r="F1903" s="28" t="s">
        <v>305</v>
      </c>
      <c r="G1903" s="28" t="s">
        <v>2648</v>
      </c>
      <c r="H1903" s="28">
        <v>6776219</v>
      </c>
      <c r="I1903" s="28">
        <v>207725</v>
      </c>
      <c r="J1903" s="28">
        <v>0.99</v>
      </c>
      <c r="K1903" s="28">
        <v>27</v>
      </c>
      <c r="L1903" s="28">
        <v>0</v>
      </c>
    </row>
    <row r="1904" spans="1:12" ht="14.25" customHeight="1" x14ac:dyDescent="0.2">
      <c r="A1904" s="28">
        <v>1903</v>
      </c>
      <c r="B1904" s="28" t="s">
        <v>2649</v>
      </c>
      <c r="C1904" s="28" t="s">
        <v>2647</v>
      </c>
      <c r="D1904" s="28" t="s">
        <v>1060</v>
      </c>
      <c r="E1904" s="28" t="s">
        <v>211</v>
      </c>
      <c r="F1904" s="28" t="s">
        <v>305</v>
      </c>
      <c r="G1904" s="28" t="s">
        <v>2650</v>
      </c>
      <c r="H1904" s="28">
        <v>7505275</v>
      </c>
      <c r="I1904" s="28">
        <v>233534</v>
      </c>
      <c r="J1904" s="28">
        <v>0.99</v>
      </c>
      <c r="K1904" s="28">
        <v>78</v>
      </c>
      <c r="L1904" s="28">
        <v>0</v>
      </c>
    </row>
    <row r="1905" spans="1:12" ht="14.25" customHeight="1" x14ac:dyDescent="0.2">
      <c r="A1905" s="28">
        <v>1904</v>
      </c>
      <c r="B1905" s="28" t="s">
        <v>2651</v>
      </c>
      <c r="C1905" s="28" t="s">
        <v>2647</v>
      </c>
      <c r="D1905" s="28" t="s">
        <v>1060</v>
      </c>
      <c r="E1905" s="28" t="s">
        <v>211</v>
      </c>
      <c r="F1905" s="28" t="s">
        <v>305</v>
      </c>
      <c r="G1905" s="28" t="s">
        <v>2652</v>
      </c>
      <c r="H1905" s="28">
        <v>6977626</v>
      </c>
      <c r="I1905" s="28">
        <v>214961</v>
      </c>
      <c r="J1905" s="28">
        <v>0.99</v>
      </c>
      <c r="K1905" s="28">
        <v>30</v>
      </c>
      <c r="L1905" s="28">
        <v>2</v>
      </c>
    </row>
    <row r="1906" spans="1:12" ht="14.25" customHeight="1" x14ac:dyDescent="0.2">
      <c r="A1906" s="28">
        <v>1905</v>
      </c>
      <c r="B1906" s="28" t="s">
        <v>2653</v>
      </c>
      <c r="C1906" s="28" t="s">
        <v>2647</v>
      </c>
      <c r="D1906" s="28" t="s">
        <v>1060</v>
      </c>
      <c r="E1906" s="28" t="s">
        <v>211</v>
      </c>
      <c r="F1906" s="28" t="s">
        <v>305</v>
      </c>
      <c r="G1906" s="28" t="s">
        <v>2654</v>
      </c>
      <c r="H1906" s="28">
        <v>8581144</v>
      </c>
      <c r="I1906" s="28">
        <v>268016</v>
      </c>
      <c r="J1906" s="28">
        <v>0.99</v>
      </c>
      <c r="K1906" s="28">
        <v>18</v>
      </c>
      <c r="L1906" s="28">
        <v>1</v>
      </c>
    </row>
    <row r="1907" spans="1:12" ht="14.25" customHeight="1" x14ac:dyDescent="0.2">
      <c r="A1907" s="28">
        <v>1906</v>
      </c>
      <c r="B1907" s="28" t="s">
        <v>2647</v>
      </c>
      <c r="C1907" s="28" t="s">
        <v>2647</v>
      </c>
      <c r="D1907" s="28" t="s">
        <v>1060</v>
      </c>
      <c r="E1907" s="28" t="s">
        <v>211</v>
      </c>
      <c r="F1907" s="28" t="s">
        <v>305</v>
      </c>
      <c r="G1907" s="28" t="s">
        <v>2655</v>
      </c>
      <c r="H1907" s="28">
        <v>6807707</v>
      </c>
      <c r="I1907" s="28">
        <v>209893</v>
      </c>
      <c r="J1907" s="28">
        <v>0.99</v>
      </c>
      <c r="K1907" s="28">
        <v>34</v>
      </c>
      <c r="L1907" s="28">
        <v>0</v>
      </c>
    </row>
    <row r="1908" spans="1:12" ht="14.25" customHeight="1" x14ac:dyDescent="0.2">
      <c r="A1908" s="28">
        <v>1907</v>
      </c>
      <c r="B1908" s="28" t="s">
        <v>2656</v>
      </c>
      <c r="C1908" s="28" t="s">
        <v>2647</v>
      </c>
      <c r="D1908" s="28" t="s">
        <v>1060</v>
      </c>
      <c r="E1908" s="28" t="s">
        <v>211</v>
      </c>
      <c r="F1908" s="28" t="s">
        <v>305</v>
      </c>
      <c r="G1908" s="28" t="s">
        <v>2657</v>
      </c>
      <c r="H1908" s="28">
        <v>10218398</v>
      </c>
      <c r="I1908" s="28">
        <v>318328</v>
      </c>
      <c r="J1908" s="28">
        <v>0.99</v>
      </c>
      <c r="K1908" s="28">
        <v>45</v>
      </c>
      <c r="L1908" s="28">
        <v>0</v>
      </c>
    </row>
    <row r="1909" spans="1:12" ht="14.25" customHeight="1" x14ac:dyDescent="0.2">
      <c r="A1909" s="28">
        <v>1908</v>
      </c>
      <c r="B1909" s="28" t="s">
        <v>1067</v>
      </c>
      <c r="C1909" s="28" t="s">
        <v>2647</v>
      </c>
      <c r="D1909" s="28" t="s">
        <v>1060</v>
      </c>
      <c r="E1909" s="28" t="s">
        <v>211</v>
      </c>
      <c r="F1909" s="28" t="s">
        <v>305</v>
      </c>
      <c r="G1909" s="28" t="s">
        <v>2658</v>
      </c>
      <c r="H1909" s="28">
        <v>8980400</v>
      </c>
      <c r="I1909" s="28">
        <v>276871</v>
      </c>
      <c r="J1909" s="28">
        <v>0.99</v>
      </c>
      <c r="K1909" s="28">
        <v>20</v>
      </c>
      <c r="L1909" s="28">
        <v>0</v>
      </c>
    </row>
    <row r="1910" spans="1:12" ht="14.25" customHeight="1" x14ac:dyDescent="0.2">
      <c r="A1910" s="28">
        <v>1909</v>
      </c>
      <c r="B1910" s="28" t="s">
        <v>2659</v>
      </c>
      <c r="C1910" s="28" t="s">
        <v>2647</v>
      </c>
      <c r="D1910" s="28" t="s">
        <v>1060</v>
      </c>
      <c r="E1910" s="28" t="s">
        <v>211</v>
      </c>
      <c r="F1910" s="28" t="s">
        <v>305</v>
      </c>
      <c r="G1910" s="28" t="s">
        <v>2660</v>
      </c>
      <c r="H1910" s="28">
        <v>5395412</v>
      </c>
      <c r="I1910" s="28">
        <v>168594</v>
      </c>
      <c r="J1910" s="28">
        <v>0.99</v>
      </c>
      <c r="K1910" s="28">
        <v>91</v>
      </c>
      <c r="L1910" s="28">
        <v>1</v>
      </c>
    </row>
    <row r="1911" spans="1:12" ht="14.25" customHeight="1" x14ac:dyDescent="0.2">
      <c r="A1911" s="28">
        <v>1910</v>
      </c>
      <c r="B1911" s="28" t="s">
        <v>2661</v>
      </c>
      <c r="C1911" s="28" t="s">
        <v>2647</v>
      </c>
      <c r="D1911" s="28" t="s">
        <v>1060</v>
      </c>
      <c r="E1911" s="28" t="s">
        <v>211</v>
      </c>
      <c r="F1911" s="28" t="s">
        <v>305</v>
      </c>
      <c r="G1911" s="28" t="s">
        <v>2662</v>
      </c>
      <c r="H1911" s="28">
        <v>4293394</v>
      </c>
      <c r="I1911" s="28">
        <v>134191</v>
      </c>
      <c r="J1911" s="28">
        <v>0.99</v>
      </c>
      <c r="K1911" s="28">
        <v>60</v>
      </c>
      <c r="L1911" s="28">
        <v>1</v>
      </c>
    </row>
    <row r="1912" spans="1:12" ht="14.25" customHeight="1" x14ac:dyDescent="0.2">
      <c r="A1912" s="28">
        <v>1911</v>
      </c>
      <c r="B1912" s="28" t="s">
        <v>2663</v>
      </c>
      <c r="C1912" s="28" t="s">
        <v>2647</v>
      </c>
      <c r="D1912" s="28" t="s">
        <v>1060</v>
      </c>
      <c r="E1912" s="28" t="s">
        <v>211</v>
      </c>
      <c r="F1912" s="28" t="s">
        <v>305</v>
      </c>
      <c r="G1912" s="28" t="s">
        <v>2664</v>
      </c>
      <c r="H1912" s="28">
        <v>6219487</v>
      </c>
      <c r="I1912" s="28">
        <v>191320</v>
      </c>
      <c r="J1912" s="28">
        <v>0.99</v>
      </c>
      <c r="K1912" s="28">
        <v>89</v>
      </c>
      <c r="L1912" s="28">
        <v>1</v>
      </c>
    </row>
    <row r="1913" spans="1:12" ht="14.25" customHeight="1" x14ac:dyDescent="0.2">
      <c r="A1913" s="28">
        <v>1912</v>
      </c>
      <c r="B1913" s="28" t="s">
        <v>2665</v>
      </c>
      <c r="C1913" s="28" t="s">
        <v>2647</v>
      </c>
      <c r="D1913" s="28" t="s">
        <v>1060</v>
      </c>
      <c r="E1913" s="28" t="s">
        <v>211</v>
      </c>
      <c r="F1913" s="28" t="s">
        <v>305</v>
      </c>
      <c r="G1913" s="28" t="s">
        <v>2648</v>
      </c>
      <c r="H1913" s="28">
        <v>6382079</v>
      </c>
      <c r="I1913" s="28">
        <v>196388</v>
      </c>
      <c r="J1913" s="28">
        <v>0.99</v>
      </c>
      <c r="K1913" s="28">
        <v>93</v>
      </c>
      <c r="L1913" s="28">
        <v>0</v>
      </c>
    </row>
    <row r="1914" spans="1:12" ht="14.25" customHeight="1" x14ac:dyDescent="0.2">
      <c r="A1914" s="28">
        <v>1913</v>
      </c>
      <c r="B1914" s="28" t="s">
        <v>2666</v>
      </c>
      <c r="C1914" s="28" t="s">
        <v>2647</v>
      </c>
      <c r="D1914" s="28" t="s">
        <v>1060</v>
      </c>
      <c r="E1914" s="28" t="s">
        <v>211</v>
      </c>
      <c r="F1914" s="28" t="s">
        <v>305</v>
      </c>
      <c r="G1914" s="28" t="s">
        <v>2657</v>
      </c>
      <c r="H1914" s="28">
        <v>6900619</v>
      </c>
      <c r="I1914" s="28">
        <v>212558</v>
      </c>
      <c r="J1914" s="28">
        <v>0.99</v>
      </c>
      <c r="K1914" s="28">
        <v>84</v>
      </c>
      <c r="L1914" s="28">
        <v>1</v>
      </c>
    </row>
    <row r="1915" spans="1:12" ht="14.25" customHeight="1" x14ac:dyDescent="0.2">
      <c r="A1915" s="28">
        <v>1914</v>
      </c>
      <c r="B1915" s="28" t="s">
        <v>2667</v>
      </c>
      <c r="C1915" s="28" t="s">
        <v>2647</v>
      </c>
      <c r="D1915" s="28" t="s">
        <v>1060</v>
      </c>
      <c r="E1915" s="28" t="s">
        <v>211</v>
      </c>
      <c r="F1915" s="28" t="s">
        <v>305</v>
      </c>
      <c r="G1915" s="28" t="s">
        <v>2668</v>
      </c>
      <c r="H1915" s="28">
        <v>9912387</v>
      </c>
      <c r="I1915" s="28">
        <v>309786</v>
      </c>
      <c r="J1915" s="28">
        <v>0.99</v>
      </c>
      <c r="K1915" s="28">
        <v>67</v>
      </c>
      <c r="L1915" s="28">
        <v>0</v>
      </c>
    </row>
    <row r="1916" spans="1:12" ht="14.25" customHeight="1" x14ac:dyDescent="0.2">
      <c r="A1916" s="28">
        <v>1915</v>
      </c>
      <c r="B1916" s="28" t="s">
        <v>2669</v>
      </c>
      <c r="C1916" s="28" t="s">
        <v>2647</v>
      </c>
      <c r="D1916" s="28" t="s">
        <v>1060</v>
      </c>
      <c r="E1916" s="28" t="s">
        <v>211</v>
      </c>
      <c r="F1916" s="28" t="s">
        <v>305</v>
      </c>
      <c r="G1916" s="28" t="s">
        <v>2664</v>
      </c>
      <c r="H1916" s="28">
        <v>6254796</v>
      </c>
      <c r="I1916" s="28">
        <v>192078</v>
      </c>
      <c r="J1916" s="28">
        <v>0.99</v>
      </c>
      <c r="K1916" s="28">
        <v>76</v>
      </c>
      <c r="L1916" s="28">
        <v>0</v>
      </c>
    </row>
    <row r="1917" spans="1:12" ht="14.25" customHeight="1" x14ac:dyDescent="0.2">
      <c r="A1917" s="28">
        <v>1916</v>
      </c>
      <c r="B1917" s="28" t="s">
        <v>2670</v>
      </c>
      <c r="C1917" s="28" t="s">
        <v>2671</v>
      </c>
      <c r="D1917" s="28" t="s">
        <v>2672</v>
      </c>
      <c r="E1917" s="28" t="s">
        <v>211</v>
      </c>
      <c r="F1917" s="28" t="s">
        <v>490</v>
      </c>
      <c r="G1917" s="28" t="s">
        <v>2673</v>
      </c>
      <c r="H1917" s="28">
        <v>7797308</v>
      </c>
      <c r="I1917" s="28">
        <v>238550</v>
      </c>
      <c r="J1917" s="28">
        <v>0.99</v>
      </c>
      <c r="K1917" s="28">
        <v>46</v>
      </c>
      <c r="L1917" s="28">
        <v>1</v>
      </c>
    </row>
    <row r="1918" spans="1:12" ht="14.25" customHeight="1" x14ac:dyDescent="0.2">
      <c r="A1918" s="28">
        <v>1917</v>
      </c>
      <c r="B1918" s="28" t="s">
        <v>2674</v>
      </c>
      <c r="C1918" s="28" t="s">
        <v>2671</v>
      </c>
      <c r="D1918" s="28" t="s">
        <v>2672</v>
      </c>
      <c r="E1918" s="28" t="s">
        <v>211</v>
      </c>
      <c r="F1918" s="28" t="s">
        <v>490</v>
      </c>
      <c r="G1918" s="28" t="s">
        <v>2675</v>
      </c>
      <c r="H1918" s="28">
        <v>7125225</v>
      </c>
      <c r="I1918" s="28">
        <v>220081</v>
      </c>
      <c r="J1918" s="28">
        <v>0.99</v>
      </c>
      <c r="K1918" s="28">
        <v>22</v>
      </c>
      <c r="L1918" s="28">
        <v>1</v>
      </c>
    </row>
    <row r="1919" spans="1:12" ht="14.25" customHeight="1" x14ac:dyDescent="0.2">
      <c r="A1919" s="28">
        <v>1918</v>
      </c>
      <c r="B1919" s="28" t="s">
        <v>2676</v>
      </c>
      <c r="C1919" s="28" t="s">
        <v>2671</v>
      </c>
      <c r="D1919" s="28" t="s">
        <v>2672</v>
      </c>
      <c r="E1919" s="28" t="s">
        <v>211</v>
      </c>
      <c r="F1919" s="28" t="s">
        <v>490</v>
      </c>
      <c r="G1919" s="28" t="s">
        <v>2677</v>
      </c>
      <c r="H1919" s="28">
        <v>6523547</v>
      </c>
      <c r="I1919" s="28">
        <v>197694</v>
      </c>
      <c r="J1919" s="28">
        <v>0.99</v>
      </c>
      <c r="K1919" s="28">
        <v>44</v>
      </c>
      <c r="L1919" s="28">
        <v>1</v>
      </c>
    </row>
    <row r="1920" spans="1:12" ht="14.25" customHeight="1" x14ac:dyDescent="0.2">
      <c r="A1920" s="28">
        <v>1919</v>
      </c>
      <c r="B1920" s="28" t="s">
        <v>2678</v>
      </c>
      <c r="C1920" s="28" t="s">
        <v>2671</v>
      </c>
      <c r="D1920" s="28" t="s">
        <v>2672</v>
      </c>
      <c r="E1920" s="28" t="s">
        <v>211</v>
      </c>
      <c r="F1920" s="28" t="s">
        <v>490</v>
      </c>
      <c r="G1920" s="28" t="s">
        <v>2679</v>
      </c>
      <c r="H1920" s="28">
        <v>6803970</v>
      </c>
      <c r="I1920" s="28">
        <v>209397</v>
      </c>
      <c r="J1920" s="28">
        <v>0.99</v>
      </c>
      <c r="K1920" s="28">
        <v>73</v>
      </c>
      <c r="L1920" s="28">
        <v>0</v>
      </c>
    </row>
    <row r="1921" spans="1:12" ht="14.25" customHeight="1" x14ac:dyDescent="0.2">
      <c r="A1921" s="28">
        <v>1920</v>
      </c>
      <c r="B1921" s="28" t="s">
        <v>2680</v>
      </c>
      <c r="C1921" s="28" t="s">
        <v>2671</v>
      </c>
      <c r="D1921" s="28" t="s">
        <v>2672</v>
      </c>
      <c r="E1921" s="28" t="s">
        <v>211</v>
      </c>
      <c r="F1921" s="28" t="s">
        <v>490</v>
      </c>
      <c r="G1921" s="28" t="s">
        <v>2681</v>
      </c>
      <c r="H1921" s="28">
        <v>8144179</v>
      </c>
      <c r="I1921" s="28">
        <v>245551</v>
      </c>
      <c r="J1921" s="28">
        <v>0.99</v>
      </c>
      <c r="K1921" s="28">
        <v>98</v>
      </c>
      <c r="L1921" s="28">
        <v>0</v>
      </c>
    </row>
    <row r="1922" spans="1:12" ht="14.25" customHeight="1" x14ac:dyDescent="0.2">
      <c r="A1922" s="28">
        <v>1921</v>
      </c>
      <c r="B1922" s="28" t="s">
        <v>2682</v>
      </c>
      <c r="C1922" s="28" t="s">
        <v>2671</v>
      </c>
      <c r="D1922" s="28" t="s">
        <v>2672</v>
      </c>
      <c r="E1922" s="28" t="s">
        <v>211</v>
      </c>
      <c r="F1922" s="28" t="s">
        <v>490</v>
      </c>
      <c r="G1922" s="28" t="s">
        <v>2681</v>
      </c>
      <c r="H1922" s="28">
        <v>9126170</v>
      </c>
      <c r="I1922" s="28">
        <v>275748</v>
      </c>
      <c r="J1922" s="28">
        <v>0.99</v>
      </c>
      <c r="K1922" s="28">
        <v>3</v>
      </c>
      <c r="L1922" s="28">
        <v>0</v>
      </c>
    </row>
    <row r="1923" spans="1:12" ht="14.25" customHeight="1" x14ac:dyDescent="0.2">
      <c r="A1923" s="28">
        <v>1922</v>
      </c>
      <c r="B1923" s="28" t="s">
        <v>2683</v>
      </c>
      <c r="C1923" s="28" t="s">
        <v>2671</v>
      </c>
      <c r="D1923" s="28" t="s">
        <v>2672</v>
      </c>
      <c r="E1923" s="28" t="s">
        <v>211</v>
      </c>
      <c r="F1923" s="28" t="s">
        <v>490</v>
      </c>
      <c r="G1923" s="28" t="s">
        <v>2681</v>
      </c>
      <c r="H1923" s="28">
        <v>6542289</v>
      </c>
      <c r="I1923" s="28">
        <v>199758</v>
      </c>
      <c r="J1923" s="28">
        <v>0.99</v>
      </c>
      <c r="K1923" s="28">
        <v>97</v>
      </c>
      <c r="L1923" s="28">
        <v>2</v>
      </c>
    </row>
    <row r="1924" spans="1:12" ht="14.25" customHeight="1" x14ac:dyDescent="0.2">
      <c r="A1924" s="28">
        <v>1923</v>
      </c>
      <c r="B1924" s="28" t="s">
        <v>1199</v>
      </c>
      <c r="C1924" s="28" t="s">
        <v>2671</v>
      </c>
      <c r="D1924" s="28" t="s">
        <v>2672</v>
      </c>
      <c r="E1924" s="28" t="s">
        <v>211</v>
      </c>
      <c r="F1924" s="28" t="s">
        <v>490</v>
      </c>
      <c r="G1924" s="28" t="s">
        <v>2681</v>
      </c>
      <c r="H1924" s="28">
        <v>5252560</v>
      </c>
      <c r="I1924" s="28">
        <v>155428</v>
      </c>
      <c r="J1924" s="28">
        <v>0.99</v>
      </c>
      <c r="K1924" s="28">
        <v>24</v>
      </c>
      <c r="L1924" s="28">
        <v>1</v>
      </c>
    </row>
    <row r="1925" spans="1:12" ht="14.25" customHeight="1" x14ac:dyDescent="0.2">
      <c r="A1925" s="28">
        <v>1924</v>
      </c>
      <c r="B1925" s="28" t="s">
        <v>2684</v>
      </c>
      <c r="C1925" s="28" t="s">
        <v>2671</v>
      </c>
      <c r="D1925" s="28" t="s">
        <v>2672</v>
      </c>
      <c r="E1925" s="28" t="s">
        <v>211</v>
      </c>
      <c r="F1925" s="28" t="s">
        <v>490</v>
      </c>
      <c r="G1925" s="28" t="s">
        <v>2685</v>
      </c>
      <c r="H1925" s="28">
        <v>7032626</v>
      </c>
      <c r="I1925" s="28">
        <v>215353</v>
      </c>
      <c r="J1925" s="28">
        <v>0.99</v>
      </c>
      <c r="K1925" s="28">
        <v>74</v>
      </c>
      <c r="L1925" s="28">
        <v>0</v>
      </c>
    </row>
    <row r="1926" spans="1:12" ht="14.25" customHeight="1" x14ac:dyDescent="0.2">
      <c r="A1926" s="28">
        <v>1925</v>
      </c>
      <c r="B1926" s="28" t="s">
        <v>2686</v>
      </c>
      <c r="C1926" s="28" t="s">
        <v>2671</v>
      </c>
      <c r="D1926" s="28" t="s">
        <v>2672</v>
      </c>
      <c r="E1926" s="28" t="s">
        <v>211</v>
      </c>
      <c r="F1926" s="28" t="s">
        <v>490</v>
      </c>
      <c r="G1926" s="28" t="s">
        <v>2687</v>
      </c>
      <c r="H1926" s="28">
        <v>9893875</v>
      </c>
      <c r="I1926" s="28">
        <v>307200</v>
      </c>
      <c r="J1926" s="28">
        <v>0.99</v>
      </c>
      <c r="K1926" s="28">
        <v>43</v>
      </c>
      <c r="L1926" s="28">
        <v>0</v>
      </c>
    </row>
    <row r="1927" spans="1:12" ht="14.25" customHeight="1" x14ac:dyDescent="0.2">
      <c r="A1927" s="28">
        <v>1926</v>
      </c>
      <c r="B1927" s="28" t="s">
        <v>2688</v>
      </c>
      <c r="C1927" s="28" t="s">
        <v>2671</v>
      </c>
      <c r="D1927" s="28" t="s">
        <v>2672</v>
      </c>
      <c r="E1927" s="28" t="s">
        <v>211</v>
      </c>
      <c r="F1927" s="28" t="s">
        <v>490</v>
      </c>
      <c r="G1927" s="28" t="s">
        <v>2681</v>
      </c>
      <c r="H1927" s="28">
        <v>5098288</v>
      </c>
      <c r="I1927" s="28">
        <v>156212</v>
      </c>
      <c r="J1927" s="28">
        <v>0.99</v>
      </c>
      <c r="K1927" s="28">
        <v>12</v>
      </c>
      <c r="L1927" s="28">
        <v>0</v>
      </c>
    </row>
    <row r="1928" spans="1:12" ht="14.25" customHeight="1" x14ac:dyDescent="0.2">
      <c r="A1928" s="28">
        <v>1927</v>
      </c>
      <c r="B1928" s="28" t="s">
        <v>2689</v>
      </c>
      <c r="C1928" s="28" t="s">
        <v>2671</v>
      </c>
      <c r="D1928" s="28" t="s">
        <v>2672</v>
      </c>
      <c r="E1928" s="28" t="s">
        <v>211</v>
      </c>
      <c r="F1928" s="28" t="s">
        <v>490</v>
      </c>
      <c r="G1928" s="28" t="s">
        <v>2690</v>
      </c>
      <c r="H1928" s="28">
        <v>10626920</v>
      </c>
      <c r="I1928" s="28">
        <v>321828</v>
      </c>
      <c r="J1928" s="28">
        <v>0.99</v>
      </c>
      <c r="K1928" s="28">
        <v>33</v>
      </c>
      <c r="L1928" s="28">
        <v>1</v>
      </c>
    </row>
    <row r="1929" spans="1:12" ht="14.25" customHeight="1" x14ac:dyDescent="0.2">
      <c r="A1929" s="28">
        <v>1928</v>
      </c>
      <c r="B1929" s="28" t="s">
        <v>2691</v>
      </c>
      <c r="C1929" s="28" t="s">
        <v>2671</v>
      </c>
      <c r="D1929" s="28" t="s">
        <v>2672</v>
      </c>
      <c r="E1929" s="28" t="s">
        <v>211</v>
      </c>
      <c r="F1929" s="28" t="s">
        <v>490</v>
      </c>
      <c r="G1929" s="28" t="s">
        <v>2681</v>
      </c>
      <c r="H1929" s="28">
        <v>2371543</v>
      </c>
      <c r="I1929" s="28">
        <v>72463</v>
      </c>
      <c r="J1929" s="28">
        <v>0.99</v>
      </c>
      <c r="K1929" s="28">
        <v>62</v>
      </c>
      <c r="L1929" s="28">
        <v>1</v>
      </c>
    </row>
    <row r="1930" spans="1:12" ht="14.25" customHeight="1" x14ac:dyDescent="0.2">
      <c r="A1930" s="28">
        <v>1929</v>
      </c>
      <c r="B1930" s="28" t="s">
        <v>2692</v>
      </c>
      <c r="C1930" s="28" t="s">
        <v>2692</v>
      </c>
      <c r="D1930" s="28" t="s">
        <v>2672</v>
      </c>
      <c r="E1930" s="28" t="s">
        <v>211</v>
      </c>
      <c r="F1930" s="28" t="s">
        <v>490</v>
      </c>
      <c r="G1930" s="28" t="s">
        <v>2693</v>
      </c>
      <c r="H1930" s="28">
        <v>4921056</v>
      </c>
      <c r="I1930" s="28">
        <v>152293</v>
      </c>
      <c r="J1930" s="28">
        <v>0.99</v>
      </c>
      <c r="K1930" s="28">
        <v>95</v>
      </c>
      <c r="L1930" s="28">
        <v>0</v>
      </c>
    </row>
    <row r="1931" spans="1:12" ht="14.25" customHeight="1" x14ac:dyDescent="0.2">
      <c r="A1931" s="28">
        <v>1930</v>
      </c>
      <c r="B1931" s="28" t="s">
        <v>2694</v>
      </c>
      <c r="C1931" s="28" t="s">
        <v>2692</v>
      </c>
      <c r="D1931" s="28" t="s">
        <v>2672</v>
      </c>
      <c r="E1931" s="28" t="s">
        <v>211</v>
      </c>
      <c r="F1931" s="28" t="s">
        <v>490</v>
      </c>
      <c r="G1931" s="28" t="s">
        <v>2687</v>
      </c>
      <c r="H1931" s="28">
        <v>9258649</v>
      </c>
      <c r="I1931" s="28">
        <v>278099</v>
      </c>
      <c r="J1931" s="28">
        <v>0.99</v>
      </c>
      <c r="K1931" s="28">
        <v>44</v>
      </c>
      <c r="L1931" s="28">
        <v>0</v>
      </c>
    </row>
    <row r="1932" spans="1:12" ht="14.25" customHeight="1" x14ac:dyDescent="0.2">
      <c r="A1932" s="28">
        <v>1931</v>
      </c>
      <c r="B1932" s="28" t="s">
        <v>2695</v>
      </c>
      <c r="C1932" s="28" t="s">
        <v>2692</v>
      </c>
      <c r="D1932" s="28" t="s">
        <v>2672</v>
      </c>
      <c r="E1932" s="28" t="s">
        <v>211</v>
      </c>
      <c r="F1932" s="28" t="s">
        <v>490</v>
      </c>
      <c r="G1932" s="28" t="s">
        <v>2696</v>
      </c>
      <c r="H1932" s="28">
        <v>7506969</v>
      </c>
      <c r="I1932" s="28">
        <v>229564</v>
      </c>
      <c r="J1932" s="28">
        <v>0.99</v>
      </c>
      <c r="K1932" s="28">
        <v>22</v>
      </c>
      <c r="L1932" s="28">
        <v>1</v>
      </c>
    </row>
    <row r="1933" spans="1:12" ht="14.25" customHeight="1" x14ac:dyDescent="0.2">
      <c r="A1933" s="28">
        <v>1932</v>
      </c>
      <c r="B1933" s="28" t="s">
        <v>2697</v>
      </c>
      <c r="C1933" s="28" t="s">
        <v>2692</v>
      </c>
      <c r="D1933" s="28" t="s">
        <v>2672</v>
      </c>
      <c r="E1933" s="28" t="s">
        <v>211</v>
      </c>
      <c r="F1933" s="28" t="s">
        <v>490</v>
      </c>
      <c r="G1933" s="28" t="s">
        <v>2681</v>
      </c>
      <c r="H1933" s="28">
        <v>8805088</v>
      </c>
      <c r="I1933" s="28">
        <v>268721</v>
      </c>
      <c r="J1933" s="28">
        <v>0.99</v>
      </c>
      <c r="K1933" s="28">
        <v>88</v>
      </c>
      <c r="L1933" s="28">
        <v>1</v>
      </c>
    </row>
    <row r="1934" spans="1:12" ht="14.25" customHeight="1" x14ac:dyDescent="0.2">
      <c r="A1934" s="28">
        <v>1933</v>
      </c>
      <c r="B1934" s="28" t="s">
        <v>2698</v>
      </c>
      <c r="C1934" s="28" t="s">
        <v>2692</v>
      </c>
      <c r="D1934" s="28" t="s">
        <v>2672</v>
      </c>
      <c r="E1934" s="28" t="s">
        <v>211</v>
      </c>
      <c r="F1934" s="28" t="s">
        <v>490</v>
      </c>
      <c r="G1934" s="28" t="s">
        <v>2699</v>
      </c>
      <c r="H1934" s="28">
        <v>8237026</v>
      </c>
      <c r="I1934" s="28">
        <v>251297</v>
      </c>
      <c r="J1934" s="28">
        <v>0.99</v>
      </c>
      <c r="K1934" s="28">
        <v>15</v>
      </c>
      <c r="L1934" s="28">
        <v>0</v>
      </c>
    </row>
    <row r="1935" spans="1:12" ht="14.25" customHeight="1" x14ac:dyDescent="0.2">
      <c r="A1935" s="28">
        <v>1934</v>
      </c>
      <c r="B1935" s="28" t="s">
        <v>2700</v>
      </c>
      <c r="C1935" s="28" t="s">
        <v>2692</v>
      </c>
      <c r="D1935" s="28" t="s">
        <v>2672</v>
      </c>
      <c r="E1935" s="28" t="s">
        <v>211</v>
      </c>
      <c r="F1935" s="28" t="s">
        <v>490</v>
      </c>
      <c r="G1935" s="28" t="s">
        <v>2681</v>
      </c>
      <c r="H1935" s="28">
        <v>8874285</v>
      </c>
      <c r="I1935" s="28">
        <v>272796</v>
      </c>
      <c r="J1935" s="28">
        <v>0.99</v>
      </c>
      <c r="K1935" s="28">
        <v>19</v>
      </c>
      <c r="L1935" s="28">
        <v>1</v>
      </c>
    </row>
    <row r="1936" spans="1:12" ht="14.25" customHeight="1" x14ac:dyDescent="0.2">
      <c r="A1936" s="28">
        <v>1935</v>
      </c>
      <c r="B1936" s="28" t="s">
        <v>2701</v>
      </c>
      <c r="C1936" s="28" t="s">
        <v>2692</v>
      </c>
      <c r="D1936" s="28" t="s">
        <v>2672</v>
      </c>
      <c r="E1936" s="28" t="s">
        <v>211</v>
      </c>
      <c r="F1936" s="28" t="s">
        <v>490</v>
      </c>
      <c r="G1936" s="28" t="s">
        <v>2687</v>
      </c>
      <c r="H1936" s="28">
        <v>8708399</v>
      </c>
      <c r="I1936" s="28">
        <v>265665</v>
      </c>
      <c r="J1936" s="28">
        <v>0.99</v>
      </c>
      <c r="K1936" s="28">
        <v>56</v>
      </c>
      <c r="L1936" s="28">
        <v>0</v>
      </c>
    </row>
    <row r="1937" spans="1:12" ht="14.25" customHeight="1" x14ac:dyDescent="0.2">
      <c r="A1937" s="28">
        <v>1936</v>
      </c>
      <c r="B1937" s="28" t="s">
        <v>2702</v>
      </c>
      <c r="C1937" s="28" t="s">
        <v>2692</v>
      </c>
      <c r="D1937" s="28" t="s">
        <v>2672</v>
      </c>
      <c r="E1937" s="28" t="s">
        <v>211</v>
      </c>
      <c r="F1937" s="28" t="s">
        <v>490</v>
      </c>
      <c r="G1937" s="28" t="s">
        <v>2681</v>
      </c>
      <c r="H1937" s="28">
        <v>9426153</v>
      </c>
      <c r="I1937" s="28">
        <v>286249</v>
      </c>
      <c r="J1937" s="28">
        <v>0.99</v>
      </c>
      <c r="K1937" s="28">
        <v>69</v>
      </c>
      <c r="L1937" s="28">
        <v>1</v>
      </c>
    </row>
    <row r="1938" spans="1:12" ht="14.25" customHeight="1" x14ac:dyDescent="0.2">
      <c r="A1938" s="28">
        <v>1937</v>
      </c>
      <c r="B1938" s="28" t="s">
        <v>2703</v>
      </c>
      <c r="C1938" s="28" t="s">
        <v>2692</v>
      </c>
      <c r="D1938" s="28" t="s">
        <v>2672</v>
      </c>
      <c r="E1938" s="28" t="s">
        <v>211</v>
      </c>
      <c r="F1938" s="28" t="s">
        <v>490</v>
      </c>
      <c r="G1938" s="28" t="s">
        <v>2672</v>
      </c>
      <c r="H1938" s="28">
        <v>6898507</v>
      </c>
      <c r="I1938" s="28">
        <v>209737</v>
      </c>
      <c r="J1938" s="28">
        <v>0.99</v>
      </c>
      <c r="K1938" s="28">
        <v>50</v>
      </c>
      <c r="L1938" s="28">
        <v>0</v>
      </c>
    </row>
    <row r="1939" spans="1:12" ht="14.25" customHeight="1" x14ac:dyDescent="0.2">
      <c r="A1939" s="28">
        <v>1938</v>
      </c>
      <c r="B1939" s="28" t="s">
        <v>2704</v>
      </c>
      <c r="C1939" s="28" t="s">
        <v>2692</v>
      </c>
      <c r="D1939" s="28" t="s">
        <v>2672</v>
      </c>
      <c r="E1939" s="28" t="s">
        <v>211</v>
      </c>
      <c r="F1939" s="28" t="s">
        <v>490</v>
      </c>
      <c r="G1939" s="28" t="s">
        <v>2693</v>
      </c>
      <c r="H1939" s="28">
        <v>4583956</v>
      </c>
      <c r="I1939" s="28">
        <v>135732</v>
      </c>
      <c r="J1939" s="28">
        <v>0.99</v>
      </c>
      <c r="K1939" s="28">
        <v>83</v>
      </c>
      <c r="L1939" s="28">
        <v>0</v>
      </c>
    </row>
    <row r="1940" spans="1:12" ht="14.25" customHeight="1" x14ac:dyDescent="0.2">
      <c r="A1940" s="28">
        <v>1939</v>
      </c>
      <c r="B1940" s="28" t="s">
        <v>2705</v>
      </c>
      <c r="C1940" s="28" t="s">
        <v>2692</v>
      </c>
      <c r="D1940" s="28" t="s">
        <v>2672</v>
      </c>
      <c r="E1940" s="28" t="s">
        <v>211</v>
      </c>
      <c r="F1940" s="28" t="s">
        <v>490</v>
      </c>
      <c r="G1940" s="28" t="s">
        <v>2706</v>
      </c>
      <c r="H1940" s="28">
        <v>4326333</v>
      </c>
      <c r="I1940" s="28">
        <v>133093</v>
      </c>
      <c r="J1940" s="28">
        <v>0.99</v>
      </c>
      <c r="K1940" s="28">
        <v>1</v>
      </c>
      <c r="L1940" s="28">
        <v>0</v>
      </c>
    </row>
    <row r="1941" spans="1:12" ht="14.25" customHeight="1" x14ac:dyDescent="0.2">
      <c r="A1941" s="28">
        <v>1940</v>
      </c>
      <c r="B1941" s="28" t="s">
        <v>2707</v>
      </c>
      <c r="C1941" s="28" t="s">
        <v>2692</v>
      </c>
      <c r="D1941" s="28" t="s">
        <v>2672</v>
      </c>
      <c r="E1941" s="28" t="s">
        <v>211</v>
      </c>
      <c r="F1941" s="28" t="s">
        <v>490</v>
      </c>
      <c r="G1941" s="28" t="s">
        <v>2708</v>
      </c>
      <c r="H1941" s="28">
        <v>13520382</v>
      </c>
      <c r="I1941" s="28">
        <v>413910</v>
      </c>
      <c r="J1941" s="28">
        <v>0.99</v>
      </c>
      <c r="K1941" s="28">
        <v>79</v>
      </c>
      <c r="L1941" s="28">
        <v>2</v>
      </c>
    </row>
    <row r="1942" spans="1:12" ht="14.25" customHeight="1" x14ac:dyDescent="0.2">
      <c r="A1942" s="28">
        <v>1941</v>
      </c>
      <c r="B1942" s="28" t="s">
        <v>2709</v>
      </c>
      <c r="C1942" s="28" t="s">
        <v>2692</v>
      </c>
      <c r="D1942" s="28" t="s">
        <v>2672</v>
      </c>
      <c r="E1942" s="28" t="s">
        <v>211</v>
      </c>
      <c r="F1942" s="28" t="s">
        <v>490</v>
      </c>
      <c r="G1942" s="28" t="s">
        <v>2710</v>
      </c>
      <c r="H1942" s="28">
        <v>6787901</v>
      </c>
      <c r="I1942" s="28">
        <v>205688</v>
      </c>
      <c r="J1942" s="28">
        <v>0.99</v>
      </c>
      <c r="K1942" s="28">
        <v>53</v>
      </c>
      <c r="L1942" s="28">
        <v>1</v>
      </c>
    </row>
    <row r="1943" spans="1:12" ht="14.25" customHeight="1" x14ac:dyDescent="0.2">
      <c r="A1943" s="28">
        <v>1942</v>
      </c>
      <c r="B1943" s="28" t="s">
        <v>2711</v>
      </c>
      <c r="C1943" s="28" t="s">
        <v>2711</v>
      </c>
      <c r="D1943" s="28" t="s">
        <v>2712</v>
      </c>
      <c r="E1943" s="28" t="s">
        <v>211</v>
      </c>
      <c r="F1943" s="28" t="s">
        <v>322</v>
      </c>
      <c r="G1943" s="28" t="s">
        <v>2713</v>
      </c>
      <c r="H1943" s="28">
        <v>5523552</v>
      </c>
      <c r="I1943" s="28">
        <v>169926</v>
      </c>
      <c r="J1943" s="28">
        <v>0.99</v>
      </c>
      <c r="K1943" s="28">
        <v>31</v>
      </c>
      <c r="L1943" s="28">
        <v>0</v>
      </c>
    </row>
    <row r="1944" spans="1:12" ht="14.25" customHeight="1" x14ac:dyDescent="0.2">
      <c r="A1944" s="28">
        <v>1943</v>
      </c>
      <c r="B1944" s="28" t="s">
        <v>2714</v>
      </c>
      <c r="C1944" s="28" t="s">
        <v>2711</v>
      </c>
      <c r="D1944" s="28" t="s">
        <v>2712</v>
      </c>
      <c r="E1944" s="28" t="s">
        <v>211</v>
      </c>
      <c r="F1944" s="28" t="s">
        <v>322</v>
      </c>
      <c r="G1944" s="28" t="s">
        <v>2713</v>
      </c>
      <c r="H1944" s="28">
        <v>6616389</v>
      </c>
      <c r="I1944" s="28">
        <v>203546</v>
      </c>
      <c r="J1944" s="28">
        <v>0.99</v>
      </c>
      <c r="K1944" s="28">
        <v>98</v>
      </c>
      <c r="L1944" s="28">
        <v>0</v>
      </c>
    </row>
    <row r="1945" spans="1:12" ht="14.25" customHeight="1" x14ac:dyDescent="0.2">
      <c r="A1945" s="28">
        <v>1944</v>
      </c>
      <c r="B1945" s="28" t="s">
        <v>2715</v>
      </c>
      <c r="C1945" s="28" t="s">
        <v>2711</v>
      </c>
      <c r="D1945" s="28" t="s">
        <v>2712</v>
      </c>
      <c r="E1945" s="28" t="s">
        <v>211</v>
      </c>
      <c r="F1945" s="28" t="s">
        <v>322</v>
      </c>
      <c r="G1945" s="28" t="s">
        <v>2713</v>
      </c>
      <c r="H1945" s="28">
        <v>5175327</v>
      </c>
      <c r="I1945" s="28">
        <v>160026</v>
      </c>
      <c r="J1945" s="28">
        <v>0.99</v>
      </c>
      <c r="K1945" s="28">
        <v>18</v>
      </c>
      <c r="L1945" s="28">
        <v>0</v>
      </c>
    </row>
    <row r="1946" spans="1:12" ht="14.25" customHeight="1" x14ac:dyDescent="0.2">
      <c r="A1946" s="28">
        <v>1945</v>
      </c>
      <c r="B1946" s="28" t="s">
        <v>2716</v>
      </c>
      <c r="C1946" s="28" t="s">
        <v>2711</v>
      </c>
      <c r="D1946" s="28" t="s">
        <v>2712</v>
      </c>
      <c r="E1946" s="28" t="s">
        <v>211</v>
      </c>
      <c r="F1946" s="28" t="s">
        <v>322</v>
      </c>
      <c r="G1946" s="28" t="s">
        <v>2713</v>
      </c>
      <c r="H1946" s="28">
        <v>7102182</v>
      </c>
      <c r="I1946" s="28">
        <v>217626</v>
      </c>
      <c r="J1946" s="28">
        <v>0.99</v>
      </c>
      <c r="K1946" s="28">
        <v>37</v>
      </c>
      <c r="L1946" s="28">
        <v>1</v>
      </c>
    </row>
    <row r="1947" spans="1:12" ht="14.25" customHeight="1" x14ac:dyDescent="0.2">
      <c r="A1947" s="28">
        <v>1946</v>
      </c>
      <c r="B1947" s="28" t="s">
        <v>2717</v>
      </c>
      <c r="C1947" s="28" t="s">
        <v>2711</v>
      </c>
      <c r="D1947" s="28" t="s">
        <v>2712</v>
      </c>
      <c r="E1947" s="28" t="s">
        <v>211</v>
      </c>
      <c r="F1947" s="28" t="s">
        <v>322</v>
      </c>
      <c r="G1947" s="28" t="s">
        <v>2713</v>
      </c>
      <c r="H1947" s="28">
        <v>6643350</v>
      </c>
      <c r="I1947" s="28">
        <v>203337</v>
      </c>
      <c r="J1947" s="28">
        <v>0.99</v>
      </c>
      <c r="K1947" s="28">
        <v>81</v>
      </c>
      <c r="L1947" s="28">
        <v>1</v>
      </c>
    </row>
    <row r="1948" spans="1:12" ht="14.25" customHeight="1" x14ac:dyDescent="0.2">
      <c r="A1948" s="28">
        <v>1947</v>
      </c>
      <c r="B1948" s="28" t="s">
        <v>2718</v>
      </c>
      <c r="C1948" s="28" t="s">
        <v>2711</v>
      </c>
      <c r="D1948" s="28" t="s">
        <v>2712</v>
      </c>
      <c r="E1948" s="28" t="s">
        <v>211</v>
      </c>
      <c r="F1948" s="28" t="s">
        <v>322</v>
      </c>
      <c r="G1948" s="28" t="s">
        <v>2713</v>
      </c>
      <c r="H1948" s="28">
        <v>6283035</v>
      </c>
      <c r="I1948" s="28">
        <v>192600</v>
      </c>
      <c r="J1948" s="28">
        <v>0.99</v>
      </c>
      <c r="K1948" s="28">
        <v>12</v>
      </c>
      <c r="L1948" s="28">
        <v>0</v>
      </c>
    </row>
    <row r="1949" spans="1:12" ht="14.25" customHeight="1" x14ac:dyDescent="0.2">
      <c r="A1949" s="28">
        <v>1948</v>
      </c>
      <c r="B1949" s="28" t="s">
        <v>2719</v>
      </c>
      <c r="C1949" s="28" t="s">
        <v>2711</v>
      </c>
      <c r="D1949" s="28" t="s">
        <v>2712</v>
      </c>
      <c r="E1949" s="28" t="s">
        <v>211</v>
      </c>
      <c r="F1949" s="28" t="s">
        <v>322</v>
      </c>
      <c r="G1949" s="28" t="s">
        <v>2713</v>
      </c>
      <c r="H1949" s="28">
        <v>5416114</v>
      </c>
      <c r="I1949" s="28">
        <v>164675</v>
      </c>
      <c r="J1949" s="28">
        <v>0.99</v>
      </c>
      <c r="K1949" s="28">
        <v>10</v>
      </c>
      <c r="L1949" s="28">
        <v>0</v>
      </c>
    </row>
    <row r="1950" spans="1:12" ht="14.25" customHeight="1" x14ac:dyDescent="0.2">
      <c r="A1950" s="28">
        <v>1949</v>
      </c>
      <c r="B1950" s="28" t="s">
        <v>2720</v>
      </c>
      <c r="C1950" s="28" t="s">
        <v>2711</v>
      </c>
      <c r="D1950" s="28" t="s">
        <v>2712</v>
      </c>
      <c r="E1950" s="28" t="s">
        <v>211</v>
      </c>
      <c r="F1950" s="28" t="s">
        <v>322</v>
      </c>
      <c r="G1950" s="28" t="s">
        <v>2713</v>
      </c>
      <c r="H1950" s="28">
        <v>6983609</v>
      </c>
      <c r="I1950" s="28">
        <v>213916</v>
      </c>
      <c r="J1950" s="28">
        <v>0.99</v>
      </c>
      <c r="K1950" s="28">
        <v>20</v>
      </c>
      <c r="L1950" s="28">
        <v>1</v>
      </c>
    </row>
    <row r="1951" spans="1:12" ht="14.25" customHeight="1" x14ac:dyDescent="0.2">
      <c r="A1951" s="28">
        <v>1950</v>
      </c>
      <c r="B1951" s="28" t="s">
        <v>2721</v>
      </c>
      <c r="C1951" s="28" t="s">
        <v>2711</v>
      </c>
      <c r="D1951" s="28" t="s">
        <v>2712</v>
      </c>
      <c r="E1951" s="28" t="s">
        <v>211</v>
      </c>
      <c r="F1951" s="28" t="s">
        <v>322</v>
      </c>
      <c r="G1951" s="28" t="s">
        <v>2713</v>
      </c>
      <c r="H1951" s="28">
        <v>5155099</v>
      </c>
      <c r="I1951" s="28">
        <v>158432</v>
      </c>
      <c r="J1951" s="28">
        <v>0.99</v>
      </c>
      <c r="K1951" s="28">
        <v>1</v>
      </c>
      <c r="L1951" s="28">
        <v>1</v>
      </c>
    </row>
    <row r="1952" spans="1:12" ht="14.25" customHeight="1" x14ac:dyDescent="0.2">
      <c r="A1952" s="28">
        <v>1951</v>
      </c>
      <c r="B1952" s="28" t="s">
        <v>2722</v>
      </c>
      <c r="C1952" s="28" t="s">
        <v>2711</v>
      </c>
      <c r="D1952" s="28" t="s">
        <v>2712</v>
      </c>
      <c r="E1952" s="28" t="s">
        <v>211</v>
      </c>
      <c r="F1952" s="28" t="s">
        <v>322</v>
      </c>
      <c r="G1952" s="28" t="s">
        <v>2713</v>
      </c>
      <c r="H1952" s="28">
        <v>3195536</v>
      </c>
      <c r="I1952" s="28">
        <v>98115</v>
      </c>
      <c r="J1952" s="28">
        <v>0.99</v>
      </c>
      <c r="K1952" s="28">
        <v>14</v>
      </c>
      <c r="L1952" s="28">
        <v>0</v>
      </c>
    </row>
    <row r="1953" spans="1:12" ht="14.25" customHeight="1" x14ac:dyDescent="0.2">
      <c r="A1953" s="28">
        <v>1952</v>
      </c>
      <c r="B1953" s="28" t="s">
        <v>2723</v>
      </c>
      <c r="C1953" s="28" t="s">
        <v>2711</v>
      </c>
      <c r="D1953" s="28" t="s">
        <v>2712</v>
      </c>
      <c r="E1953" s="28" t="s">
        <v>211</v>
      </c>
      <c r="F1953" s="28" t="s">
        <v>322</v>
      </c>
      <c r="G1953" s="28" t="s">
        <v>2713</v>
      </c>
      <c r="H1953" s="28">
        <v>8393310</v>
      </c>
      <c r="I1953" s="28">
        <v>258403</v>
      </c>
      <c r="J1953" s="28">
        <v>0.99</v>
      </c>
      <c r="K1953" s="28">
        <v>56</v>
      </c>
      <c r="L1953" s="28">
        <v>0</v>
      </c>
    </row>
    <row r="1954" spans="1:12" ht="14.25" customHeight="1" x14ac:dyDescent="0.2">
      <c r="A1954" s="28">
        <v>1953</v>
      </c>
      <c r="B1954" s="28" t="s">
        <v>2724</v>
      </c>
      <c r="C1954" s="28" t="s">
        <v>2711</v>
      </c>
      <c r="D1954" s="28" t="s">
        <v>2712</v>
      </c>
      <c r="E1954" s="28" t="s">
        <v>211</v>
      </c>
      <c r="F1954" s="28" t="s">
        <v>322</v>
      </c>
      <c r="G1954" s="28" t="s">
        <v>2713</v>
      </c>
      <c r="H1954" s="28">
        <v>5543267</v>
      </c>
      <c r="I1954" s="28">
        <v>168071</v>
      </c>
      <c r="J1954" s="28">
        <v>0.99</v>
      </c>
      <c r="K1954" s="28">
        <v>23</v>
      </c>
      <c r="L1954" s="28">
        <v>0</v>
      </c>
    </row>
    <row r="1955" spans="1:12" ht="14.25" customHeight="1" x14ac:dyDescent="0.2">
      <c r="A1955" s="28">
        <v>1954</v>
      </c>
      <c r="B1955" s="28" t="s">
        <v>2725</v>
      </c>
      <c r="C1955" s="28" t="s">
        <v>2711</v>
      </c>
      <c r="D1955" s="28" t="s">
        <v>2712</v>
      </c>
      <c r="E1955" s="28" t="s">
        <v>211</v>
      </c>
      <c r="F1955" s="28" t="s">
        <v>322</v>
      </c>
      <c r="G1955" s="28" t="s">
        <v>2713</v>
      </c>
      <c r="H1955" s="28">
        <v>5805241</v>
      </c>
      <c r="I1955" s="28">
        <v>176457</v>
      </c>
      <c r="J1955" s="28">
        <v>0.99</v>
      </c>
      <c r="K1955" s="28">
        <v>78</v>
      </c>
      <c r="L1955" s="28">
        <v>1</v>
      </c>
    </row>
    <row r="1956" spans="1:12" ht="14.25" customHeight="1" x14ac:dyDescent="0.2">
      <c r="A1956" s="28">
        <v>1955</v>
      </c>
      <c r="B1956" s="28" t="s">
        <v>2726</v>
      </c>
      <c r="C1956" s="28" t="s">
        <v>2711</v>
      </c>
      <c r="D1956" s="28" t="s">
        <v>2712</v>
      </c>
      <c r="E1956" s="28" t="s">
        <v>211</v>
      </c>
      <c r="F1956" s="28" t="s">
        <v>322</v>
      </c>
      <c r="G1956" s="28" t="s">
        <v>2727</v>
      </c>
      <c r="H1956" s="28">
        <v>5557002</v>
      </c>
      <c r="I1956" s="28">
        <v>169926</v>
      </c>
      <c r="J1956" s="28">
        <v>0.99</v>
      </c>
      <c r="K1956" s="28">
        <v>84</v>
      </c>
      <c r="L1956" s="28">
        <v>1</v>
      </c>
    </row>
    <row r="1957" spans="1:12" ht="14.25" customHeight="1" x14ac:dyDescent="0.2">
      <c r="A1957" s="28">
        <v>1956</v>
      </c>
      <c r="B1957" s="28" t="s">
        <v>2728</v>
      </c>
      <c r="C1957" s="28" t="s">
        <v>2711</v>
      </c>
      <c r="D1957" s="28" t="s">
        <v>2712</v>
      </c>
      <c r="E1957" s="28" t="s">
        <v>211</v>
      </c>
      <c r="F1957" s="28" t="s">
        <v>322</v>
      </c>
      <c r="G1957" s="28" t="s">
        <v>2729</v>
      </c>
      <c r="H1957" s="28">
        <v>5828728</v>
      </c>
      <c r="I1957" s="28">
        <v>180427</v>
      </c>
      <c r="J1957" s="28">
        <v>0.99</v>
      </c>
      <c r="K1957" s="28">
        <v>81</v>
      </c>
      <c r="L1957" s="28">
        <v>0</v>
      </c>
    </row>
    <row r="1958" spans="1:12" ht="14.25" customHeight="1" x14ac:dyDescent="0.2">
      <c r="A1958" s="28">
        <v>1957</v>
      </c>
      <c r="B1958" s="28" t="s">
        <v>2730</v>
      </c>
      <c r="C1958" s="28" t="s">
        <v>2731</v>
      </c>
      <c r="D1958" s="28" t="s">
        <v>2732</v>
      </c>
      <c r="E1958" s="28" t="s">
        <v>211</v>
      </c>
      <c r="F1958" s="28" t="s">
        <v>2202</v>
      </c>
      <c r="G1958" s="28" t="s">
        <v>2732</v>
      </c>
      <c r="H1958" s="28">
        <v>7706552</v>
      </c>
      <c r="I1958" s="28">
        <v>234788</v>
      </c>
      <c r="J1958" s="28">
        <v>0.99</v>
      </c>
      <c r="K1958" s="28">
        <v>54</v>
      </c>
      <c r="L1958" s="28">
        <v>0</v>
      </c>
    </row>
    <row r="1959" spans="1:12" ht="14.25" customHeight="1" x14ac:dyDescent="0.2">
      <c r="A1959" s="28">
        <v>1958</v>
      </c>
      <c r="B1959" s="28" t="s">
        <v>2733</v>
      </c>
      <c r="C1959" s="28" t="s">
        <v>2731</v>
      </c>
      <c r="D1959" s="28" t="s">
        <v>2732</v>
      </c>
      <c r="E1959" s="28" t="s">
        <v>211</v>
      </c>
      <c r="F1959" s="28" t="s">
        <v>2202</v>
      </c>
      <c r="G1959" s="28" t="s">
        <v>2732</v>
      </c>
      <c r="H1959" s="28">
        <v>8366846</v>
      </c>
      <c r="I1959" s="28">
        <v>255373</v>
      </c>
      <c r="J1959" s="28">
        <v>0.99</v>
      </c>
      <c r="K1959" s="28">
        <v>96</v>
      </c>
      <c r="L1959" s="28">
        <v>1</v>
      </c>
    </row>
    <row r="1960" spans="1:12" ht="14.25" customHeight="1" x14ac:dyDescent="0.2">
      <c r="A1960" s="28">
        <v>1959</v>
      </c>
      <c r="B1960" s="28" t="s">
        <v>2734</v>
      </c>
      <c r="C1960" s="28" t="s">
        <v>2731</v>
      </c>
      <c r="D1960" s="28" t="s">
        <v>2732</v>
      </c>
      <c r="E1960" s="28" t="s">
        <v>211</v>
      </c>
      <c r="F1960" s="28" t="s">
        <v>2202</v>
      </c>
      <c r="G1960" s="28" t="s">
        <v>2732</v>
      </c>
      <c r="H1960" s="28">
        <v>7790574</v>
      </c>
      <c r="I1960" s="28">
        <v>234684</v>
      </c>
      <c r="J1960" s="28">
        <v>0.99</v>
      </c>
      <c r="K1960" s="28">
        <v>43</v>
      </c>
      <c r="L1960" s="28">
        <v>1</v>
      </c>
    </row>
    <row r="1961" spans="1:12" ht="14.25" customHeight="1" x14ac:dyDescent="0.2">
      <c r="A1961" s="28">
        <v>1960</v>
      </c>
      <c r="B1961" s="28" t="s">
        <v>2735</v>
      </c>
      <c r="C1961" s="28" t="s">
        <v>2731</v>
      </c>
      <c r="D1961" s="28" t="s">
        <v>2732</v>
      </c>
      <c r="E1961" s="28" t="s">
        <v>211</v>
      </c>
      <c r="F1961" s="28" t="s">
        <v>2202</v>
      </c>
      <c r="G1961" s="28" t="s">
        <v>2732</v>
      </c>
      <c r="H1961" s="28">
        <v>7213072</v>
      </c>
      <c r="I1961" s="28">
        <v>219271</v>
      </c>
      <c r="J1961" s="28">
        <v>0.99</v>
      </c>
      <c r="K1961" s="28">
        <v>41</v>
      </c>
      <c r="L1961" s="28">
        <v>0</v>
      </c>
    </row>
    <row r="1962" spans="1:12" ht="14.25" customHeight="1" x14ac:dyDescent="0.2">
      <c r="A1962" s="28">
        <v>1961</v>
      </c>
      <c r="B1962" s="28" t="s">
        <v>2736</v>
      </c>
      <c r="C1962" s="28" t="s">
        <v>2731</v>
      </c>
      <c r="D1962" s="28" t="s">
        <v>2732</v>
      </c>
      <c r="E1962" s="28" t="s">
        <v>211</v>
      </c>
      <c r="F1962" s="28" t="s">
        <v>2202</v>
      </c>
      <c r="G1962" s="28" t="s">
        <v>2732</v>
      </c>
      <c r="H1962" s="28">
        <v>6819584</v>
      </c>
      <c r="I1962" s="28">
        <v>206811</v>
      </c>
      <c r="J1962" s="28">
        <v>0.99</v>
      </c>
      <c r="K1962" s="28">
        <v>5</v>
      </c>
      <c r="L1962" s="28">
        <v>0</v>
      </c>
    </row>
    <row r="1963" spans="1:12" ht="14.25" customHeight="1" x14ac:dyDescent="0.2">
      <c r="A1963" s="28">
        <v>1962</v>
      </c>
      <c r="B1963" s="28" t="s">
        <v>2737</v>
      </c>
      <c r="C1963" s="28" t="s">
        <v>2731</v>
      </c>
      <c r="D1963" s="28" t="s">
        <v>2732</v>
      </c>
      <c r="E1963" s="28" t="s">
        <v>211</v>
      </c>
      <c r="F1963" s="28" t="s">
        <v>2202</v>
      </c>
      <c r="G1963" s="28" t="s">
        <v>2732</v>
      </c>
      <c r="H1963" s="28">
        <v>8369029</v>
      </c>
      <c r="I1963" s="28">
        <v>252682</v>
      </c>
      <c r="J1963" s="28">
        <v>0.99</v>
      </c>
      <c r="K1963" s="28">
        <v>83</v>
      </c>
      <c r="L1963" s="28">
        <v>0</v>
      </c>
    </row>
    <row r="1964" spans="1:12" ht="14.25" customHeight="1" x14ac:dyDescent="0.2">
      <c r="A1964" s="28">
        <v>1963</v>
      </c>
      <c r="B1964" s="28" t="s">
        <v>2738</v>
      </c>
      <c r="C1964" s="28" t="s">
        <v>2731</v>
      </c>
      <c r="D1964" s="28" t="s">
        <v>2732</v>
      </c>
      <c r="E1964" s="28" t="s">
        <v>211</v>
      </c>
      <c r="F1964" s="28" t="s">
        <v>2202</v>
      </c>
      <c r="G1964" s="28" t="s">
        <v>2732</v>
      </c>
      <c r="H1964" s="28">
        <v>6501520</v>
      </c>
      <c r="I1964" s="28">
        <v>194873</v>
      </c>
      <c r="J1964" s="28">
        <v>0.99</v>
      </c>
      <c r="K1964" s="28">
        <v>58</v>
      </c>
      <c r="L1964" s="28">
        <v>1</v>
      </c>
    </row>
    <row r="1965" spans="1:12" ht="14.25" customHeight="1" x14ac:dyDescent="0.2">
      <c r="A1965" s="28">
        <v>1964</v>
      </c>
      <c r="B1965" s="28" t="s">
        <v>597</v>
      </c>
      <c r="C1965" s="28" t="s">
        <v>2731</v>
      </c>
      <c r="D1965" s="28" t="s">
        <v>2732</v>
      </c>
      <c r="E1965" s="28" t="s">
        <v>211</v>
      </c>
      <c r="F1965" s="28" t="s">
        <v>2202</v>
      </c>
      <c r="G1965" s="28" t="s">
        <v>2732</v>
      </c>
      <c r="H1965" s="28">
        <v>8094872</v>
      </c>
      <c r="I1965" s="28">
        <v>245681</v>
      </c>
      <c r="J1965" s="28">
        <v>0.99</v>
      </c>
      <c r="K1965" s="28">
        <v>35</v>
      </c>
      <c r="L1965" s="28">
        <v>1</v>
      </c>
    </row>
    <row r="1966" spans="1:12" ht="14.25" customHeight="1" x14ac:dyDescent="0.2">
      <c r="A1966" s="28">
        <v>1965</v>
      </c>
      <c r="B1966" s="28" t="s">
        <v>2739</v>
      </c>
      <c r="C1966" s="28" t="s">
        <v>2731</v>
      </c>
      <c r="D1966" s="28" t="s">
        <v>2732</v>
      </c>
      <c r="E1966" s="28" t="s">
        <v>211</v>
      </c>
      <c r="F1966" s="28" t="s">
        <v>2202</v>
      </c>
      <c r="G1966" s="28" t="s">
        <v>2732</v>
      </c>
      <c r="H1966" s="28">
        <v>8006345</v>
      </c>
      <c r="I1966" s="28">
        <v>238288</v>
      </c>
      <c r="J1966" s="28">
        <v>0.99</v>
      </c>
      <c r="K1966" s="28">
        <v>82</v>
      </c>
      <c r="L1966" s="28">
        <v>0</v>
      </c>
    </row>
    <row r="1967" spans="1:12" ht="14.25" customHeight="1" x14ac:dyDescent="0.2">
      <c r="A1967" s="28">
        <v>1966</v>
      </c>
      <c r="B1967" s="28" t="s">
        <v>2740</v>
      </c>
      <c r="C1967" s="28" t="s">
        <v>2731</v>
      </c>
      <c r="D1967" s="28" t="s">
        <v>2732</v>
      </c>
      <c r="E1967" s="28" t="s">
        <v>211</v>
      </c>
      <c r="F1967" s="28" t="s">
        <v>2202</v>
      </c>
      <c r="G1967" s="28" t="s">
        <v>2732</v>
      </c>
      <c r="H1967" s="28">
        <v>8362040</v>
      </c>
      <c r="I1967" s="28">
        <v>249495</v>
      </c>
      <c r="J1967" s="28">
        <v>0.99</v>
      </c>
      <c r="K1967" s="28">
        <v>20</v>
      </c>
      <c r="L1967" s="28">
        <v>0</v>
      </c>
    </row>
    <row r="1968" spans="1:12" ht="14.25" customHeight="1" x14ac:dyDescent="0.2">
      <c r="A1968" s="28">
        <v>1967</v>
      </c>
      <c r="B1968" s="28" t="s">
        <v>2741</v>
      </c>
      <c r="C1968" s="28" t="s">
        <v>2731</v>
      </c>
      <c r="D1968" s="28" t="s">
        <v>2732</v>
      </c>
      <c r="E1968" s="28" t="s">
        <v>211</v>
      </c>
      <c r="F1968" s="28" t="s">
        <v>2202</v>
      </c>
      <c r="G1968" s="28" t="s">
        <v>2732</v>
      </c>
      <c r="H1968" s="28">
        <v>8929357</v>
      </c>
      <c r="I1968" s="28">
        <v>274625</v>
      </c>
      <c r="J1968" s="28">
        <v>0.99</v>
      </c>
      <c r="K1968" s="28">
        <v>82</v>
      </c>
      <c r="L1968" s="28">
        <v>1</v>
      </c>
    </row>
    <row r="1969" spans="1:12" ht="14.25" customHeight="1" x14ac:dyDescent="0.2">
      <c r="A1969" s="28">
        <v>1968</v>
      </c>
      <c r="B1969" s="28" t="s">
        <v>2742</v>
      </c>
      <c r="C1969" s="28" t="s">
        <v>2731</v>
      </c>
      <c r="D1969" s="28" t="s">
        <v>2732</v>
      </c>
      <c r="E1969" s="28" t="s">
        <v>211</v>
      </c>
      <c r="F1969" s="28" t="s">
        <v>2202</v>
      </c>
      <c r="G1969" s="28" t="s">
        <v>2732</v>
      </c>
      <c r="H1969" s="28">
        <v>1287083</v>
      </c>
      <c r="I1969" s="28">
        <v>39131</v>
      </c>
      <c r="J1969" s="28">
        <v>0.99</v>
      </c>
      <c r="K1969" s="28">
        <v>27</v>
      </c>
      <c r="L1969" s="28">
        <v>1</v>
      </c>
    </row>
    <row r="1970" spans="1:12" ht="14.25" customHeight="1" x14ac:dyDescent="0.2">
      <c r="A1970" s="28">
        <v>1969</v>
      </c>
      <c r="B1970" s="28" t="s">
        <v>2743</v>
      </c>
      <c r="C1970" s="28" t="s">
        <v>2744</v>
      </c>
      <c r="D1970" s="28" t="s">
        <v>2745</v>
      </c>
      <c r="E1970" s="28" t="s">
        <v>211</v>
      </c>
      <c r="F1970" s="28" t="s">
        <v>322</v>
      </c>
      <c r="G1970" s="28" t="s">
        <v>2746</v>
      </c>
      <c r="H1970" s="28">
        <v>8666786</v>
      </c>
      <c r="I1970" s="28">
        <v>266814</v>
      </c>
      <c r="J1970" s="28">
        <v>0.99</v>
      </c>
      <c r="K1970" s="28">
        <v>52</v>
      </c>
      <c r="L1970" s="28">
        <v>0</v>
      </c>
    </row>
    <row r="1971" spans="1:12" ht="14.25" customHeight="1" x14ac:dyDescent="0.2">
      <c r="A1971" s="28">
        <v>1970</v>
      </c>
      <c r="B1971" s="28" t="s">
        <v>2747</v>
      </c>
      <c r="C1971" s="28" t="s">
        <v>2744</v>
      </c>
      <c r="D1971" s="28" t="s">
        <v>2745</v>
      </c>
      <c r="E1971" s="28" t="s">
        <v>211</v>
      </c>
      <c r="F1971" s="28" t="s">
        <v>322</v>
      </c>
      <c r="G1971" s="28" t="s">
        <v>2748</v>
      </c>
      <c r="H1971" s="28">
        <v>8789966</v>
      </c>
      <c r="I1971" s="28">
        <v>269844</v>
      </c>
      <c r="J1971" s="28">
        <v>0.99</v>
      </c>
      <c r="K1971" s="28">
        <v>87</v>
      </c>
      <c r="L1971" s="28">
        <v>0</v>
      </c>
    </row>
    <row r="1972" spans="1:12" ht="14.25" customHeight="1" x14ac:dyDescent="0.2">
      <c r="A1972" s="28">
        <v>1971</v>
      </c>
      <c r="B1972" s="28" t="s">
        <v>2749</v>
      </c>
      <c r="C1972" s="28" t="s">
        <v>2744</v>
      </c>
      <c r="D1972" s="28" t="s">
        <v>2745</v>
      </c>
      <c r="E1972" s="28" t="s">
        <v>211</v>
      </c>
      <c r="F1972" s="28" t="s">
        <v>322</v>
      </c>
      <c r="G1972" s="28" t="s">
        <v>2748</v>
      </c>
      <c r="H1972" s="28">
        <v>8874814</v>
      </c>
      <c r="I1972" s="28">
        <v>270288</v>
      </c>
      <c r="J1972" s="28">
        <v>0.99</v>
      </c>
      <c r="K1972" s="28">
        <v>74</v>
      </c>
      <c r="L1972" s="28">
        <v>0</v>
      </c>
    </row>
    <row r="1973" spans="1:12" ht="14.25" customHeight="1" x14ac:dyDescent="0.2">
      <c r="A1973" s="28">
        <v>1972</v>
      </c>
      <c r="B1973" s="28" t="s">
        <v>2750</v>
      </c>
      <c r="C1973" s="28" t="s">
        <v>2744</v>
      </c>
      <c r="D1973" s="28" t="s">
        <v>2745</v>
      </c>
      <c r="E1973" s="28" t="s">
        <v>211</v>
      </c>
      <c r="F1973" s="28" t="s">
        <v>322</v>
      </c>
      <c r="G1973" s="28" t="s">
        <v>2751</v>
      </c>
      <c r="H1973" s="28">
        <v>9237736</v>
      </c>
      <c r="I1973" s="28">
        <v>283559</v>
      </c>
      <c r="J1973" s="28">
        <v>0.99</v>
      </c>
      <c r="K1973" s="28">
        <v>31</v>
      </c>
      <c r="L1973" s="28">
        <v>1</v>
      </c>
    </row>
    <row r="1974" spans="1:12" ht="14.25" customHeight="1" x14ac:dyDescent="0.2">
      <c r="A1974" s="28">
        <v>1973</v>
      </c>
      <c r="B1974" s="28" t="s">
        <v>2752</v>
      </c>
      <c r="C1974" s="28" t="s">
        <v>2744</v>
      </c>
      <c r="D1974" s="28" t="s">
        <v>2745</v>
      </c>
      <c r="E1974" s="28" t="s">
        <v>211</v>
      </c>
      <c r="F1974" s="28" t="s">
        <v>322</v>
      </c>
      <c r="G1974" s="28" t="s">
        <v>2753</v>
      </c>
      <c r="H1974" s="28">
        <v>9116997</v>
      </c>
      <c r="I1974" s="28">
        <v>276767</v>
      </c>
      <c r="J1974" s="28">
        <v>0.99</v>
      </c>
      <c r="K1974" s="28">
        <v>96</v>
      </c>
      <c r="L1974" s="28">
        <v>1</v>
      </c>
    </row>
    <row r="1975" spans="1:12" ht="14.25" customHeight="1" x14ac:dyDescent="0.2">
      <c r="A1975" s="28">
        <v>1974</v>
      </c>
      <c r="B1975" s="28" t="s">
        <v>2754</v>
      </c>
      <c r="C1975" s="28" t="s">
        <v>2744</v>
      </c>
      <c r="D1975" s="28" t="s">
        <v>2745</v>
      </c>
      <c r="E1975" s="28" t="s">
        <v>211</v>
      </c>
      <c r="F1975" s="28" t="s">
        <v>322</v>
      </c>
      <c r="G1975" s="28" t="s">
        <v>2755</v>
      </c>
      <c r="H1975" s="28">
        <v>11184094</v>
      </c>
      <c r="I1975" s="28">
        <v>340114</v>
      </c>
      <c r="J1975" s="28">
        <v>0.99</v>
      </c>
      <c r="K1975" s="28">
        <v>23</v>
      </c>
      <c r="L1975" s="28">
        <v>0</v>
      </c>
    </row>
    <row r="1976" spans="1:12" ht="14.25" customHeight="1" x14ac:dyDescent="0.2">
      <c r="A1976" s="28">
        <v>1975</v>
      </c>
      <c r="B1976" s="28" t="s">
        <v>2756</v>
      </c>
      <c r="C1976" s="28" t="s">
        <v>2744</v>
      </c>
      <c r="D1976" s="28" t="s">
        <v>2745</v>
      </c>
      <c r="E1976" s="28" t="s">
        <v>211</v>
      </c>
      <c r="F1976" s="28" t="s">
        <v>322</v>
      </c>
      <c r="G1976" s="28" t="s">
        <v>2757</v>
      </c>
      <c r="H1976" s="28">
        <v>9281875</v>
      </c>
      <c r="I1976" s="28">
        <v>282618</v>
      </c>
      <c r="J1976" s="28">
        <v>0.99</v>
      </c>
      <c r="K1976" s="28">
        <v>23</v>
      </c>
      <c r="L1976" s="28">
        <v>0</v>
      </c>
    </row>
    <row r="1977" spans="1:12" ht="14.25" customHeight="1" x14ac:dyDescent="0.2">
      <c r="A1977" s="28">
        <v>1976</v>
      </c>
      <c r="B1977" s="28" t="s">
        <v>2758</v>
      </c>
      <c r="C1977" s="28" t="s">
        <v>2744</v>
      </c>
      <c r="D1977" s="28" t="s">
        <v>2745</v>
      </c>
      <c r="E1977" s="28" t="s">
        <v>211</v>
      </c>
      <c r="F1977" s="28" t="s">
        <v>322</v>
      </c>
      <c r="G1977" s="28" t="s">
        <v>2746</v>
      </c>
      <c r="H1977" s="28">
        <v>8283958</v>
      </c>
      <c r="I1977" s="28">
        <v>254511</v>
      </c>
      <c r="J1977" s="28">
        <v>0.99</v>
      </c>
      <c r="K1977" s="28">
        <v>43</v>
      </c>
      <c r="L1977" s="28">
        <v>1</v>
      </c>
    </row>
    <row r="1978" spans="1:12" ht="14.25" customHeight="1" x14ac:dyDescent="0.2">
      <c r="A1978" s="28">
        <v>1977</v>
      </c>
      <c r="B1978" s="28" t="s">
        <v>2759</v>
      </c>
      <c r="C1978" s="28" t="s">
        <v>2744</v>
      </c>
      <c r="D1978" s="28" t="s">
        <v>2745</v>
      </c>
      <c r="E1978" s="28" t="s">
        <v>211</v>
      </c>
      <c r="F1978" s="28" t="s">
        <v>322</v>
      </c>
      <c r="G1978" s="28" t="s">
        <v>2753</v>
      </c>
      <c r="H1978" s="28">
        <v>7697538</v>
      </c>
      <c r="I1978" s="28">
        <v>236904</v>
      </c>
      <c r="J1978" s="28">
        <v>0.99</v>
      </c>
      <c r="K1978" s="28">
        <v>18</v>
      </c>
      <c r="L1978" s="28">
        <v>1</v>
      </c>
    </row>
    <row r="1979" spans="1:12" ht="14.25" customHeight="1" x14ac:dyDescent="0.2">
      <c r="A1979" s="28">
        <v>1978</v>
      </c>
      <c r="B1979" s="28" t="s">
        <v>2760</v>
      </c>
      <c r="C1979" s="28" t="s">
        <v>2744</v>
      </c>
      <c r="D1979" s="28" t="s">
        <v>2745</v>
      </c>
      <c r="E1979" s="28" t="s">
        <v>211</v>
      </c>
      <c r="F1979" s="28" t="s">
        <v>322</v>
      </c>
      <c r="G1979" s="28" t="s">
        <v>2751</v>
      </c>
      <c r="H1979" s="28">
        <v>8077464</v>
      </c>
      <c r="I1979" s="28">
        <v>248006</v>
      </c>
      <c r="J1979" s="28">
        <v>0.99</v>
      </c>
      <c r="K1979" s="28">
        <v>40</v>
      </c>
      <c r="L1979" s="28">
        <v>0</v>
      </c>
    </row>
    <row r="1980" spans="1:12" ht="14.25" customHeight="1" x14ac:dyDescent="0.2">
      <c r="A1980" s="28">
        <v>1979</v>
      </c>
      <c r="B1980" s="28" t="s">
        <v>2761</v>
      </c>
      <c r="C1980" s="28" t="s">
        <v>2744</v>
      </c>
      <c r="D1980" s="28" t="s">
        <v>2745</v>
      </c>
      <c r="E1980" s="28" t="s">
        <v>211</v>
      </c>
      <c r="F1980" s="28" t="s">
        <v>322</v>
      </c>
      <c r="G1980" s="28" t="s">
        <v>2757</v>
      </c>
      <c r="H1980" s="28">
        <v>9188156</v>
      </c>
      <c r="I1980" s="28">
        <v>279980</v>
      </c>
      <c r="J1980" s="28">
        <v>0.99</v>
      </c>
      <c r="K1980" s="28">
        <v>73</v>
      </c>
      <c r="L1980" s="28">
        <v>0</v>
      </c>
    </row>
    <row r="1981" spans="1:12" ht="14.25" customHeight="1" x14ac:dyDescent="0.2">
      <c r="A1981" s="28">
        <v>1980</v>
      </c>
      <c r="B1981" s="28" t="s">
        <v>2762</v>
      </c>
      <c r="C1981" s="28" t="s">
        <v>2744</v>
      </c>
      <c r="D1981" s="28" t="s">
        <v>2745</v>
      </c>
      <c r="E1981" s="28" t="s">
        <v>211</v>
      </c>
      <c r="F1981" s="28" t="s">
        <v>322</v>
      </c>
      <c r="G1981" s="28" t="s">
        <v>2757</v>
      </c>
      <c r="H1981" s="28">
        <v>8738371</v>
      </c>
      <c r="I1981" s="28">
        <v>268956</v>
      </c>
      <c r="J1981" s="28">
        <v>0.99</v>
      </c>
      <c r="K1981" s="28">
        <v>88</v>
      </c>
      <c r="L1981" s="28">
        <v>0</v>
      </c>
    </row>
    <row r="1982" spans="1:12" ht="14.25" customHeight="1" x14ac:dyDescent="0.2">
      <c r="A1982" s="28">
        <v>1981</v>
      </c>
      <c r="B1982" s="28" t="s">
        <v>2763</v>
      </c>
      <c r="C1982" s="28" t="s">
        <v>2744</v>
      </c>
      <c r="D1982" s="28" t="s">
        <v>2745</v>
      </c>
      <c r="E1982" s="28" t="s">
        <v>211</v>
      </c>
      <c r="F1982" s="28" t="s">
        <v>322</v>
      </c>
      <c r="G1982" s="28" t="s">
        <v>2764</v>
      </c>
      <c r="H1982" s="28">
        <v>6735408</v>
      </c>
      <c r="I1982" s="28">
        <v>206837</v>
      </c>
      <c r="J1982" s="28">
        <v>0.99</v>
      </c>
      <c r="K1982" s="28">
        <v>67</v>
      </c>
      <c r="L1982" s="28">
        <v>1</v>
      </c>
    </row>
    <row r="1983" spans="1:12" ht="14.25" customHeight="1" x14ac:dyDescent="0.2">
      <c r="A1983" s="28">
        <v>1982</v>
      </c>
      <c r="B1983" s="28" t="s">
        <v>2765</v>
      </c>
      <c r="C1983" s="28" t="s">
        <v>2744</v>
      </c>
      <c r="D1983" s="28" t="s">
        <v>2745</v>
      </c>
      <c r="E1983" s="28" t="s">
        <v>211</v>
      </c>
      <c r="F1983" s="28" t="s">
        <v>322</v>
      </c>
      <c r="G1983" s="28" t="s">
        <v>2746</v>
      </c>
      <c r="H1983" s="28">
        <v>9421164</v>
      </c>
      <c r="I1983" s="28">
        <v>286197</v>
      </c>
      <c r="J1983" s="28">
        <v>0.99</v>
      </c>
      <c r="K1983" s="28">
        <v>24</v>
      </c>
      <c r="L1983" s="28">
        <v>1</v>
      </c>
    </row>
    <row r="1984" spans="1:12" ht="14.25" customHeight="1" x14ac:dyDescent="0.2">
      <c r="A1984" s="28">
        <v>1983</v>
      </c>
      <c r="B1984" s="28" t="s">
        <v>2766</v>
      </c>
      <c r="C1984" s="28" t="s">
        <v>2744</v>
      </c>
      <c r="D1984" s="28" t="s">
        <v>2745</v>
      </c>
      <c r="E1984" s="28" t="s">
        <v>211</v>
      </c>
      <c r="F1984" s="28" t="s">
        <v>322</v>
      </c>
      <c r="G1984" s="28" t="s">
        <v>2751</v>
      </c>
      <c r="H1984" s="28">
        <v>6580542</v>
      </c>
      <c r="I1984" s="28">
        <v>200829</v>
      </c>
      <c r="J1984" s="28">
        <v>0.99</v>
      </c>
      <c r="K1984" s="28">
        <v>48</v>
      </c>
      <c r="L1984" s="28">
        <v>0</v>
      </c>
    </row>
    <row r="1985" spans="1:12" ht="14.25" customHeight="1" x14ac:dyDescent="0.2">
      <c r="A1985" s="28">
        <v>1984</v>
      </c>
      <c r="B1985" s="28" t="s">
        <v>2767</v>
      </c>
      <c r="C1985" s="28" t="s">
        <v>2744</v>
      </c>
      <c r="D1985" s="28" t="s">
        <v>2745</v>
      </c>
      <c r="E1985" s="28" t="s">
        <v>211</v>
      </c>
      <c r="F1985" s="28" t="s">
        <v>322</v>
      </c>
      <c r="G1985" s="28" t="s">
        <v>2751</v>
      </c>
      <c r="H1985" s="28">
        <v>7831122</v>
      </c>
      <c r="I1985" s="28">
        <v>240979</v>
      </c>
      <c r="J1985" s="28">
        <v>0.99</v>
      </c>
      <c r="K1985" s="28">
        <v>45</v>
      </c>
      <c r="L1985" s="28">
        <v>0</v>
      </c>
    </row>
    <row r="1986" spans="1:12" ht="14.25" customHeight="1" x14ac:dyDescent="0.2">
      <c r="A1986" s="28">
        <v>1985</v>
      </c>
      <c r="B1986" s="28" t="s">
        <v>2768</v>
      </c>
      <c r="C1986" s="28" t="s">
        <v>2744</v>
      </c>
      <c r="D1986" s="28" t="s">
        <v>2745</v>
      </c>
      <c r="E1986" s="28" t="s">
        <v>211</v>
      </c>
      <c r="F1986" s="28" t="s">
        <v>322</v>
      </c>
      <c r="G1986" s="28" t="s">
        <v>2751</v>
      </c>
      <c r="H1986" s="28">
        <v>7281974</v>
      </c>
      <c r="I1986" s="28">
        <v>221962</v>
      </c>
      <c r="J1986" s="28">
        <v>0.99</v>
      </c>
      <c r="K1986" s="28">
        <v>55</v>
      </c>
      <c r="L1986" s="28">
        <v>1</v>
      </c>
    </row>
    <row r="1987" spans="1:12" ht="14.25" customHeight="1" x14ac:dyDescent="0.2">
      <c r="A1987" s="28">
        <v>1986</v>
      </c>
      <c r="B1987" s="28" t="s">
        <v>1978</v>
      </c>
      <c r="C1987" s="28" t="s">
        <v>2769</v>
      </c>
      <c r="D1987" s="28" t="s">
        <v>2770</v>
      </c>
      <c r="E1987" s="28" t="s">
        <v>211</v>
      </c>
      <c r="F1987" s="28" t="s">
        <v>212</v>
      </c>
      <c r="G1987" s="28" t="s">
        <v>2771</v>
      </c>
      <c r="H1987" s="28">
        <v>1688527</v>
      </c>
      <c r="I1987" s="28">
        <v>52218</v>
      </c>
      <c r="J1987" s="28">
        <v>0.99</v>
      </c>
      <c r="K1987" s="28">
        <v>51</v>
      </c>
      <c r="L1987" s="28">
        <v>1</v>
      </c>
    </row>
    <row r="1988" spans="1:12" ht="14.25" customHeight="1" x14ac:dyDescent="0.2">
      <c r="A1988" s="28">
        <v>1987</v>
      </c>
      <c r="B1988" s="28" t="s">
        <v>2772</v>
      </c>
      <c r="C1988" s="28" t="s">
        <v>2769</v>
      </c>
      <c r="D1988" s="28" t="s">
        <v>2770</v>
      </c>
      <c r="E1988" s="28" t="s">
        <v>211</v>
      </c>
      <c r="F1988" s="28" t="s">
        <v>212</v>
      </c>
      <c r="G1988" s="28" t="s">
        <v>2771</v>
      </c>
      <c r="H1988" s="28">
        <v>5234885</v>
      </c>
      <c r="I1988" s="28">
        <v>160235</v>
      </c>
      <c r="J1988" s="28">
        <v>0.99</v>
      </c>
      <c r="K1988" s="28">
        <v>71</v>
      </c>
      <c r="L1988" s="28">
        <v>0</v>
      </c>
    </row>
    <row r="1989" spans="1:12" ht="14.25" customHeight="1" x14ac:dyDescent="0.2">
      <c r="A1989" s="28">
        <v>1988</v>
      </c>
      <c r="B1989" s="28" t="s">
        <v>2773</v>
      </c>
      <c r="C1989" s="28" t="s">
        <v>2769</v>
      </c>
      <c r="D1989" s="28" t="s">
        <v>2770</v>
      </c>
      <c r="E1989" s="28" t="s">
        <v>211</v>
      </c>
      <c r="F1989" s="28" t="s">
        <v>212</v>
      </c>
      <c r="G1989" s="28" t="s">
        <v>2771</v>
      </c>
      <c r="H1989" s="28">
        <v>7013175</v>
      </c>
      <c r="I1989" s="28">
        <v>215196</v>
      </c>
      <c r="J1989" s="28">
        <v>0.99</v>
      </c>
      <c r="K1989" s="28">
        <v>8</v>
      </c>
      <c r="L1989" s="28">
        <v>0</v>
      </c>
    </row>
    <row r="1990" spans="1:12" ht="14.25" customHeight="1" x14ac:dyDescent="0.2">
      <c r="A1990" s="28">
        <v>1989</v>
      </c>
      <c r="B1990" s="28" t="s">
        <v>2774</v>
      </c>
      <c r="C1990" s="28" t="s">
        <v>2769</v>
      </c>
      <c r="D1990" s="28" t="s">
        <v>2770</v>
      </c>
      <c r="E1990" s="28" t="s">
        <v>211</v>
      </c>
      <c r="F1990" s="28" t="s">
        <v>212</v>
      </c>
      <c r="G1990" s="28" t="s">
        <v>2770</v>
      </c>
      <c r="H1990" s="28">
        <v>8862545</v>
      </c>
      <c r="I1990" s="28">
        <v>271516</v>
      </c>
      <c r="J1990" s="28">
        <v>0.99</v>
      </c>
      <c r="K1990" s="28">
        <v>42</v>
      </c>
      <c r="L1990" s="28">
        <v>0</v>
      </c>
    </row>
    <row r="1991" spans="1:12" ht="14.25" customHeight="1" x14ac:dyDescent="0.2">
      <c r="A1991" s="28">
        <v>1990</v>
      </c>
      <c r="B1991" s="28" t="s">
        <v>2775</v>
      </c>
      <c r="C1991" s="28" t="s">
        <v>2769</v>
      </c>
      <c r="D1991" s="28" t="s">
        <v>2770</v>
      </c>
      <c r="E1991" s="28" t="s">
        <v>211</v>
      </c>
      <c r="F1991" s="28" t="s">
        <v>212</v>
      </c>
      <c r="G1991" s="28" t="s">
        <v>2770</v>
      </c>
      <c r="H1991" s="28">
        <v>9425215</v>
      </c>
      <c r="I1991" s="28">
        <v>287190</v>
      </c>
      <c r="J1991" s="28">
        <v>0.99</v>
      </c>
      <c r="K1991" s="28">
        <v>52</v>
      </c>
      <c r="L1991" s="28">
        <v>1</v>
      </c>
    </row>
    <row r="1992" spans="1:12" ht="14.25" customHeight="1" x14ac:dyDescent="0.2">
      <c r="A1992" s="28">
        <v>1991</v>
      </c>
      <c r="B1992" s="28" t="s">
        <v>2776</v>
      </c>
      <c r="C1992" s="28" t="s">
        <v>2769</v>
      </c>
      <c r="D1992" s="28" t="s">
        <v>2770</v>
      </c>
      <c r="E1992" s="28" t="s">
        <v>211</v>
      </c>
      <c r="F1992" s="28" t="s">
        <v>212</v>
      </c>
      <c r="G1992" s="28" t="s">
        <v>2771</v>
      </c>
      <c r="H1992" s="28">
        <v>4170369</v>
      </c>
      <c r="I1992" s="28">
        <v>127555</v>
      </c>
      <c r="J1992" s="28">
        <v>0.99</v>
      </c>
      <c r="K1992" s="28">
        <v>94</v>
      </c>
      <c r="L1992" s="28">
        <v>1</v>
      </c>
    </row>
    <row r="1993" spans="1:12" ht="14.25" customHeight="1" x14ac:dyDescent="0.2">
      <c r="A1993" s="28">
        <v>1992</v>
      </c>
      <c r="B1993" s="28" t="s">
        <v>2777</v>
      </c>
      <c r="C1993" s="28" t="s">
        <v>2769</v>
      </c>
      <c r="D1993" s="28" t="s">
        <v>2770</v>
      </c>
      <c r="E1993" s="28" t="s">
        <v>211</v>
      </c>
      <c r="F1993" s="28" t="s">
        <v>212</v>
      </c>
      <c r="G1993" s="28" t="s">
        <v>2771</v>
      </c>
      <c r="H1993" s="28">
        <v>8148800</v>
      </c>
      <c r="I1993" s="28">
        <v>250017</v>
      </c>
      <c r="J1993" s="28">
        <v>0.99</v>
      </c>
      <c r="K1993" s="28">
        <v>56</v>
      </c>
      <c r="L1993" s="28">
        <v>0</v>
      </c>
    </row>
    <row r="1994" spans="1:12" ht="14.25" customHeight="1" x14ac:dyDescent="0.2">
      <c r="A1994" s="28">
        <v>1993</v>
      </c>
      <c r="B1994" s="28" t="s">
        <v>2778</v>
      </c>
      <c r="C1994" s="28" t="s">
        <v>2769</v>
      </c>
      <c r="D1994" s="28" t="s">
        <v>2770</v>
      </c>
      <c r="E1994" s="28" t="s">
        <v>211</v>
      </c>
      <c r="F1994" s="28" t="s">
        <v>212</v>
      </c>
      <c r="G1994" s="28" t="s">
        <v>2771</v>
      </c>
      <c r="H1994" s="28">
        <v>3784567</v>
      </c>
      <c r="I1994" s="28">
        <v>116218</v>
      </c>
      <c r="J1994" s="28">
        <v>0.99</v>
      </c>
      <c r="K1994" s="28">
        <v>45</v>
      </c>
      <c r="L1994" s="28">
        <v>0</v>
      </c>
    </row>
    <row r="1995" spans="1:12" ht="14.25" customHeight="1" x14ac:dyDescent="0.2">
      <c r="A1995" s="28">
        <v>1994</v>
      </c>
      <c r="B1995" s="28" t="s">
        <v>2779</v>
      </c>
      <c r="C1995" s="28" t="s">
        <v>2769</v>
      </c>
      <c r="D1995" s="28" t="s">
        <v>2770</v>
      </c>
      <c r="E1995" s="28" t="s">
        <v>211</v>
      </c>
      <c r="F1995" s="28" t="s">
        <v>212</v>
      </c>
      <c r="G1995" s="28" t="s">
        <v>2771</v>
      </c>
      <c r="H1995" s="28">
        <v>6186487</v>
      </c>
      <c r="I1995" s="28">
        <v>190354</v>
      </c>
      <c r="J1995" s="28">
        <v>0.99</v>
      </c>
      <c r="K1995" s="28">
        <v>74</v>
      </c>
      <c r="L1995" s="28">
        <v>1</v>
      </c>
    </row>
    <row r="1996" spans="1:12" ht="14.25" customHeight="1" x14ac:dyDescent="0.2">
      <c r="A1996" s="28">
        <v>1995</v>
      </c>
      <c r="B1996" s="28" t="s">
        <v>2780</v>
      </c>
      <c r="C1996" s="28" t="s">
        <v>2769</v>
      </c>
      <c r="D1996" s="28" t="s">
        <v>2770</v>
      </c>
      <c r="E1996" s="28" t="s">
        <v>211</v>
      </c>
      <c r="F1996" s="28" t="s">
        <v>212</v>
      </c>
      <c r="G1996" s="28" t="s">
        <v>2770</v>
      </c>
      <c r="H1996" s="28">
        <v>6898177</v>
      </c>
      <c r="I1996" s="28">
        <v>211200</v>
      </c>
      <c r="J1996" s="28">
        <v>0.99</v>
      </c>
      <c r="K1996" s="28">
        <v>24</v>
      </c>
      <c r="L1996" s="28">
        <v>1</v>
      </c>
    </row>
    <row r="1997" spans="1:12" ht="14.25" customHeight="1" x14ac:dyDescent="0.2">
      <c r="A1997" s="28">
        <v>1996</v>
      </c>
      <c r="B1997" s="28" t="s">
        <v>2781</v>
      </c>
      <c r="C1997" s="28" t="s">
        <v>2769</v>
      </c>
      <c r="D1997" s="28" t="s">
        <v>2770</v>
      </c>
      <c r="E1997" s="28" t="s">
        <v>211</v>
      </c>
      <c r="F1997" s="28" t="s">
        <v>212</v>
      </c>
      <c r="G1997" s="28" t="s">
        <v>2771</v>
      </c>
      <c r="H1997" s="28">
        <v>9210982</v>
      </c>
      <c r="I1997" s="28">
        <v>281887</v>
      </c>
      <c r="J1997" s="28">
        <v>0.99</v>
      </c>
      <c r="K1997" s="28">
        <v>22</v>
      </c>
      <c r="L1997" s="28">
        <v>0</v>
      </c>
    </row>
    <row r="1998" spans="1:12" ht="14.25" customHeight="1" x14ac:dyDescent="0.2">
      <c r="A1998" s="28">
        <v>1997</v>
      </c>
      <c r="B1998" s="28" t="s">
        <v>2782</v>
      </c>
      <c r="C1998" s="28" t="s">
        <v>2769</v>
      </c>
      <c r="D1998" s="28" t="s">
        <v>2770</v>
      </c>
      <c r="E1998" s="28" t="s">
        <v>211</v>
      </c>
      <c r="F1998" s="28" t="s">
        <v>212</v>
      </c>
      <c r="G1998" s="28" t="s">
        <v>2771</v>
      </c>
      <c r="H1998" s="28">
        <v>7406945</v>
      </c>
      <c r="I1998" s="28">
        <v>225724</v>
      </c>
      <c r="J1998" s="28">
        <v>0.99</v>
      </c>
      <c r="K1998" s="28">
        <v>70</v>
      </c>
      <c r="L1998" s="28">
        <v>0</v>
      </c>
    </row>
    <row r="1999" spans="1:12" ht="14.25" customHeight="1" x14ac:dyDescent="0.2">
      <c r="A1999" s="28">
        <v>1998</v>
      </c>
      <c r="B1999" s="28" t="s">
        <v>2783</v>
      </c>
      <c r="C1999" s="28" t="s">
        <v>2769</v>
      </c>
      <c r="D1999" s="28" t="s">
        <v>2770</v>
      </c>
      <c r="E1999" s="28" t="s">
        <v>211</v>
      </c>
      <c r="F1999" s="28" t="s">
        <v>212</v>
      </c>
      <c r="G1999" s="28" t="s">
        <v>2771</v>
      </c>
      <c r="H1999" s="28">
        <v>5354854</v>
      </c>
      <c r="I1999" s="28">
        <v>163761</v>
      </c>
      <c r="J1999" s="28">
        <v>0.99</v>
      </c>
      <c r="K1999" s="28">
        <v>45</v>
      </c>
      <c r="L1999" s="28">
        <v>0</v>
      </c>
    </row>
    <row r="2000" spans="1:12" ht="14.25" customHeight="1" x14ac:dyDescent="0.2">
      <c r="A2000" s="28">
        <v>1999</v>
      </c>
      <c r="B2000" s="28" t="s">
        <v>2784</v>
      </c>
      <c r="C2000" s="28" t="s">
        <v>2769</v>
      </c>
      <c r="D2000" s="28" t="s">
        <v>2770</v>
      </c>
      <c r="E2000" s="28" t="s">
        <v>211</v>
      </c>
      <c r="F2000" s="28" t="s">
        <v>212</v>
      </c>
      <c r="G2000" s="28" t="s">
        <v>2771</v>
      </c>
      <c r="H2000" s="28">
        <v>4885331</v>
      </c>
      <c r="I2000" s="28">
        <v>149995</v>
      </c>
      <c r="J2000" s="28">
        <v>0.99</v>
      </c>
      <c r="K2000" s="28">
        <v>18</v>
      </c>
      <c r="L2000" s="28">
        <v>1</v>
      </c>
    </row>
    <row r="2001" spans="1:12" ht="14.25" customHeight="1" x14ac:dyDescent="0.2">
      <c r="A2001" s="28">
        <v>2000</v>
      </c>
      <c r="B2001" s="28" t="s">
        <v>2785</v>
      </c>
      <c r="C2001" s="28" t="s">
        <v>2769</v>
      </c>
      <c r="D2001" s="28" t="s">
        <v>2770</v>
      </c>
      <c r="E2001" s="28" t="s">
        <v>211</v>
      </c>
      <c r="F2001" s="28" t="s">
        <v>212</v>
      </c>
      <c r="G2001" s="28" t="s">
        <v>2771</v>
      </c>
      <c r="H2001" s="28">
        <v>6759080</v>
      </c>
      <c r="I2001" s="28">
        <v>208378</v>
      </c>
      <c r="J2001" s="28">
        <v>0.99</v>
      </c>
      <c r="K2001" s="28">
        <v>56</v>
      </c>
      <c r="L2001" s="28">
        <v>1</v>
      </c>
    </row>
    <row r="2002" spans="1:12" ht="14.25" customHeight="1" x14ac:dyDescent="0.2">
      <c r="A2002" s="28">
        <v>2001</v>
      </c>
      <c r="B2002" s="28" t="s">
        <v>2786</v>
      </c>
      <c r="C2002" s="28" t="s">
        <v>2769</v>
      </c>
      <c r="D2002" s="28" t="s">
        <v>2770</v>
      </c>
      <c r="E2002" s="28" t="s">
        <v>211</v>
      </c>
      <c r="F2002" s="28" t="s">
        <v>212</v>
      </c>
      <c r="G2002" s="28" t="s">
        <v>2771</v>
      </c>
      <c r="H2002" s="28">
        <v>3753246</v>
      </c>
      <c r="I2002" s="28">
        <v>115591</v>
      </c>
      <c r="J2002" s="28">
        <v>0.99</v>
      </c>
      <c r="K2002" s="28">
        <v>36</v>
      </c>
      <c r="L2002" s="28">
        <v>0</v>
      </c>
    </row>
    <row r="2003" spans="1:12" ht="14.25" customHeight="1" x14ac:dyDescent="0.2">
      <c r="A2003" s="28">
        <v>2002</v>
      </c>
      <c r="B2003" s="28" t="s">
        <v>2787</v>
      </c>
      <c r="C2003" s="28" t="s">
        <v>2769</v>
      </c>
      <c r="D2003" s="28" t="s">
        <v>2770</v>
      </c>
      <c r="E2003" s="28" t="s">
        <v>211</v>
      </c>
      <c r="F2003" s="28" t="s">
        <v>212</v>
      </c>
      <c r="G2003" s="28" t="s">
        <v>2771</v>
      </c>
      <c r="H2003" s="28">
        <v>7096936</v>
      </c>
      <c r="I2003" s="28">
        <v>216346</v>
      </c>
      <c r="J2003" s="28">
        <v>0.99</v>
      </c>
      <c r="K2003" s="28">
        <v>14</v>
      </c>
      <c r="L2003" s="28">
        <v>0</v>
      </c>
    </row>
    <row r="2004" spans="1:12" ht="14.25" customHeight="1" x14ac:dyDescent="0.2">
      <c r="A2004" s="28">
        <v>2003</v>
      </c>
      <c r="B2004" s="28" t="s">
        <v>2775</v>
      </c>
      <c r="C2004" s="28" t="s">
        <v>2788</v>
      </c>
      <c r="D2004" s="28" t="s">
        <v>2770</v>
      </c>
      <c r="E2004" s="28" t="s">
        <v>211</v>
      </c>
      <c r="F2004" s="28" t="s">
        <v>212</v>
      </c>
      <c r="G2004" s="28" t="s">
        <v>2771</v>
      </c>
      <c r="H2004" s="28">
        <v>9823847</v>
      </c>
      <c r="I2004" s="28">
        <v>301296</v>
      </c>
      <c r="J2004" s="28">
        <v>0.99</v>
      </c>
      <c r="K2004" s="28">
        <v>38</v>
      </c>
      <c r="L2004" s="28">
        <v>1</v>
      </c>
    </row>
    <row r="2005" spans="1:12" ht="14.25" customHeight="1" x14ac:dyDescent="0.2">
      <c r="A2005" s="28">
        <v>2004</v>
      </c>
      <c r="B2005" s="28" t="s">
        <v>2789</v>
      </c>
      <c r="C2005" s="28" t="s">
        <v>2788</v>
      </c>
      <c r="D2005" s="28" t="s">
        <v>2770</v>
      </c>
      <c r="E2005" s="28" t="s">
        <v>211</v>
      </c>
      <c r="F2005" s="28" t="s">
        <v>212</v>
      </c>
      <c r="G2005" s="28" t="s">
        <v>2771</v>
      </c>
      <c r="H2005" s="28">
        <v>8327077</v>
      </c>
      <c r="I2005" s="28">
        <v>254928</v>
      </c>
      <c r="J2005" s="28">
        <v>0.99</v>
      </c>
      <c r="K2005" s="28">
        <v>94</v>
      </c>
      <c r="L2005" s="28">
        <v>1</v>
      </c>
    </row>
    <row r="2006" spans="1:12" ht="14.25" customHeight="1" x14ac:dyDescent="0.2">
      <c r="A2006" s="28">
        <v>2005</v>
      </c>
      <c r="B2006" s="28" t="s">
        <v>2790</v>
      </c>
      <c r="C2006" s="28" t="s">
        <v>2788</v>
      </c>
      <c r="D2006" s="28" t="s">
        <v>2770</v>
      </c>
      <c r="E2006" s="28" t="s">
        <v>211</v>
      </c>
      <c r="F2006" s="28" t="s">
        <v>212</v>
      </c>
      <c r="G2006" s="28" t="s">
        <v>2771</v>
      </c>
      <c r="H2006" s="28">
        <v>7123357</v>
      </c>
      <c r="I2006" s="28">
        <v>219219</v>
      </c>
      <c r="J2006" s="28">
        <v>0.99</v>
      </c>
      <c r="K2006" s="28">
        <v>96</v>
      </c>
      <c r="L2006" s="28">
        <v>0</v>
      </c>
    </row>
    <row r="2007" spans="1:12" ht="14.25" customHeight="1" x14ac:dyDescent="0.2">
      <c r="A2007" s="28">
        <v>2006</v>
      </c>
      <c r="B2007" s="28" t="s">
        <v>2785</v>
      </c>
      <c r="C2007" s="28" t="s">
        <v>2788</v>
      </c>
      <c r="D2007" s="28" t="s">
        <v>2770</v>
      </c>
      <c r="E2007" s="28" t="s">
        <v>211</v>
      </c>
      <c r="F2007" s="28" t="s">
        <v>212</v>
      </c>
      <c r="G2007" s="28" t="s">
        <v>2771</v>
      </c>
      <c r="H2007" s="28">
        <v>5984812</v>
      </c>
      <c r="I2007" s="28">
        <v>183928</v>
      </c>
      <c r="J2007" s="28">
        <v>0.99</v>
      </c>
      <c r="K2007" s="28">
        <v>67</v>
      </c>
      <c r="L2007" s="28">
        <v>0</v>
      </c>
    </row>
    <row r="2008" spans="1:12" ht="14.25" customHeight="1" x14ac:dyDescent="0.2">
      <c r="A2008" s="28">
        <v>2007</v>
      </c>
      <c r="B2008" s="28" t="s">
        <v>2777</v>
      </c>
      <c r="C2008" s="28" t="s">
        <v>2788</v>
      </c>
      <c r="D2008" s="28" t="s">
        <v>2770</v>
      </c>
      <c r="E2008" s="28" t="s">
        <v>211</v>
      </c>
      <c r="F2008" s="28" t="s">
        <v>212</v>
      </c>
      <c r="G2008" s="28" t="s">
        <v>2771</v>
      </c>
      <c r="H2008" s="28">
        <v>8404745</v>
      </c>
      <c r="I2008" s="28">
        <v>256992</v>
      </c>
      <c r="J2008" s="28">
        <v>0.99</v>
      </c>
      <c r="K2008" s="28">
        <v>51</v>
      </c>
      <c r="L2008" s="28">
        <v>0</v>
      </c>
    </row>
    <row r="2009" spans="1:12" ht="14.25" customHeight="1" x14ac:dyDescent="0.2">
      <c r="A2009" s="28">
        <v>2008</v>
      </c>
      <c r="B2009" s="28" t="s">
        <v>2784</v>
      </c>
      <c r="C2009" s="28" t="s">
        <v>2788</v>
      </c>
      <c r="D2009" s="28" t="s">
        <v>2770</v>
      </c>
      <c r="E2009" s="28" t="s">
        <v>211</v>
      </c>
      <c r="F2009" s="28" t="s">
        <v>212</v>
      </c>
      <c r="G2009" s="28" t="s">
        <v>2771</v>
      </c>
      <c r="H2009" s="28">
        <v>5788407</v>
      </c>
      <c r="I2009" s="28">
        <v>177031</v>
      </c>
      <c r="J2009" s="28">
        <v>0.99</v>
      </c>
      <c r="K2009" s="28">
        <v>97</v>
      </c>
      <c r="L2009" s="28">
        <v>1</v>
      </c>
    </row>
    <row r="2010" spans="1:12" ht="14.25" customHeight="1" x14ac:dyDescent="0.2">
      <c r="A2010" s="28">
        <v>2009</v>
      </c>
      <c r="B2010" s="28" t="s">
        <v>2791</v>
      </c>
      <c r="C2010" s="28" t="s">
        <v>2788</v>
      </c>
      <c r="D2010" s="28" t="s">
        <v>2770</v>
      </c>
      <c r="E2010" s="28" t="s">
        <v>211</v>
      </c>
      <c r="F2010" s="28" t="s">
        <v>212</v>
      </c>
      <c r="G2010" s="28" t="s">
        <v>2771</v>
      </c>
      <c r="H2010" s="28">
        <v>4613880</v>
      </c>
      <c r="I2010" s="28">
        <v>143281</v>
      </c>
      <c r="J2010" s="28">
        <v>0.99</v>
      </c>
      <c r="K2010" s="28">
        <v>27</v>
      </c>
      <c r="L2010" s="28">
        <v>1</v>
      </c>
    </row>
    <row r="2011" spans="1:12" ht="14.25" customHeight="1" x14ac:dyDescent="0.2">
      <c r="A2011" s="28">
        <v>2010</v>
      </c>
      <c r="B2011" s="28" t="s">
        <v>2773</v>
      </c>
      <c r="C2011" s="28" t="s">
        <v>2788</v>
      </c>
      <c r="D2011" s="28" t="s">
        <v>2770</v>
      </c>
      <c r="E2011" s="28" t="s">
        <v>211</v>
      </c>
      <c r="F2011" s="28" t="s">
        <v>212</v>
      </c>
      <c r="G2011" s="28" t="s">
        <v>2771</v>
      </c>
      <c r="H2011" s="28">
        <v>7273440</v>
      </c>
      <c r="I2011" s="28">
        <v>223973</v>
      </c>
      <c r="J2011" s="28">
        <v>0.99</v>
      </c>
      <c r="K2011" s="28">
        <v>87</v>
      </c>
      <c r="L2011" s="28">
        <v>0</v>
      </c>
    </row>
    <row r="2012" spans="1:12" ht="14.25" customHeight="1" x14ac:dyDescent="0.2">
      <c r="A2012" s="28">
        <v>2011</v>
      </c>
      <c r="B2012" s="28" t="s">
        <v>2792</v>
      </c>
      <c r="C2012" s="28" t="s">
        <v>2788</v>
      </c>
      <c r="D2012" s="28" t="s">
        <v>2770</v>
      </c>
      <c r="E2012" s="28" t="s">
        <v>211</v>
      </c>
      <c r="F2012" s="28" t="s">
        <v>212</v>
      </c>
      <c r="G2012" s="28" t="s">
        <v>2771</v>
      </c>
      <c r="H2012" s="28">
        <v>5093635</v>
      </c>
      <c r="I2012" s="28">
        <v>156786</v>
      </c>
      <c r="J2012" s="28">
        <v>0.99</v>
      </c>
      <c r="K2012" s="28">
        <v>53</v>
      </c>
      <c r="L2012" s="28">
        <v>0</v>
      </c>
    </row>
    <row r="2013" spans="1:12" ht="14.25" customHeight="1" x14ac:dyDescent="0.2">
      <c r="A2013" s="28">
        <v>2012</v>
      </c>
      <c r="B2013" s="28" t="s">
        <v>2793</v>
      </c>
      <c r="C2013" s="28" t="s">
        <v>2788</v>
      </c>
      <c r="D2013" s="28" t="s">
        <v>2770</v>
      </c>
      <c r="E2013" s="28" t="s">
        <v>211</v>
      </c>
      <c r="F2013" s="28" t="s">
        <v>212</v>
      </c>
      <c r="G2013" s="28" t="s">
        <v>2771</v>
      </c>
      <c r="H2013" s="28">
        <v>6956404</v>
      </c>
      <c r="I2013" s="28">
        <v>212636</v>
      </c>
      <c r="J2013" s="28">
        <v>0.99</v>
      </c>
      <c r="K2013" s="28">
        <v>59</v>
      </c>
      <c r="L2013" s="28">
        <v>0</v>
      </c>
    </row>
    <row r="2014" spans="1:12" ht="14.25" customHeight="1" x14ac:dyDescent="0.2">
      <c r="A2014" s="28">
        <v>2013</v>
      </c>
      <c r="B2014" s="28" t="s">
        <v>2794</v>
      </c>
      <c r="C2014" s="28" t="s">
        <v>2788</v>
      </c>
      <c r="D2014" s="28" t="s">
        <v>2770</v>
      </c>
      <c r="E2014" s="28" t="s">
        <v>211</v>
      </c>
      <c r="F2014" s="28" t="s">
        <v>212</v>
      </c>
      <c r="G2014" s="28" t="s">
        <v>2771</v>
      </c>
      <c r="H2014" s="28">
        <v>6390635</v>
      </c>
      <c r="I2014" s="28">
        <v>196440</v>
      </c>
      <c r="J2014" s="28">
        <v>0.99</v>
      </c>
      <c r="K2014" s="28">
        <v>91</v>
      </c>
      <c r="L2014" s="28">
        <v>1</v>
      </c>
    </row>
    <row r="2015" spans="1:12" ht="14.25" customHeight="1" x14ac:dyDescent="0.2">
      <c r="A2015" s="28">
        <v>2014</v>
      </c>
      <c r="B2015" s="28" t="s">
        <v>2795</v>
      </c>
      <c r="C2015" s="28" t="s">
        <v>2788</v>
      </c>
      <c r="D2015" s="28" t="s">
        <v>2770</v>
      </c>
      <c r="E2015" s="28" t="s">
        <v>211</v>
      </c>
      <c r="F2015" s="28" t="s">
        <v>212</v>
      </c>
      <c r="G2015" s="28" t="s">
        <v>2771</v>
      </c>
      <c r="H2015" s="28">
        <v>7472168</v>
      </c>
      <c r="I2015" s="28">
        <v>230556</v>
      </c>
      <c r="J2015" s="28">
        <v>0.99</v>
      </c>
      <c r="K2015" s="28">
        <v>11</v>
      </c>
      <c r="L2015" s="28">
        <v>0</v>
      </c>
    </row>
    <row r="2016" spans="1:12" ht="14.25" customHeight="1" x14ac:dyDescent="0.2">
      <c r="A2016" s="28">
        <v>2015</v>
      </c>
      <c r="B2016" s="28" t="s">
        <v>2796</v>
      </c>
      <c r="C2016" s="28" t="s">
        <v>2797</v>
      </c>
      <c r="D2016" s="28" t="s">
        <v>2798</v>
      </c>
      <c r="E2016" s="28" t="s">
        <v>211</v>
      </c>
      <c r="F2016" s="28" t="s">
        <v>212</v>
      </c>
      <c r="G2016" s="28"/>
      <c r="H2016" s="28">
        <v>3124455</v>
      </c>
      <c r="I2016" s="28">
        <v>96888</v>
      </c>
      <c r="J2016" s="28">
        <v>0.99</v>
      </c>
      <c r="K2016" s="28">
        <v>83</v>
      </c>
      <c r="L2016" s="28">
        <v>0</v>
      </c>
    </row>
    <row r="2017" spans="1:12" ht="14.25" customHeight="1" x14ac:dyDescent="0.2">
      <c r="A2017" s="28">
        <v>2016</v>
      </c>
      <c r="B2017" s="28" t="s">
        <v>2799</v>
      </c>
      <c r="C2017" s="28" t="s">
        <v>2797</v>
      </c>
      <c r="D2017" s="28" t="s">
        <v>2798</v>
      </c>
      <c r="E2017" s="28" t="s">
        <v>211</v>
      </c>
      <c r="F2017" s="28" t="s">
        <v>212</v>
      </c>
      <c r="G2017" s="28"/>
      <c r="H2017" s="28">
        <v>6842244</v>
      </c>
      <c r="I2017" s="28">
        <v>209188</v>
      </c>
      <c r="J2017" s="28">
        <v>0.99</v>
      </c>
      <c r="K2017" s="28">
        <v>97</v>
      </c>
      <c r="L2017" s="28">
        <v>0</v>
      </c>
    </row>
    <row r="2018" spans="1:12" ht="14.25" customHeight="1" x14ac:dyDescent="0.2">
      <c r="A2018" s="28">
        <v>2017</v>
      </c>
      <c r="B2018" s="28" t="s">
        <v>2800</v>
      </c>
      <c r="C2018" s="28" t="s">
        <v>2797</v>
      </c>
      <c r="D2018" s="28" t="s">
        <v>2798</v>
      </c>
      <c r="E2018" s="28" t="s">
        <v>211</v>
      </c>
      <c r="F2018" s="28" t="s">
        <v>212</v>
      </c>
      <c r="G2018" s="28"/>
      <c r="H2018" s="28">
        <v>7354184</v>
      </c>
      <c r="I2018" s="28">
        <v>223033</v>
      </c>
      <c r="J2018" s="28">
        <v>0.99</v>
      </c>
      <c r="K2018" s="28">
        <v>18</v>
      </c>
      <c r="L2018" s="28">
        <v>2</v>
      </c>
    </row>
    <row r="2019" spans="1:12" ht="14.25" customHeight="1" x14ac:dyDescent="0.2">
      <c r="A2019" s="28">
        <v>2018</v>
      </c>
      <c r="B2019" s="28" t="s">
        <v>2801</v>
      </c>
      <c r="C2019" s="28" t="s">
        <v>2797</v>
      </c>
      <c r="D2019" s="28" t="s">
        <v>2798</v>
      </c>
      <c r="E2019" s="28" t="s">
        <v>211</v>
      </c>
      <c r="F2019" s="28" t="s">
        <v>212</v>
      </c>
      <c r="G2019" s="28"/>
      <c r="H2019" s="28">
        <v>5284522</v>
      </c>
      <c r="I2019" s="28">
        <v>161253</v>
      </c>
      <c r="J2019" s="28">
        <v>0.99</v>
      </c>
      <c r="K2019" s="28">
        <v>93</v>
      </c>
      <c r="L2019" s="28">
        <v>2</v>
      </c>
    </row>
    <row r="2020" spans="1:12" ht="14.25" customHeight="1" x14ac:dyDescent="0.2">
      <c r="A2020" s="28">
        <v>2019</v>
      </c>
      <c r="B2020" s="28" t="s">
        <v>2802</v>
      </c>
      <c r="C2020" s="28" t="s">
        <v>2797</v>
      </c>
      <c r="D2020" s="28" t="s">
        <v>2798</v>
      </c>
      <c r="E2020" s="28" t="s">
        <v>211</v>
      </c>
      <c r="F2020" s="28" t="s">
        <v>212</v>
      </c>
      <c r="G2020" s="28"/>
      <c r="H2020" s="28">
        <v>8784141</v>
      </c>
      <c r="I2020" s="28">
        <v>267075</v>
      </c>
      <c r="J2020" s="28">
        <v>0.99</v>
      </c>
      <c r="K2020" s="28">
        <v>31</v>
      </c>
      <c r="L2020" s="28">
        <v>1</v>
      </c>
    </row>
    <row r="2021" spans="1:12" ht="14.25" customHeight="1" x14ac:dyDescent="0.2">
      <c r="A2021" s="28">
        <v>2020</v>
      </c>
      <c r="B2021" s="28" t="s">
        <v>2803</v>
      </c>
      <c r="C2021" s="28" t="s">
        <v>2797</v>
      </c>
      <c r="D2021" s="28" t="s">
        <v>2798</v>
      </c>
      <c r="E2021" s="28" t="s">
        <v>211</v>
      </c>
      <c r="F2021" s="28" t="s">
        <v>212</v>
      </c>
      <c r="G2021" s="28"/>
      <c r="H2021" s="28">
        <v>7627348</v>
      </c>
      <c r="I2021" s="28">
        <v>233743</v>
      </c>
      <c r="J2021" s="28">
        <v>0.99</v>
      </c>
      <c r="K2021" s="28">
        <v>64</v>
      </c>
      <c r="L2021" s="28">
        <v>0</v>
      </c>
    </row>
    <row r="2022" spans="1:12" ht="14.25" customHeight="1" x14ac:dyDescent="0.2">
      <c r="A2022" s="28">
        <v>2021</v>
      </c>
      <c r="B2022" s="28" t="s">
        <v>2804</v>
      </c>
      <c r="C2022" s="28" t="s">
        <v>2797</v>
      </c>
      <c r="D2022" s="28" t="s">
        <v>2798</v>
      </c>
      <c r="E2022" s="28" t="s">
        <v>211</v>
      </c>
      <c r="F2022" s="28" t="s">
        <v>212</v>
      </c>
      <c r="G2022" s="28"/>
      <c r="H2022" s="28">
        <v>8640121</v>
      </c>
      <c r="I2022" s="28">
        <v>262791</v>
      </c>
      <c r="J2022" s="28">
        <v>0.99</v>
      </c>
      <c r="K2022" s="28">
        <v>42</v>
      </c>
      <c r="L2022" s="28">
        <v>1</v>
      </c>
    </row>
    <row r="2023" spans="1:12" ht="14.25" customHeight="1" x14ac:dyDescent="0.2">
      <c r="A2023" s="28">
        <v>2022</v>
      </c>
      <c r="B2023" s="28" t="s">
        <v>2805</v>
      </c>
      <c r="C2023" s="28" t="s">
        <v>2797</v>
      </c>
      <c r="D2023" s="28" t="s">
        <v>2798</v>
      </c>
      <c r="E2023" s="28" t="s">
        <v>211</v>
      </c>
      <c r="F2023" s="28" t="s">
        <v>212</v>
      </c>
      <c r="G2023" s="28"/>
      <c r="H2023" s="28">
        <v>7158975</v>
      </c>
      <c r="I2023" s="28">
        <v>217521</v>
      </c>
      <c r="J2023" s="28">
        <v>0.99</v>
      </c>
      <c r="K2023" s="28">
        <v>19</v>
      </c>
      <c r="L2023" s="28">
        <v>1</v>
      </c>
    </row>
    <row r="2024" spans="1:12" ht="14.25" customHeight="1" x14ac:dyDescent="0.2">
      <c r="A2024" s="28">
        <v>2023</v>
      </c>
      <c r="B2024" s="28" t="s">
        <v>2806</v>
      </c>
      <c r="C2024" s="28" t="s">
        <v>2797</v>
      </c>
      <c r="D2024" s="28" t="s">
        <v>2798</v>
      </c>
      <c r="E2024" s="28" t="s">
        <v>211</v>
      </c>
      <c r="F2024" s="28" t="s">
        <v>212</v>
      </c>
      <c r="G2024" s="28"/>
      <c r="H2024" s="28">
        <v>8469531</v>
      </c>
      <c r="I2024" s="28">
        <v>258351</v>
      </c>
      <c r="J2024" s="28">
        <v>0.99</v>
      </c>
      <c r="K2024" s="28">
        <v>96</v>
      </c>
      <c r="L2024" s="28">
        <v>1</v>
      </c>
    </row>
    <row r="2025" spans="1:12" ht="14.25" customHeight="1" x14ac:dyDescent="0.2">
      <c r="A2025" s="28">
        <v>2024</v>
      </c>
      <c r="B2025" s="28" t="s">
        <v>2807</v>
      </c>
      <c r="C2025" s="28" t="s">
        <v>2797</v>
      </c>
      <c r="D2025" s="28" t="s">
        <v>2798</v>
      </c>
      <c r="E2025" s="28" t="s">
        <v>211</v>
      </c>
      <c r="F2025" s="28" t="s">
        <v>212</v>
      </c>
      <c r="G2025" s="28"/>
      <c r="H2025" s="28">
        <v>9188110</v>
      </c>
      <c r="I2025" s="28">
        <v>284160</v>
      </c>
      <c r="J2025" s="28">
        <v>0.99</v>
      </c>
      <c r="K2025" s="28">
        <v>68</v>
      </c>
      <c r="L2025" s="28">
        <v>0</v>
      </c>
    </row>
    <row r="2026" spans="1:12" ht="14.25" customHeight="1" x14ac:dyDescent="0.2">
      <c r="A2026" s="28">
        <v>2025</v>
      </c>
      <c r="B2026" s="28" t="s">
        <v>2808</v>
      </c>
      <c r="C2026" s="28" t="s">
        <v>2797</v>
      </c>
      <c r="D2026" s="28" t="s">
        <v>2798</v>
      </c>
      <c r="E2026" s="28" t="s">
        <v>211</v>
      </c>
      <c r="F2026" s="28" t="s">
        <v>212</v>
      </c>
      <c r="G2026" s="28"/>
      <c r="H2026" s="28">
        <v>9949269</v>
      </c>
      <c r="I2026" s="28">
        <v>306625</v>
      </c>
      <c r="J2026" s="28">
        <v>0.99</v>
      </c>
      <c r="K2026" s="28">
        <v>91</v>
      </c>
      <c r="L2026" s="28">
        <v>1</v>
      </c>
    </row>
    <row r="2027" spans="1:12" ht="14.25" customHeight="1" x14ac:dyDescent="0.2">
      <c r="A2027" s="28">
        <v>2026</v>
      </c>
      <c r="B2027" s="28" t="s">
        <v>2809</v>
      </c>
      <c r="C2027" s="28" t="s">
        <v>2797</v>
      </c>
      <c r="D2027" s="28" t="s">
        <v>2798</v>
      </c>
      <c r="E2027" s="28" t="s">
        <v>211</v>
      </c>
      <c r="F2027" s="28" t="s">
        <v>212</v>
      </c>
      <c r="G2027" s="28"/>
      <c r="H2027" s="28">
        <v>10706614</v>
      </c>
      <c r="I2027" s="28">
        <v>330292</v>
      </c>
      <c r="J2027" s="28">
        <v>0.99</v>
      </c>
      <c r="K2027" s="28">
        <v>20</v>
      </c>
      <c r="L2027" s="28">
        <v>1</v>
      </c>
    </row>
    <row r="2028" spans="1:12" ht="14.25" customHeight="1" x14ac:dyDescent="0.2">
      <c r="A2028" s="28">
        <v>2027</v>
      </c>
      <c r="B2028" s="28" t="s">
        <v>2810</v>
      </c>
      <c r="C2028" s="28" t="s">
        <v>2797</v>
      </c>
      <c r="D2028" s="28" t="s">
        <v>2798</v>
      </c>
      <c r="E2028" s="28" t="s">
        <v>211</v>
      </c>
      <c r="F2028" s="28" t="s">
        <v>212</v>
      </c>
      <c r="G2028" s="28"/>
      <c r="H2028" s="28">
        <v>10784595</v>
      </c>
      <c r="I2028" s="28">
        <v>329795</v>
      </c>
      <c r="J2028" s="28">
        <v>0.99</v>
      </c>
      <c r="K2028" s="28">
        <v>89</v>
      </c>
      <c r="L2028" s="28">
        <v>2</v>
      </c>
    </row>
    <row r="2029" spans="1:12" ht="14.25" customHeight="1" x14ac:dyDescent="0.2">
      <c r="A2029" s="28">
        <v>2028</v>
      </c>
      <c r="B2029" s="28" t="s">
        <v>2811</v>
      </c>
      <c r="C2029" s="28" t="s">
        <v>2797</v>
      </c>
      <c r="D2029" s="28" t="s">
        <v>2798</v>
      </c>
      <c r="E2029" s="28" t="s">
        <v>211</v>
      </c>
      <c r="F2029" s="28" t="s">
        <v>212</v>
      </c>
      <c r="G2029" s="28"/>
      <c r="H2029" s="28">
        <v>7031383</v>
      </c>
      <c r="I2029" s="28">
        <v>214831</v>
      </c>
      <c r="J2029" s="28">
        <v>0.99</v>
      </c>
      <c r="K2029" s="28">
        <v>2</v>
      </c>
      <c r="L2029" s="28">
        <v>0</v>
      </c>
    </row>
    <row r="2030" spans="1:12" ht="14.25" customHeight="1" x14ac:dyDescent="0.2">
      <c r="A2030" s="28">
        <v>2029</v>
      </c>
      <c r="B2030" s="28" t="s">
        <v>2812</v>
      </c>
      <c r="C2030" s="28" t="s">
        <v>2797</v>
      </c>
      <c r="D2030" s="28" t="s">
        <v>2798</v>
      </c>
      <c r="E2030" s="28" t="s">
        <v>211</v>
      </c>
      <c r="F2030" s="28" t="s">
        <v>212</v>
      </c>
      <c r="G2030" s="28"/>
      <c r="H2030" s="28">
        <v>6517629</v>
      </c>
      <c r="I2030" s="28">
        <v>199105</v>
      </c>
      <c r="J2030" s="28">
        <v>0.99</v>
      </c>
      <c r="K2030" s="28">
        <v>79</v>
      </c>
      <c r="L2030" s="28">
        <v>1</v>
      </c>
    </row>
    <row r="2031" spans="1:12" ht="14.25" customHeight="1" x14ac:dyDescent="0.2">
      <c r="A2031" s="28">
        <v>2030</v>
      </c>
      <c r="B2031" s="28" t="s">
        <v>2813</v>
      </c>
      <c r="C2031" s="28" t="s">
        <v>2814</v>
      </c>
      <c r="D2031" s="28" t="s">
        <v>2814</v>
      </c>
      <c r="E2031" s="28" t="s">
        <v>211</v>
      </c>
      <c r="F2031" s="28" t="s">
        <v>490</v>
      </c>
      <c r="G2031" s="28"/>
      <c r="H2031" s="28">
        <v>8010811</v>
      </c>
      <c r="I2031" s="28">
        <v>240744</v>
      </c>
      <c r="J2031" s="28">
        <v>0.99</v>
      </c>
      <c r="K2031" s="28">
        <v>9</v>
      </c>
      <c r="L2031" s="28">
        <v>0</v>
      </c>
    </row>
    <row r="2032" spans="1:12" ht="14.25" customHeight="1" x14ac:dyDescent="0.2">
      <c r="A2032" s="28">
        <v>2031</v>
      </c>
      <c r="B2032" s="28" t="s">
        <v>2815</v>
      </c>
      <c r="C2032" s="28" t="s">
        <v>2814</v>
      </c>
      <c r="D2032" s="28" t="s">
        <v>2814</v>
      </c>
      <c r="E2032" s="28" t="s">
        <v>211</v>
      </c>
      <c r="F2032" s="28" t="s">
        <v>490</v>
      </c>
      <c r="G2032" s="28"/>
      <c r="H2032" s="28">
        <v>6233201</v>
      </c>
      <c r="I2032" s="28">
        <v>188212</v>
      </c>
      <c r="J2032" s="28">
        <v>0.99</v>
      </c>
      <c r="K2032" s="28">
        <v>67</v>
      </c>
      <c r="L2032" s="28">
        <v>2</v>
      </c>
    </row>
    <row r="2033" spans="1:12" ht="14.25" customHeight="1" x14ac:dyDescent="0.2">
      <c r="A2033" s="28">
        <v>2032</v>
      </c>
      <c r="B2033" s="28" t="s">
        <v>2816</v>
      </c>
      <c r="C2033" s="28" t="s">
        <v>2814</v>
      </c>
      <c r="D2033" s="28" t="s">
        <v>2814</v>
      </c>
      <c r="E2033" s="28" t="s">
        <v>211</v>
      </c>
      <c r="F2033" s="28" t="s">
        <v>490</v>
      </c>
      <c r="G2033" s="28"/>
      <c r="H2033" s="28">
        <v>7754245</v>
      </c>
      <c r="I2033" s="28">
        <v>233404</v>
      </c>
      <c r="J2033" s="28">
        <v>0.99</v>
      </c>
      <c r="K2033" s="28">
        <v>27</v>
      </c>
      <c r="L2033" s="28">
        <v>0</v>
      </c>
    </row>
    <row r="2034" spans="1:12" ht="14.25" customHeight="1" x14ac:dyDescent="0.2">
      <c r="A2034" s="28">
        <v>2033</v>
      </c>
      <c r="B2034" s="28" t="s">
        <v>2817</v>
      </c>
      <c r="C2034" s="28" t="s">
        <v>2814</v>
      </c>
      <c r="D2034" s="28" t="s">
        <v>2814</v>
      </c>
      <c r="E2034" s="28" t="s">
        <v>211</v>
      </c>
      <c r="F2034" s="28" t="s">
        <v>490</v>
      </c>
      <c r="G2034" s="28"/>
      <c r="H2034" s="28">
        <v>8270584</v>
      </c>
      <c r="I2034" s="28">
        <v>252264</v>
      </c>
      <c r="J2034" s="28">
        <v>0.99</v>
      </c>
      <c r="K2034" s="28">
        <v>25</v>
      </c>
      <c r="L2034" s="28">
        <v>0</v>
      </c>
    </row>
    <row r="2035" spans="1:12" ht="14.25" customHeight="1" x14ac:dyDescent="0.2">
      <c r="A2035" s="28">
        <v>2034</v>
      </c>
      <c r="B2035" s="28" t="s">
        <v>2818</v>
      </c>
      <c r="C2035" s="28" t="s">
        <v>2814</v>
      </c>
      <c r="D2035" s="28" t="s">
        <v>2814</v>
      </c>
      <c r="E2035" s="28" t="s">
        <v>211</v>
      </c>
      <c r="F2035" s="28" t="s">
        <v>490</v>
      </c>
      <c r="G2035" s="28"/>
      <c r="H2035" s="28">
        <v>7523278</v>
      </c>
      <c r="I2035" s="28">
        <v>228571</v>
      </c>
      <c r="J2035" s="28">
        <v>0.99</v>
      </c>
      <c r="K2035" s="28">
        <v>84</v>
      </c>
      <c r="L2035" s="28">
        <v>0</v>
      </c>
    </row>
    <row r="2036" spans="1:12" ht="14.25" customHeight="1" x14ac:dyDescent="0.2">
      <c r="A2036" s="28">
        <v>2035</v>
      </c>
      <c r="B2036" s="28" t="s">
        <v>2819</v>
      </c>
      <c r="C2036" s="28" t="s">
        <v>2814</v>
      </c>
      <c r="D2036" s="28" t="s">
        <v>2814</v>
      </c>
      <c r="E2036" s="28" t="s">
        <v>211</v>
      </c>
      <c r="F2036" s="28" t="s">
        <v>490</v>
      </c>
      <c r="G2036" s="28"/>
      <c r="H2036" s="28">
        <v>8121434</v>
      </c>
      <c r="I2036" s="28">
        <v>245133</v>
      </c>
      <c r="J2036" s="28">
        <v>0.99</v>
      </c>
      <c r="K2036" s="28">
        <v>7</v>
      </c>
      <c r="L2036" s="28">
        <v>1</v>
      </c>
    </row>
    <row r="2037" spans="1:12" ht="14.25" customHeight="1" x14ac:dyDescent="0.2">
      <c r="A2037" s="28">
        <v>2036</v>
      </c>
      <c r="B2037" s="28" t="s">
        <v>2820</v>
      </c>
      <c r="C2037" s="28" t="s">
        <v>2814</v>
      </c>
      <c r="D2037" s="28" t="s">
        <v>2814</v>
      </c>
      <c r="E2037" s="28" t="s">
        <v>211</v>
      </c>
      <c r="F2037" s="28" t="s">
        <v>490</v>
      </c>
      <c r="G2037" s="28"/>
      <c r="H2037" s="28">
        <v>5327433</v>
      </c>
      <c r="I2037" s="28">
        <v>159555</v>
      </c>
      <c r="J2037" s="28">
        <v>0.99</v>
      </c>
      <c r="K2037" s="28">
        <v>53</v>
      </c>
      <c r="L2037" s="28">
        <v>1</v>
      </c>
    </row>
    <row r="2038" spans="1:12" ht="14.25" customHeight="1" x14ac:dyDescent="0.2">
      <c r="A2038" s="28">
        <v>2037</v>
      </c>
      <c r="B2038" s="28" t="s">
        <v>2821</v>
      </c>
      <c r="C2038" s="28" t="s">
        <v>2814</v>
      </c>
      <c r="D2038" s="28" t="s">
        <v>2814</v>
      </c>
      <c r="E2038" s="28" t="s">
        <v>211</v>
      </c>
      <c r="F2038" s="28" t="s">
        <v>490</v>
      </c>
      <c r="G2038" s="28"/>
      <c r="H2038" s="28">
        <v>4900121</v>
      </c>
      <c r="I2038" s="28">
        <v>146599</v>
      </c>
      <c r="J2038" s="28">
        <v>0.99</v>
      </c>
      <c r="K2038" s="28">
        <v>44</v>
      </c>
      <c r="L2038" s="28">
        <v>0</v>
      </c>
    </row>
    <row r="2039" spans="1:12" ht="14.25" customHeight="1" x14ac:dyDescent="0.2">
      <c r="A2039" s="28">
        <v>2038</v>
      </c>
      <c r="B2039" s="28" t="s">
        <v>2822</v>
      </c>
      <c r="C2039" s="28" t="s">
        <v>2814</v>
      </c>
      <c r="D2039" s="28" t="s">
        <v>2814</v>
      </c>
      <c r="E2039" s="28" t="s">
        <v>211</v>
      </c>
      <c r="F2039" s="28" t="s">
        <v>490</v>
      </c>
      <c r="G2039" s="28"/>
      <c r="H2039" s="28">
        <v>7082301</v>
      </c>
      <c r="I2039" s="28">
        <v>211565</v>
      </c>
      <c r="J2039" s="28">
        <v>0.99</v>
      </c>
      <c r="K2039" s="28">
        <v>77</v>
      </c>
      <c r="L2039" s="28">
        <v>0</v>
      </c>
    </row>
    <row r="2040" spans="1:12" ht="14.25" customHeight="1" x14ac:dyDescent="0.2">
      <c r="A2040" s="28">
        <v>2039</v>
      </c>
      <c r="B2040" s="28" t="s">
        <v>2823</v>
      </c>
      <c r="C2040" s="28" t="s">
        <v>2814</v>
      </c>
      <c r="D2040" s="28" t="s">
        <v>2814</v>
      </c>
      <c r="E2040" s="28" t="s">
        <v>211</v>
      </c>
      <c r="F2040" s="28" t="s">
        <v>490</v>
      </c>
      <c r="G2040" s="28"/>
      <c r="H2040" s="28">
        <v>7233608</v>
      </c>
      <c r="I2040" s="28">
        <v>217286</v>
      </c>
      <c r="J2040" s="28">
        <v>0.99</v>
      </c>
      <c r="K2040" s="28">
        <v>45</v>
      </c>
      <c r="L2040" s="28">
        <v>1</v>
      </c>
    </row>
    <row r="2041" spans="1:12" ht="14.25" customHeight="1" x14ac:dyDescent="0.2">
      <c r="A2041" s="28">
        <v>2040</v>
      </c>
      <c r="B2041" s="28" t="s">
        <v>2824</v>
      </c>
      <c r="C2041" s="28" t="s">
        <v>2814</v>
      </c>
      <c r="D2041" s="28" t="s">
        <v>2814</v>
      </c>
      <c r="E2041" s="28" t="s">
        <v>211</v>
      </c>
      <c r="F2041" s="28" t="s">
        <v>490</v>
      </c>
      <c r="G2041" s="28"/>
      <c r="H2041" s="28">
        <v>7557065</v>
      </c>
      <c r="I2041" s="28">
        <v>230191</v>
      </c>
      <c r="J2041" s="28">
        <v>0.99</v>
      </c>
      <c r="K2041" s="28">
        <v>61</v>
      </c>
      <c r="L2041" s="28">
        <v>2</v>
      </c>
    </row>
    <row r="2042" spans="1:12" ht="14.25" customHeight="1" x14ac:dyDescent="0.2">
      <c r="A2042" s="28">
        <v>2041</v>
      </c>
      <c r="B2042" s="28" t="s">
        <v>2825</v>
      </c>
      <c r="C2042" s="28" t="s">
        <v>2814</v>
      </c>
      <c r="D2042" s="28" t="s">
        <v>2814</v>
      </c>
      <c r="E2042" s="28" t="s">
        <v>211</v>
      </c>
      <c r="F2042" s="28" t="s">
        <v>490</v>
      </c>
      <c r="G2042" s="28"/>
      <c r="H2042" s="28">
        <v>7499807</v>
      </c>
      <c r="I2042" s="28">
        <v>224470</v>
      </c>
      <c r="J2042" s="28">
        <v>0.99</v>
      </c>
      <c r="K2042" s="28">
        <v>90</v>
      </c>
      <c r="L2042" s="28">
        <v>1</v>
      </c>
    </row>
    <row r="2043" spans="1:12" ht="14.25" customHeight="1" x14ac:dyDescent="0.2">
      <c r="A2043" s="28">
        <v>2042</v>
      </c>
      <c r="B2043" s="28" t="s">
        <v>2826</v>
      </c>
      <c r="C2043" s="28" t="s">
        <v>2814</v>
      </c>
      <c r="D2043" s="28" t="s">
        <v>2814</v>
      </c>
      <c r="E2043" s="28" t="s">
        <v>211</v>
      </c>
      <c r="F2043" s="28" t="s">
        <v>490</v>
      </c>
      <c r="G2043" s="28"/>
      <c r="H2043" s="28">
        <v>6766104</v>
      </c>
      <c r="I2043" s="28">
        <v>206001</v>
      </c>
      <c r="J2043" s="28">
        <v>0.99</v>
      </c>
      <c r="K2043" s="28">
        <v>81</v>
      </c>
      <c r="L2043" s="28">
        <v>1</v>
      </c>
    </row>
    <row r="2044" spans="1:12" ht="14.25" customHeight="1" x14ac:dyDescent="0.2">
      <c r="A2044" s="28">
        <v>2043</v>
      </c>
      <c r="B2044" s="28" t="s">
        <v>2827</v>
      </c>
      <c r="C2044" s="28" t="s">
        <v>2814</v>
      </c>
      <c r="D2044" s="28" t="s">
        <v>2814</v>
      </c>
      <c r="E2044" s="28" t="s">
        <v>211</v>
      </c>
      <c r="F2044" s="28" t="s">
        <v>490</v>
      </c>
      <c r="G2044" s="28"/>
      <c r="H2044" s="28">
        <v>7871409</v>
      </c>
      <c r="I2044" s="28">
        <v>235833</v>
      </c>
      <c r="J2044" s="28">
        <v>0.99</v>
      </c>
      <c r="K2044" s="28">
        <v>49</v>
      </c>
      <c r="L2044" s="28">
        <v>1</v>
      </c>
    </row>
    <row r="2045" spans="1:12" ht="14.25" customHeight="1" x14ac:dyDescent="0.2">
      <c r="A2045" s="28">
        <v>2044</v>
      </c>
      <c r="B2045" s="28" t="s">
        <v>2828</v>
      </c>
      <c r="C2045" s="28" t="s">
        <v>2829</v>
      </c>
      <c r="D2045" s="28" t="s">
        <v>2830</v>
      </c>
      <c r="E2045" s="28" t="s">
        <v>211</v>
      </c>
      <c r="F2045" s="28" t="s">
        <v>490</v>
      </c>
      <c r="G2045" s="28" t="s">
        <v>2831</v>
      </c>
      <c r="H2045" s="28">
        <v>9495202</v>
      </c>
      <c r="I2045" s="28">
        <v>287059</v>
      </c>
      <c r="J2045" s="28">
        <v>0.99</v>
      </c>
      <c r="K2045" s="28">
        <v>46</v>
      </c>
      <c r="L2045" s="28">
        <v>1</v>
      </c>
    </row>
    <row r="2046" spans="1:12" ht="14.25" customHeight="1" x14ac:dyDescent="0.2">
      <c r="A2046" s="28">
        <v>2045</v>
      </c>
      <c r="B2046" s="28" t="s">
        <v>2832</v>
      </c>
      <c r="C2046" s="28" t="s">
        <v>2829</v>
      </c>
      <c r="D2046" s="28" t="s">
        <v>2830</v>
      </c>
      <c r="E2046" s="28" t="s">
        <v>211</v>
      </c>
      <c r="F2046" s="28" t="s">
        <v>490</v>
      </c>
      <c r="G2046" s="28" t="s">
        <v>587</v>
      </c>
      <c r="H2046" s="28">
        <v>7507655</v>
      </c>
      <c r="I2046" s="28">
        <v>225880</v>
      </c>
      <c r="J2046" s="28">
        <v>0.99</v>
      </c>
      <c r="K2046" s="28">
        <v>36</v>
      </c>
      <c r="L2046" s="28">
        <v>1</v>
      </c>
    </row>
    <row r="2047" spans="1:12" ht="14.25" customHeight="1" x14ac:dyDescent="0.2">
      <c r="A2047" s="28">
        <v>2046</v>
      </c>
      <c r="B2047" s="28" t="s">
        <v>554</v>
      </c>
      <c r="C2047" s="28" t="s">
        <v>2829</v>
      </c>
      <c r="D2047" s="28" t="s">
        <v>2830</v>
      </c>
      <c r="E2047" s="28" t="s">
        <v>211</v>
      </c>
      <c r="F2047" s="28" t="s">
        <v>490</v>
      </c>
      <c r="G2047" s="28" t="s">
        <v>2833</v>
      </c>
      <c r="H2047" s="28">
        <v>5382018</v>
      </c>
      <c r="I2047" s="28">
        <v>162925</v>
      </c>
      <c r="J2047" s="28">
        <v>0.99</v>
      </c>
      <c r="K2047" s="28">
        <v>29</v>
      </c>
      <c r="L2047" s="28">
        <v>1</v>
      </c>
    </row>
    <row r="2048" spans="1:12" ht="14.25" customHeight="1" x14ac:dyDescent="0.2">
      <c r="A2048" s="28">
        <v>2047</v>
      </c>
      <c r="B2048" s="28" t="s">
        <v>2834</v>
      </c>
      <c r="C2048" s="28" t="s">
        <v>2829</v>
      </c>
      <c r="D2048" s="28" t="s">
        <v>2830</v>
      </c>
      <c r="E2048" s="28" t="s">
        <v>211</v>
      </c>
      <c r="F2048" s="28" t="s">
        <v>490</v>
      </c>
      <c r="G2048" s="28" t="s">
        <v>587</v>
      </c>
      <c r="H2048" s="28">
        <v>6090334</v>
      </c>
      <c r="I2048" s="28">
        <v>184555</v>
      </c>
      <c r="J2048" s="28">
        <v>0.99</v>
      </c>
      <c r="K2048" s="28">
        <v>22</v>
      </c>
      <c r="L2048" s="28">
        <v>1</v>
      </c>
    </row>
    <row r="2049" spans="1:12" ht="14.25" customHeight="1" x14ac:dyDescent="0.2">
      <c r="A2049" s="28">
        <v>2048</v>
      </c>
      <c r="B2049" s="28" t="s">
        <v>2835</v>
      </c>
      <c r="C2049" s="28" t="s">
        <v>2829</v>
      </c>
      <c r="D2049" s="28" t="s">
        <v>2830</v>
      </c>
      <c r="E2049" s="28" t="s">
        <v>211</v>
      </c>
      <c r="F2049" s="28" t="s">
        <v>490</v>
      </c>
      <c r="G2049" s="28" t="s">
        <v>587</v>
      </c>
      <c r="H2049" s="28">
        <v>6036046</v>
      </c>
      <c r="I2049" s="28">
        <v>182987</v>
      </c>
      <c r="J2049" s="28">
        <v>0.99</v>
      </c>
      <c r="K2049" s="28">
        <v>69</v>
      </c>
      <c r="L2049" s="28">
        <v>1</v>
      </c>
    </row>
    <row r="2050" spans="1:12" ht="14.25" customHeight="1" x14ac:dyDescent="0.2">
      <c r="A2050" s="28">
        <v>2049</v>
      </c>
      <c r="B2050" s="28" t="s">
        <v>2836</v>
      </c>
      <c r="C2050" s="28" t="s">
        <v>2829</v>
      </c>
      <c r="D2050" s="28" t="s">
        <v>2830</v>
      </c>
      <c r="E2050" s="28" t="s">
        <v>211</v>
      </c>
      <c r="F2050" s="28" t="s">
        <v>490</v>
      </c>
      <c r="G2050" s="28" t="s">
        <v>587</v>
      </c>
      <c r="H2050" s="28">
        <v>6899778</v>
      </c>
      <c r="I2050" s="28">
        <v>206524</v>
      </c>
      <c r="J2050" s="28">
        <v>0.99</v>
      </c>
      <c r="K2050" s="28">
        <v>39</v>
      </c>
      <c r="L2050" s="28">
        <v>1</v>
      </c>
    </row>
    <row r="2051" spans="1:12" ht="14.25" customHeight="1" x14ac:dyDescent="0.2">
      <c r="A2051" s="28">
        <v>2050</v>
      </c>
      <c r="B2051" s="28" t="s">
        <v>2837</v>
      </c>
      <c r="C2051" s="28" t="s">
        <v>2829</v>
      </c>
      <c r="D2051" s="28" t="s">
        <v>2830</v>
      </c>
      <c r="E2051" s="28" t="s">
        <v>211</v>
      </c>
      <c r="F2051" s="28" t="s">
        <v>490</v>
      </c>
      <c r="G2051" s="28" t="s">
        <v>2838</v>
      </c>
      <c r="H2051" s="28">
        <v>8091302</v>
      </c>
      <c r="I2051" s="28">
        <v>244976</v>
      </c>
      <c r="J2051" s="28">
        <v>0.99</v>
      </c>
      <c r="K2051" s="28">
        <v>3</v>
      </c>
      <c r="L2051" s="28">
        <v>1</v>
      </c>
    </row>
    <row r="2052" spans="1:12" ht="14.25" customHeight="1" x14ac:dyDescent="0.2">
      <c r="A2052" s="28">
        <v>2051</v>
      </c>
      <c r="B2052" s="28" t="s">
        <v>2839</v>
      </c>
      <c r="C2052" s="28" t="s">
        <v>2829</v>
      </c>
      <c r="D2052" s="28" t="s">
        <v>2830</v>
      </c>
      <c r="E2052" s="28" t="s">
        <v>211</v>
      </c>
      <c r="F2052" s="28" t="s">
        <v>490</v>
      </c>
      <c r="G2052" s="28" t="s">
        <v>587</v>
      </c>
      <c r="H2052" s="28">
        <v>7931552</v>
      </c>
      <c r="I2052" s="28">
        <v>240796</v>
      </c>
      <c r="J2052" s="28">
        <v>0.99</v>
      </c>
      <c r="K2052" s="28">
        <v>23</v>
      </c>
      <c r="L2052" s="28">
        <v>1</v>
      </c>
    </row>
    <row r="2053" spans="1:12" ht="14.25" customHeight="1" x14ac:dyDescent="0.2">
      <c r="A2053" s="28">
        <v>2052</v>
      </c>
      <c r="B2053" s="28" t="s">
        <v>2840</v>
      </c>
      <c r="C2053" s="28" t="s">
        <v>2829</v>
      </c>
      <c r="D2053" s="28" t="s">
        <v>2830</v>
      </c>
      <c r="E2053" s="28" t="s">
        <v>211</v>
      </c>
      <c r="F2053" s="28" t="s">
        <v>490</v>
      </c>
      <c r="G2053" s="28" t="s">
        <v>2841</v>
      </c>
      <c r="H2053" s="28">
        <v>6921669</v>
      </c>
      <c r="I2053" s="28">
        <v>208013</v>
      </c>
      <c r="J2053" s="28">
        <v>0.99</v>
      </c>
      <c r="K2053" s="28">
        <v>58</v>
      </c>
      <c r="L2053" s="28">
        <v>1</v>
      </c>
    </row>
    <row r="2054" spans="1:12" ht="14.25" customHeight="1" x14ac:dyDescent="0.2">
      <c r="A2054" s="28">
        <v>2053</v>
      </c>
      <c r="B2054" s="28" t="s">
        <v>2842</v>
      </c>
      <c r="C2054" s="28" t="s">
        <v>2829</v>
      </c>
      <c r="D2054" s="28" t="s">
        <v>2830</v>
      </c>
      <c r="E2054" s="28" t="s">
        <v>211</v>
      </c>
      <c r="F2054" s="28" t="s">
        <v>490</v>
      </c>
      <c r="G2054" s="28" t="s">
        <v>587</v>
      </c>
      <c r="H2054" s="28">
        <v>6192791</v>
      </c>
      <c r="I2054" s="28">
        <v>188577</v>
      </c>
      <c r="J2054" s="28">
        <v>0.99</v>
      </c>
      <c r="K2054" s="28">
        <v>94</v>
      </c>
      <c r="L2054" s="28">
        <v>0</v>
      </c>
    </row>
    <row r="2055" spans="1:12" ht="14.25" customHeight="1" x14ac:dyDescent="0.2">
      <c r="A2055" s="28">
        <v>2054</v>
      </c>
      <c r="B2055" s="28" t="s">
        <v>2843</v>
      </c>
      <c r="C2055" s="28" t="s">
        <v>2829</v>
      </c>
      <c r="D2055" s="28" t="s">
        <v>2830</v>
      </c>
      <c r="E2055" s="28" t="s">
        <v>211</v>
      </c>
      <c r="F2055" s="28" t="s">
        <v>490</v>
      </c>
      <c r="G2055" s="28" t="s">
        <v>2844</v>
      </c>
      <c r="H2055" s="28">
        <v>4942831</v>
      </c>
      <c r="I2055" s="28">
        <v>148558</v>
      </c>
      <c r="J2055" s="28">
        <v>0.99</v>
      </c>
      <c r="K2055" s="28">
        <v>47</v>
      </c>
      <c r="L2055" s="28">
        <v>2</v>
      </c>
    </row>
    <row r="2056" spans="1:12" ht="14.25" customHeight="1" x14ac:dyDescent="0.2">
      <c r="A2056" s="28">
        <v>2055</v>
      </c>
      <c r="B2056" s="28" t="s">
        <v>2845</v>
      </c>
      <c r="C2056" s="28" t="s">
        <v>2829</v>
      </c>
      <c r="D2056" s="28" t="s">
        <v>2830</v>
      </c>
      <c r="E2056" s="28" t="s">
        <v>211</v>
      </c>
      <c r="F2056" s="28" t="s">
        <v>490</v>
      </c>
      <c r="G2056" s="28" t="s">
        <v>587</v>
      </c>
      <c r="H2056" s="28">
        <v>5857116</v>
      </c>
      <c r="I2056" s="28">
        <v>178337</v>
      </c>
      <c r="J2056" s="28">
        <v>0.99</v>
      </c>
      <c r="K2056" s="28">
        <v>37</v>
      </c>
      <c r="L2056" s="28">
        <v>1</v>
      </c>
    </row>
    <row r="2057" spans="1:12" ht="14.25" customHeight="1" x14ac:dyDescent="0.2">
      <c r="A2057" s="28">
        <v>2056</v>
      </c>
      <c r="B2057" s="28" t="s">
        <v>2846</v>
      </c>
      <c r="C2057" s="28" t="s">
        <v>2829</v>
      </c>
      <c r="D2057" s="28" t="s">
        <v>2830</v>
      </c>
      <c r="E2057" s="28" t="s">
        <v>211</v>
      </c>
      <c r="F2057" s="28" t="s">
        <v>490</v>
      </c>
      <c r="G2057" s="28" t="s">
        <v>2847</v>
      </c>
      <c r="H2057" s="28">
        <v>6568180</v>
      </c>
      <c r="I2057" s="28">
        <v>198922</v>
      </c>
      <c r="J2057" s="28">
        <v>0.99</v>
      </c>
      <c r="K2057" s="28">
        <v>41</v>
      </c>
      <c r="L2057" s="28">
        <v>0</v>
      </c>
    </row>
    <row r="2058" spans="1:12" ht="14.25" customHeight="1" x14ac:dyDescent="0.2">
      <c r="A2058" s="28">
        <v>2057</v>
      </c>
      <c r="B2058" s="28" t="s">
        <v>2382</v>
      </c>
      <c r="C2058" s="28" t="s">
        <v>2829</v>
      </c>
      <c r="D2058" s="28" t="s">
        <v>2830</v>
      </c>
      <c r="E2058" s="28" t="s">
        <v>211</v>
      </c>
      <c r="F2058" s="28" t="s">
        <v>490</v>
      </c>
      <c r="G2058" s="28" t="s">
        <v>2356</v>
      </c>
      <c r="H2058" s="28">
        <v>7137865</v>
      </c>
      <c r="I2058" s="28">
        <v>216685</v>
      </c>
      <c r="J2058" s="28">
        <v>0.99</v>
      </c>
      <c r="K2058" s="28">
        <v>67</v>
      </c>
      <c r="L2058" s="28">
        <v>0</v>
      </c>
    </row>
    <row r="2059" spans="1:12" ht="14.25" customHeight="1" x14ac:dyDescent="0.2">
      <c r="A2059" s="28">
        <v>2058</v>
      </c>
      <c r="B2059" s="28" t="s">
        <v>2848</v>
      </c>
      <c r="C2059" s="28" t="s">
        <v>2829</v>
      </c>
      <c r="D2059" s="28" t="s">
        <v>2830</v>
      </c>
      <c r="E2059" s="28" t="s">
        <v>211</v>
      </c>
      <c r="F2059" s="28" t="s">
        <v>490</v>
      </c>
      <c r="G2059" s="28" t="s">
        <v>587</v>
      </c>
      <c r="H2059" s="28">
        <v>8761283</v>
      </c>
      <c r="I2059" s="28">
        <v>262870</v>
      </c>
      <c r="J2059" s="28">
        <v>0.99</v>
      </c>
      <c r="K2059" s="28">
        <v>77</v>
      </c>
      <c r="L2059" s="28">
        <v>1</v>
      </c>
    </row>
    <row r="2060" spans="1:12" ht="14.25" customHeight="1" x14ac:dyDescent="0.2">
      <c r="A2060" s="28">
        <v>2059</v>
      </c>
      <c r="B2060" s="28" t="s">
        <v>2849</v>
      </c>
      <c r="C2060" s="28" t="s">
        <v>2829</v>
      </c>
      <c r="D2060" s="28" t="s">
        <v>2830</v>
      </c>
      <c r="E2060" s="28" t="s">
        <v>211</v>
      </c>
      <c r="F2060" s="28" t="s">
        <v>490</v>
      </c>
      <c r="G2060" s="28" t="s">
        <v>2850</v>
      </c>
      <c r="H2060" s="28">
        <v>6001793</v>
      </c>
      <c r="I2060" s="28">
        <v>182517</v>
      </c>
      <c r="J2060" s="28">
        <v>0.99</v>
      </c>
      <c r="K2060" s="28">
        <v>55</v>
      </c>
      <c r="L2060" s="28">
        <v>0</v>
      </c>
    </row>
    <row r="2061" spans="1:12" ht="14.25" customHeight="1" x14ac:dyDescent="0.2">
      <c r="A2061" s="28">
        <v>2060</v>
      </c>
      <c r="B2061" s="28" t="s">
        <v>2851</v>
      </c>
      <c r="C2061" s="28" t="s">
        <v>2829</v>
      </c>
      <c r="D2061" s="28" t="s">
        <v>2830</v>
      </c>
      <c r="E2061" s="28" t="s">
        <v>211</v>
      </c>
      <c r="F2061" s="28" t="s">
        <v>490</v>
      </c>
      <c r="G2061" s="28" t="s">
        <v>2852</v>
      </c>
      <c r="H2061" s="28">
        <v>8514961</v>
      </c>
      <c r="I2061" s="28">
        <v>255738</v>
      </c>
      <c r="J2061" s="28">
        <v>0.99</v>
      </c>
      <c r="K2061" s="28">
        <v>72</v>
      </c>
      <c r="L2061" s="28">
        <v>0</v>
      </c>
    </row>
    <row r="2062" spans="1:12" ht="14.25" customHeight="1" x14ac:dyDescent="0.2">
      <c r="A2062" s="28">
        <v>2061</v>
      </c>
      <c r="B2062" s="28" t="s">
        <v>2853</v>
      </c>
      <c r="C2062" s="28" t="s">
        <v>2829</v>
      </c>
      <c r="D2062" s="28" t="s">
        <v>2830</v>
      </c>
      <c r="E2062" s="28" t="s">
        <v>211</v>
      </c>
      <c r="F2062" s="28" t="s">
        <v>490</v>
      </c>
      <c r="G2062" s="28" t="s">
        <v>587</v>
      </c>
      <c r="H2062" s="28">
        <v>7585707</v>
      </c>
      <c r="I2062" s="28">
        <v>228754</v>
      </c>
      <c r="J2062" s="28">
        <v>0.99</v>
      </c>
      <c r="K2062" s="28">
        <v>86</v>
      </c>
      <c r="L2062" s="28">
        <v>1</v>
      </c>
    </row>
    <row r="2063" spans="1:12" ht="14.25" customHeight="1" x14ac:dyDescent="0.2">
      <c r="A2063" s="28">
        <v>2062</v>
      </c>
      <c r="B2063" s="28" t="s">
        <v>2854</v>
      </c>
      <c r="C2063" s="28" t="s">
        <v>2829</v>
      </c>
      <c r="D2063" s="28" t="s">
        <v>2830</v>
      </c>
      <c r="E2063" s="28" t="s">
        <v>211</v>
      </c>
      <c r="F2063" s="28" t="s">
        <v>490</v>
      </c>
      <c r="G2063" s="28" t="s">
        <v>2855</v>
      </c>
      <c r="H2063" s="28">
        <v>8543439</v>
      </c>
      <c r="I2063" s="28">
        <v>259186</v>
      </c>
      <c r="J2063" s="28">
        <v>0.99</v>
      </c>
      <c r="K2063" s="28">
        <v>85</v>
      </c>
      <c r="L2063" s="28">
        <v>1</v>
      </c>
    </row>
    <row r="2064" spans="1:12" ht="14.25" customHeight="1" x14ac:dyDescent="0.2">
      <c r="A2064" s="28">
        <v>2063</v>
      </c>
      <c r="B2064" s="28" t="s">
        <v>2856</v>
      </c>
      <c r="C2064" s="28" t="s">
        <v>2829</v>
      </c>
      <c r="D2064" s="28" t="s">
        <v>2830</v>
      </c>
      <c r="E2064" s="28" t="s">
        <v>211</v>
      </c>
      <c r="F2064" s="28" t="s">
        <v>490</v>
      </c>
      <c r="G2064" s="28" t="s">
        <v>587</v>
      </c>
      <c r="H2064" s="28">
        <v>6732496</v>
      </c>
      <c r="I2064" s="28">
        <v>203415</v>
      </c>
      <c r="J2064" s="28">
        <v>0.99</v>
      </c>
      <c r="K2064" s="28">
        <v>76</v>
      </c>
      <c r="L2064" s="28">
        <v>2</v>
      </c>
    </row>
    <row r="2065" spans="1:12" ht="14.25" customHeight="1" x14ac:dyDescent="0.2">
      <c r="A2065" s="28">
        <v>2064</v>
      </c>
      <c r="B2065" s="28" t="s">
        <v>2857</v>
      </c>
      <c r="C2065" s="28" t="s">
        <v>2829</v>
      </c>
      <c r="D2065" s="28" t="s">
        <v>2830</v>
      </c>
      <c r="E2065" s="28" t="s">
        <v>211</v>
      </c>
      <c r="F2065" s="28" t="s">
        <v>490</v>
      </c>
      <c r="G2065" s="28" t="s">
        <v>587</v>
      </c>
      <c r="H2065" s="28">
        <v>8484597</v>
      </c>
      <c r="I2065" s="28">
        <v>256522</v>
      </c>
      <c r="J2065" s="28">
        <v>0.99</v>
      </c>
      <c r="K2065" s="28">
        <v>81</v>
      </c>
      <c r="L2065" s="28">
        <v>1</v>
      </c>
    </row>
    <row r="2066" spans="1:12" ht="14.25" customHeight="1" x14ac:dyDescent="0.2">
      <c r="A2066" s="28">
        <v>2065</v>
      </c>
      <c r="B2066" s="28" t="s">
        <v>2858</v>
      </c>
      <c r="C2066" s="28" t="s">
        <v>2859</v>
      </c>
      <c r="D2066" s="28" t="s">
        <v>2830</v>
      </c>
      <c r="E2066" s="28" t="s">
        <v>211</v>
      </c>
      <c r="F2066" s="28" t="s">
        <v>490</v>
      </c>
      <c r="G2066" s="28" t="s">
        <v>2860</v>
      </c>
      <c r="H2066" s="28">
        <v>7638256</v>
      </c>
      <c r="I2066" s="28">
        <v>231653</v>
      </c>
      <c r="J2066" s="28">
        <v>0.99</v>
      </c>
      <c r="K2066" s="28">
        <v>15</v>
      </c>
      <c r="L2066" s="28">
        <v>1</v>
      </c>
    </row>
    <row r="2067" spans="1:12" ht="14.25" customHeight="1" x14ac:dyDescent="0.2">
      <c r="A2067" s="28">
        <v>2066</v>
      </c>
      <c r="B2067" s="28" t="s">
        <v>2846</v>
      </c>
      <c r="C2067" s="28" t="s">
        <v>2859</v>
      </c>
      <c r="D2067" s="28" t="s">
        <v>2830</v>
      </c>
      <c r="E2067" s="28" t="s">
        <v>211</v>
      </c>
      <c r="F2067" s="28" t="s">
        <v>490</v>
      </c>
      <c r="G2067" s="28" t="s">
        <v>2861</v>
      </c>
      <c r="H2067" s="28">
        <v>7342776</v>
      </c>
      <c r="I2067" s="28">
        <v>219585</v>
      </c>
      <c r="J2067" s="28">
        <v>0.99</v>
      </c>
      <c r="K2067" s="28">
        <v>36</v>
      </c>
      <c r="L2067" s="28">
        <v>1</v>
      </c>
    </row>
    <row r="2068" spans="1:12" ht="14.25" customHeight="1" x14ac:dyDescent="0.2">
      <c r="A2068" s="28">
        <v>2067</v>
      </c>
      <c r="B2068" s="28" t="s">
        <v>2862</v>
      </c>
      <c r="C2068" s="28" t="s">
        <v>2859</v>
      </c>
      <c r="D2068" s="28" t="s">
        <v>2830</v>
      </c>
      <c r="E2068" s="28" t="s">
        <v>211</v>
      </c>
      <c r="F2068" s="28" t="s">
        <v>490</v>
      </c>
      <c r="G2068" s="28" t="s">
        <v>587</v>
      </c>
      <c r="H2068" s="28">
        <v>6061324</v>
      </c>
      <c r="I2068" s="28">
        <v>183588</v>
      </c>
      <c r="J2068" s="28">
        <v>0.99</v>
      </c>
      <c r="K2068" s="28">
        <v>10</v>
      </c>
      <c r="L2068" s="28">
        <v>2</v>
      </c>
    </row>
    <row r="2069" spans="1:12" ht="14.25" customHeight="1" x14ac:dyDescent="0.2">
      <c r="A2069" s="28">
        <v>2068</v>
      </c>
      <c r="B2069" s="28" t="s">
        <v>2863</v>
      </c>
      <c r="C2069" s="28" t="s">
        <v>2859</v>
      </c>
      <c r="D2069" s="28" t="s">
        <v>2830</v>
      </c>
      <c r="E2069" s="28" t="s">
        <v>211</v>
      </c>
      <c r="F2069" s="28" t="s">
        <v>490</v>
      </c>
      <c r="G2069" s="28" t="s">
        <v>2864</v>
      </c>
      <c r="H2069" s="28">
        <v>5301882</v>
      </c>
      <c r="I2069" s="28">
        <v>159895</v>
      </c>
      <c r="J2069" s="28">
        <v>0.99</v>
      </c>
      <c r="K2069" s="28">
        <v>13</v>
      </c>
      <c r="L2069" s="28">
        <v>0</v>
      </c>
    </row>
    <row r="2070" spans="1:12" ht="14.25" customHeight="1" x14ac:dyDescent="0.2">
      <c r="A2070" s="28">
        <v>2069</v>
      </c>
      <c r="B2070" s="28" t="s">
        <v>2865</v>
      </c>
      <c r="C2070" s="28" t="s">
        <v>2859</v>
      </c>
      <c r="D2070" s="28" t="s">
        <v>2830</v>
      </c>
      <c r="E2070" s="28" t="s">
        <v>211</v>
      </c>
      <c r="F2070" s="28" t="s">
        <v>490</v>
      </c>
      <c r="G2070" s="28" t="s">
        <v>587</v>
      </c>
      <c r="H2070" s="28">
        <v>6428598</v>
      </c>
      <c r="I2070" s="28">
        <v>192653</v>
      </c>
      <c r="J2070" s="28">
        <v>0.99</v>
      </c>
      <c r="K2070" s="28">
        <v>13</v>
      </c>
      <c r="L2070" s="28">
        <v>1</v>
      </c>
    </row>
    <row r="2071" spans="1:12" ht="14.25" customHeight="1" x14ac:dyDescent="0.2">
      <c r="A2071" s="28">
        <v>2070</v>
      </c>
      <c r="B2071" s="28" t="s">
        <v>2866</v>
      </c>
      <c r="C2071" s="28" t="s">
        <v>2859</v>
      </c>
      <c r="D2071" s="28" t="s">
        <v>2830</v>
      </c>
      <c r="E2071" s="28" t="s">
        <v>211</v>
      </c>
      <c r="F2071" s="28" t="s">
        <v>490</v>
      </c>
      <c r="G2071" s="28" t="s">
        <v>587</v>
      </c>
      <c r="H2071" s="28">
        <v>5798663</v>
      </c>
      <c r="I2071" s="28">
        <v>176431</v>
      </c>
      <c r="J2071" s="28">
        <v>0.99</v>
      </c>
      <c r="K2071" s="28">
        <v>91</v>
      </c>
      <c r="L2071" s="28">
        <v>1</v>
      </c>
    </row>
    <row r="2072" spans="1:12" ht="14.25" customHeight="1" x14ac:dyDescent="0.2">
      <c r="A2072" s="28">
        <v>2071</v>
      </c>
      <c r="B2072" s="28" t="s">
        <v>2867</v>
      </c>
      <c r="C2072" s="28" t="s">
        <v>2859</v>
      </c>
      <c r="D2072" s="28" t="s">
        <v>2830</v>
      </c>
      <c r="E2072" s="28" t="s">
        <v>211</v>
      </c>
      <c r="F2072" s="28" t="s">
        <v>490</v>
      </c>
      <c r="G2072" s="28" t="s">
        <v>2868</v>
      </c>
      <c r="H2072" s="28">
        <v>7280574</v>
      </c>
      <c r="I2072" s="28">
        <v>217573</v>
      </c>
      <c r="J2072" s="28">
        <v>0.99</v>
      </c>
      <c r="K2072" s="28">
        <v>67</v>
      </c>
      <c r="L2072" s="28">
        <v>1</v>
      </c>
    </row>
    <row r="2073" spans="1:12" ht="14.25" customHeight="1" x14ac:dyDescent="0.2">
      <c r="A2073" s="28">
        <v>2072</v>
      </c>
      <c r="B2073" s="28" t="s">
        <v>2869</v>
      </c>
      <c r="C2073" s="28" t="s">
        <v>2859</v>
      </c>
      <c r="D2073" s="28" t="s">
        <v>2830</v>
      </c>
      <c r="E2073" s="28" t="s">
        <v>211</v>
      </c>
      <c r="F2073" s="28" t="s">
        <v>490</v>
      </c>
      <c r="G2073" s="28" t="s">
        <v>587</v>
      </c>
      <c r="H2073" s="28">
        <v>6576790</v>
      </c>
      <c r="I2073" s="28">
        <v>198191</v>
      </c>
      <c r="J2073" s="28">
        <v>0.99</v>
      </c>
      <c r="K2073" s="28">
        <v>15</v>
      </c>
      <c r="L2073" s="28">
        <v>1</v>
      </c>
    </row>
    <row r="2074" spans="1:12" ht="14.25" customHeight="1" x14ac:dyDescent="0.2">
      <c r="A2074" s="28">
        <v>2073</v>
      </c>
      <c r="B2074" s="28" t="s">
        <v>2870</v>
      </c>
      <c r="C2074" s="28" t="s">
        <v>2859</v>
      </c>
      <c r="D2074" s="28" t="s">
        <v>2830</v>
      </c>
      <c r="E2074" s="28" t="s">
        <v>211</v>
      </c>
      <c r="F2074" s="28" t="s">
        <v>490</v>
      </c>
      <c r="G2074" s="28" t="s">
        <v>587</v>
      </c>
      <c r="H2074" s="28">
        <v>6723733</v>
      </c>
      <c r="I2074" s="28">
        <v>202788</v>
      </c>
      <c r="J2074" s="28">
        <v>0.99</v>
      </c>
      <c r="K2074" s="28">
        <v>82</v>
      </c>
      <c r="L2074" s="28">
        <v>2</v>
      </c>
    </row>
    <row r="2075" spans="1:12" ht="14.25" customHeight="1" x14ac:dyDescent="0.2">
      <c r="A2075" s="28">
        <v>2074</v>
      </c>
      <c r="B2075" s="28" t="s">
        <v>2871</v>
      </c>
      <c r="C2075" s="28" t="s">
        <v>2859</v>
      </c>
      <c r="D2075" s="28" t="s">
        <v>2830</v>
      </c>
      <c r="E2075" s="28" t="s">
        <v>211</v>
      </c>
      <c r="F2075" s="28" t="s">
        <v>490</v>
      </c>
      <c r="G2075" s="28" t="s">
        <v>587</v>
      </c>
      <c r="H2075" s="28">
        <v>7608999</v>
      </c>
      <c r="I2075" s="28">
        <v>226298</v>
      </c>
      <c r="J2075" s="28">
        <v>0.99</v>
      </c>
      <c r="K2075" s="28">
        <v>12</v>
      </c>
      <c r="L2075" s="28">
        <v>1</v>
      </c>
    </row>
    <row r="2076" spans="1:12" ht="14.25" customHeight="1" x14ac:dyDescent="0.2">
      <c r="A2076" s="28">
        <v>2075</v>
      </c>
      <c r="B2076" s="28" t="s">
        <v>2872</v>
      </c>
      <c r="C2076" s="28" t="s">
        <v>2859</v>
      </c>
      <c r="D2076" s="28" t="s">
        <v>2830</v>
      </c>
      <c r="E2076" s="28" t="s">
        <v>211</v>
      </c>
      <c r="F2076" s="28" t="s">
        <v>490</v>
      </c>
      <c r="G2076" s="28" t="s">
        <v>587</v>
      </c>
      <c r="H2076" s="28">
        <v>8042534</v>
      </c>
      <c r="I2076" s="28">
        <v>241084</v>
      </c>
      <c r="J2076" s="28">
        <v>0.99</v>
      </c>
      <c r="K2076" s="28">
        <v>1</v>
      </c>
      <c r="L2076" s="28">
        <v>1</v>
      </c>
    </row>
    <row r="2077" spans="1:12" ht="14.25" customHeight="1" x14ac:dyDescent="0.2">
      <c r="A2077" s="28">
        <v>2076</v>
      </c>
      <c r="B2077" s="28" t="s">
        <v>2873</v>
      </c>
      <c r="C2077" s="28" t="s">
        <v>2859</v>
      </c>
      <c r="D2077" s="28" t="s">
        <v>2830</v>
      </c>
      <c r="E2077" s="28" t="s">
        <v>211</v>
      </c>
      <c r="F2077" s="28" t="s">
        <v>490</v>
      </c>
      <c r="G2077" s="28" t="s">
        <v>2874</v>
      </c>
      <c r="H2077" s="28">
        <v>8470121</v>
      </c>
      <c r="I2077" s="28">
        <v>258089</v>
      </c>
      <c r="J2077" s="28">
        <v>0.99</v>
      </c>
      <c r="K2077" s="28">
        <v>47</v>
      </c>
      <c r="L2077" s="28">
        <v>0</v>
      </c>
    </row>
    <row r="2078" spans="1:12" ht="14.25" customHeight="1" x14ac:dyDescent="0.2">
      <c r="A2078" s="28">
        <v>2077</v>
      </c>
      <c r="B2078" s="28" t="s">
        <v>2857</v>
      </c>
      <c r="C2078" s="28" t="s">
        <v>2875</v>
      </c>
      <c r="D2078" s="28" t="s">
        <v>2830</v>
      </c>
      <c r="E2078" s="28" t="s">
        <v>211</v>
      </c>
      <c r="F2078" s="28" t="s">
        <v>490</v>
      </c>
      <c r="G2078" s="28"/>
      <c r="H2078" s="28">
        <v>7000017</v>
      </c>
      <c r="I2078" s="28">
        <v>211330</v>
      </c>
      <c r="J2078" s="28">
        <v>0.99</v>
      </c>
      <c r="K2078" s="28">
        <v>58</v>
      </c>
      <c r="L2078" s="28">
        <v>1</v>
      </c>
    </row>
    <row r="2079" spans="1:12" ht="14.25" customHeight="1" x14ac:dyDescent="0.2">
      <c r="A2079" s="28">
        <v>2078</v>
      </c>
      <c r="B2079" s="28" t="s">
        <v>2876</v>
      </c>
      <c r="C2079" s="28" t="s">
        <v>2875</v>
      </c>
      <c r="D2079" s="28" t="s">
        <v>2830</v>
      </c>
      <c r="E2079" s="28" t="s">
        <v>211</v>
      </c>
      <c r="F2079" s="28" t="s">
        <v>490</v>
      </c>
      <c r="G2079" s="28"/>
      <c r="H2079" s="28">
        <v>7262419</v>
      </c>
      <c r="I2079" s="28">
        <v>219271</v>
      </c>
      <c r="J2079" s="28">
        <v>0.99</v>
      </c>
      <c r="K2079" s="28">
        <v>68</v>
      </c>
      <c r="L2079" s="28">
        <v>1</v>
      </c>
    </row>
    <row r="2080" spans="1:12" ht="14.25" customHeight="1" x14ac:dyDescent="0.2">
      <c r="A2080" s="28">
        <v>2079</v>
      </c>
      <c r="B2080" s="28" t="s">
        <v>2877</v>
      </c>
      <c r="C2080" s="28" t="s">
        <v>2875</v>
      </c>
      <c r="D2080" s="28" t="s">
        <v>2830</v>
      </c>
      <c r="E2080" s="28" t="s">
        <v>211</v>
      </c>
      <c r="F2080" s="28" t="s">
        <v>490</v>
      </c>
      <c r="G2080" s="28"/>
      <c r="H2080" s="28">
        <v>7612168</v>
      </c>
      <c r="I2080" s="28">
        <v>227918</v>
      </c>
      <c r="J2080" s="28">
        <v>0.99</v>
      </c>
      <c r="K2080" s="28">
        <v>14</v>
      </c>
      <c r="L2080" s="28">
        <v>1</v>
      </c>
    </row>
    <row r="2081" spans="1:12" ht="14.25" customHeight="1" x14ac:dyDescent="0.2">
      <c r="A2081" s="28">
        <v>2080</v>
      </c>
      <c r="B2081" s="28" t="s">
        <v>2878</v>
      </c>
      <c r="C2081" s="28" t="s">
        <v>2875</v>
      </c>
      <c r="D2081" s="28" t="s">
        <v>2830</v>
      </c>
      <c r="E2081" s="28" t="s">
        <v>211</v>
      </c>
      <c r="F2081" s="28" t="s">
        <v>490</v>
      </c>
      <c r="G2081" s="28"/>
      <c r="H2081" s="28">
        <v>10255463</v>
      </c>
      <c r="I2081" s="28">
        <v>302393</v>
      </c>
      <c r="J2081" s="28">
        <v>0.99</v>
      </c>
      <c r="K2081" s="28">
        <v>68</v>
      </c>
      <c r="L2081" s="28">
        <v>0</v>
      </c>
    </row>
    <row r="2082" spans="1:12" ht="14.25" customHeight="1" x14ac:dyDescent="0.2">
      <c r="A2082" s="28">
        <v>2081</v>
      </c>
      <c r="B2082" s="28" t="s">
        <v>1202</v>
      </c>
      <c r="C2082" s="28" t="s">
        <v>2875</v>
      </c>
      <c r="D2082" s="28" t="s">
        <v>2830</v>
      </c>
      <c r="E2082" s="28" t="s">
        <v>211</v>
      </c>
      <c r="F2082" s="28" t="s">
        <v>490</v>
      </c>
      <c r="G2082" s="28"/>
      <c r="H2082" s="28">
        <v>6264318</v>
      </c>
      <c r="I2082" s="28">
        <v>190197</v>
      </c>
      <c r="J2082" s="28">
        <v>0.99</v>
      </c>
      <c r="K2082" s="28">
        <v>90</v>
      </c>
      <c r="L2082" s="28">
        <v>1</v>
      </c>
    </row>
    <row r="2083" spans="1:12" ht="14.25" customHeight="1" x14ac:dyDescent="0.2">
      <c r="A2083" s="28">
        <v>2082</v>
      </c>
      <c r="B2083" s="28" t="s">
        <v>2879</v>
      </c>
      <c r="C2083" s="28" t="s">
        <v>2875</v>
      </c>
      <c r="D2083" s="28" t="s">
        <v>2830</v>
      </c>
      <c r="E2083" s="28" t="s">
        <v>211</v>
      </c>
      <c r="F2083" s="28" t="s">
        <v>490</v>
      </c>
      <c r="G2083" s="28"/>
      <c r="H2083" s="28">
        <v>6905668</v>
      </c>
      <c r="I2083" s="28">
        <v>208352</v>
      </c>
      <c r="J2083" s="28">
        <v>0.99</v>
      </c>
      <c r="K2083" s="28">
        <v>32</v>
      </c>
      <c r="L2083" s="28">
        <v>0</v>
      </c>
    </row>
    <row r="2084" spans="1:12" ht="14.25" customHeight="1" x14ac:dyDescent="0.2">
      <c r="A2084" s="28">
        <v>2083</v>
      </c>
      <c r="B2084" s="28" t="s">
        <v>2880</v>
      </c>
      <c r="C2084" s="28" t="s">
        <v>2875</v>
      </c>
      <c r="D2084" s="28" t="s">
        <v>2830</v>
      </c>
      <c r="E2084" s="28" t="s">
        <v>211</v>
      </c>
      <c r="F2084" s="28" t="s">
        <v>490</v>
      </c>
      <c r="G2084" s="28"/>
      <c r="H2084" s="28">
        <v>6902878</v>
      </c>
      <c r="I2084" s="28">
        <v>210207</v>
      </c>
      <c r="J2084" s="28">
        <v>0.99</v>
      </c>
      <c r="K2084" s="28">
        <v>56</v>
      </c>
      <c r="L2084" s="28">
        <v>0</v>
      </c>
    </row>
    <row r="2085" spans="1:12" ht="14.25" customHeight="1" x14ac:dyDescent="0.2">
      <c r="A2085" s="28">
        <v>2084</v>
      </c>
      <c r="B2085" s="28" t="s">
        <v>2881</v>
      </c>
      <c r="C2085" s="28" t="s">
        <v>2875</v>
      </c>
      <c r="D2085" s="28" t="s">
        <v>2830</v>
      </c>
      <c r="E2085" s="28" t="s">
        <v>211</v>
      </c>
      <c r="F2085" s="28" t="s">
        <v>490</v>
      </c>
      <c r="G2085" s="28"/>
      <c r="H2085" s="28">
        <v>6293184</v>
      </c>
      <c r="I2085" s="28">
        <v>189178</v>
      </c>
      <c r="J2085" s="28">
        <v>0.99</v>
      </c>
      <c r="K2085" s="28">
        <v>64</v>
      </c>
      <c r="L2085" s="28">
        <v>1</v>
      </c>
    </row>
    <row r="2086" spans="1:12" ht="14.25" customHeight="1" x14ac:dyDescent="0.2">
      <c r="A2086" s="28">
        <v>2085</v>
      </c>
      <c r="B2086" s="28" t="s">
        <v>2842</v>
      </c>
      <c r="C2086" s="28" t="s">
        <v>2875</v>
      </c>
      <c r="D2086" s="28" t="s">
        <v>2830</v>
      </c>
      <c r="E2086" s="28" t="s">
        <v>211</v>
      </c>
      <c r="F2086" s="28" t="s">
        <v>490</v>
      </c>
      <c r="G2086" s="28"/>
      <c r="H2086" s="28">
        <v>6893533</v>
      </c>
      <c r="I2086" s="28">
        <v>208431</v>
      </c>
      <c r="J2086" s="28">
        <v>0.99</v>
      </c>
      <c r="K2086" s="28">
        <v>97</v>
      </c>
      <c r="L2086" s="28">
        <v>2</v>
      </c>
    </row>
    <row r="2087" spans="1:12" ht="14.25" customHeight="1" x14ac:dyDescent="0.2">
      <c r="A2087" s="28">
        <v>2086</v>
      </c>
      <c r="B2087" s="28" t="s">
        <v>2882</v>
      </c>
      <c r="C2087" s="28" t="s">
        <v>2875</v>
      </c>
      <c r="D2087" s="28" t="s">
        <v>2830</v>
      </c>
      <c r="E2087" s="28" t="s">
        <v>211</v>
      </c>
      <c r="F2087" s="28" t="s">
        <v>490</v>
      </c>
      <c r="G2087" s="28"/>
      <c r="H2087" s="28">
        <v>5355013</v>
      </c>
      <c r="I2087" s="28">
        <v>161175</v>
      </c>
      <c r="J2087" s="28">
        <v>0.99</v>
      </c>
      <c r="K2087" s="28">
        <v>88</v>
      </c>
      <c r="L2087" s="28">
        <v>1</v>
      </c>
    </row>
    <row r="2088" spans="1:12" ht="14.25" customHeight="1" x14ac:dyDescent="0.2">
      <c r="A2088" s="28">
        <v>2087</v>
      </c>
      <c r="B2088" s="28" t="s">
        <v>2883</v>
      </c>
      <c r="C2088" s="28" t="s">
        <v>2875</v>
      </c>
      <c r="D2088" s="28" t="s">
        <v>2830</v>
      </c>
      <c r="E2088" s="28" t="s">
        <v>211</v>
      </c>
      <c r="F2088" s="28" t="s">
        <v>490</v>
      </c>
      <c r="G2088" s="28"/>
      <c r="H2088" s="28">
        <v>7565912</v>
      </c>
      <c r="I2088" s="28">
        <v>229590</v>
      </c>
      <c r="J2088" s="28">
        <v>0.99</v>
      </c>
      <c r="K2088" s="28">
        <v>41</v>
      </c>
      <c r="L2088" s="28">
        <v>1</v>
      </c>
    </row>
    <row r="2089" spans="1:12" ht="14.25" customHeight="1" x14ac:dyDescent="0.2">
      <c r="A2089" s="28">
        <v>2088</v>
      </c>
      <c r="B2089" s="28" t="s">
        <v>2884</v>
      </c>
      <c r="C2089" s="28" t="s">
        <v>2875</v>
      </c>
      <c r="D2089" s="28" t="s">
        <v>2830</v>
      </c>
      <c r="E2089" s="28" t="s">
        <v>211</v>
      </c>
      <c r="F2089" s="28" t="s">
        <v>490</v>
      </c>
      <c r="G2089" s="28"/>
      <c r="H2089" s="28">
        <v>8971355</v>
      </c>
      <c r="I2089" s="28">
        <v>275644</v>
      </c>
      <c r="J2089" s="28">
        <v>0.99</v>
      </c>
      <c r="K2089" s="28">
        <v>37</v>
      </c>
      <c r="L2089" s="28">
        <v>1</v>
      </c>
    </row>
    <row r="2090" spans="1:12" ht="14.25" customHeight="1" x14ac:dyDescent="0.2">
      <c r="A2090" s="28">
        <v>2089</v>
      </c>
      <c r="B2090" s="28" t="s">
        <v>2843</v>
      </c>
      <c r="C2090" s="28" t="s">
        <v>2875</v>
      </c>
      <c r="D2090" s="28" t="s">
        <v>2830</v>
      </c>
      <c r="E2090" s="28" t="s">
        <v>211</v>
      </c>
      <c r="F2090" s="28" t="s">
        <v>490</v>
      </c>
      <c r="G2090" s="28"/>
      <c r="H2090" s="28">
        <v>8141084</v>
      </c>
      <c r="I2090" s="28">
        <v>245890</v>
      </c>
      <c r="J2090" s="28">
        <v>0.99</v>
      </c>
      <c r="K2090" s="28">
        <v>34</v>
      </c>
      <c r="L2090" s="28">
        <v>1</v>
      </c>
    </row>
    <row r="2091" spans="1:12" ht="14.25" customHeight="1" x14ac:dyDescent="0.2">
      <c r="A2091" s="28">
        <v>2090</v>
      </c>
      <c r="B2091" s="28" t="s">
        <v>2885</v>
      </c>
      <c r="C2091" s="28" t="s">
        <v>2875</v>
      </c>
      <c r="D2091" s="28" t="s">
        <v>2830</v>
      </c>
      <c r="E2091" s="28" t="s">
        <v>211</v>
      </c>
      <c r="F2091" s="28" t="s">
        <v>490</v>
      </c>
      <c r="G2091" s="28"/>
      <c r="H2091" s="28">
        <v>8260477</v>
      </c>
      <c r="I2091" s="28">
        <v>250070</v>
      </c>
      <c r="J2091" s="28">
        <v>0.99</v>
      </c>
      <c r="K2091" s="28">
        <v>67</v>
      </c>
      <c r="L2091" s="28">
        <v>2</v>
      </c>
    </row>
    <row r="2092" spans="1:12" ht="14.25" customHeight="1" x14ac:dyDescent="0.2">
      <c r="A2092" s="28">
        <v>2091</v>
      </c>
      <c r="B2092" s="28" t="s">
        <v>2886</v>
      </c>
      <c r="C2092" s="28" t="s">
        <v>2875</v>
      </c>
      <c r="D2092" s="28" t="s">
        <v>2830</v>
      </c>
      <c r="E2092" s="28" t="s">
        <v>211</v>
      </c>
      <c r="F2092" s="28" t="s">
        <v>490</v>
      </c>
      <c r="G2092" s="28"/>
      <c r="H2092" s="28">
        <v>11133830</v>
      </c>
      <c r="I2092" s="28">
        <v>337057</v>
      </c>
      <c r="J2092" s="28">
        <v>0.99</v>
      </c>
      <c r="K2092" s="28">
        <v>97</v>
      </c>
      <c r="L2092" s="28">
        <v>1</v>
      </c>
    </row>
    <row r="2093" spans="1:12" ht="14.25" customHeight="1" x14ac:dyDescent="0.2">
      <c r="A2093" s="28">
        <v>2092</v>
      </c>
      <c r="B2093" s="28" t="s">
        <v>2887</v>
      </c>
      <c r="C2093" s="28" t="s">
        <v>2875</v>
      </c>
      <c r="D2093" s="28" t="s">
        <v>2830</v>
      </c>
      <c r="E2093" s="28" t="s">
        <v>211</v>
      </c>
      <c r="F2093" s="28" t="s">
        <v>490</v>
      </c>
      <c r="G2093" s="28"/>
      <c r="H2093" s="28">
        <v>4943540</v>
      </c>
      <c r="I2093" s="28">
        <v>148871</v>
      </c>
      <c r="J2093" s="28">
        <v>0.99</v>
      </c>
      <c r="K2093" s="28">
        <v>77</v>
      </c>
      <c r="L2093" s="28">
        <v>1</v>
      </c>
    </row>
    <row r="2094" spans="1:12" ht="14.25" customHeight="1" x14ac:dyDescent="0.2">
      <c r="A2094" s="28">
        <v>2093</v>
      </c>
      <c r="B2094" s="28" t="s">
        <v>2888</v>
      </c>
      <c r="C2094" s="28" t="s">
        <v>2889</v>
      </c>
      <c r="D2094" s="28" t="s">
        <v>2890</v>
      </c>
      <c r="E2094" s="28" t="s">
        <v>216</v>
      </c>
      <c r="F2094" s="28" t="s">
        <v>212</v>
      </c>
      <c r="G2094" s="28" t="s">
        <v>2891</v>
      </c>
      <c r="H2094" s="28">
        <v>4601224</v>
      </c>
      <c r="I2094" s="28">
        <v>257252</v>
      </c>
      <c r="J2094" s="28">
        <v>0.99</v>
      </c>
      <c r="K2094" s="28">
        <v>81</v>
      </c>
      <c r="L2094" s="28">
        <v>1</v>
      </c>
    </row>
    <row r="2095" spans="1:12" ht="14.25" customHeight="1" x14ac:dyDescent="0.2">
      <c r="A2095" s="28">
        <v>2094</v>
      </c>
      <c r="B2095" s="28" t="s">
        <v>2892</v>
      </c>
      <c r="C2095" s="28" t="s">
        <v>2893</v>
      </c>
      <c r="D2095" s="28" t="s">
        <v>2890</v>
      </c>
      <c r="E2095" s="28" t="s">
        <v>216</v>
      </c>
      <c r="F2095" s="28" t="s">
        <v>212</v>
      </c>
      <c r="G2095" s="28" t="s">
        <v>2894</v>
      </c>
      <c r="H2095" s="28">
        <v>5525339</v>
      </c>
      <c r="I2095" s="28">
        <v>312980</v>
      </c>
      <c r="J2095" s="28">
        <v>0.99</v>
      </c>
      <c r="K2095" s="28">
        <v>34</v>
      </c>
      <c r="L2095" s="28">
        <v>1</v>
      </c>
    </row>
    <row r="2096" spans="1:12" ht="14.25" customHeight="1" x14ac:dyDescent="0.2">
      <c r="A2096" s="28">
        <v>2095</v>
      </c>
      <c r="B2096" s="28" t="s">
        <v>2895</v>
      </c>
      <c r="C2096" s="28" t="s">
        <v>2893</v>
      </c>
      <c r="D2096" s="28" t="s">
        <v>2890</v>
      </c>
      <c r="E2096" s="28" t="s">
        <v>216</v>
      </c>
      <c r="F2096" s="28" t="s">
        <v>212</v>
      </c>
      <c r="G2096" s="28" t="s">
        <v>2894</v>
      </c>
      <c r="H2096" s="28">
        <v>5255083</v>
      </c>
      <c r="I2096" s="28">
        <v>295960</v>
      </c>
      <c r="J2096" s="28">
        <v>0.99</v>
      </c>
      <c r="K2096" s="28">
        <v>90</v>
      </c>
      <c r="L2096" s="28">
        <v>0</v>
      </c>
    </row>
    <row r="2097" spans="1:12" ht="14.25" customHeight="1" x14ac:dyDescent="0.2">
      <c r="A2097" s="28">
        <v>2096</v>
      </c>
      <c r="B2097" s="28" t="s">
        <v>2896</v>
      </c>
      <c r="C2097" s="28" t="s">
        <v>2897</v>
      </c>
      <c r="D2097" s="28" t="s">
        <v>2890</v>
      </c>
      <c r="E2097" s="28" t="s">
        <v>216</v>
      </c>
      <c r="F2097" s="28" t="s">
        <v>212</v>
      </c>
      <c r="G2097" s="28" t="s">
        <v>2898</v>
      </c>
      <c r="H2097" s="28">
        <v>5179599</v>
      </c>
      <c r="I2097" s="28">
        <v>290851</v>
      </c>
      <c r="J2097" s="28">
        <v>0.99</v>
      </c>
      <c r="K2097" s="28">
        <v>4</v>
      </c>
      <c r="L2097" s="28">
        <v>2</v>
      </c>
    </row>
    <row r="2098" spans="1:12" ht="14.25" customHeight="1" x14ac:dyDescent="0.2">
      <c r="A2098" s="28">
        <v>2097</v>
      </c>
      <c r="B2098" s="28" t="s">
        <v>2899</v>
      </c>
      <c r="C2098" s="28" t="s">
        <v>2900</v>
      </c>
      <c r="D2098" s="28" t="s">
        <v>2890</v>
      </c>
      <c r="E2098" s="28" t="s">
        <v>216</v>
      </c>
      <c r="F2098" s="28" t="s">
        <v>212</v>
      </c>
      <c r="G2098" s="28" t="s">
        <v>2901</v>
      </c>
      <c r="H2098" s="28">
        <v>4302390</v>
      </c>
      <c r="I2098" s="28">
        <v>251586</v>
      </c>
      <c r="J2098" s="28">
        <v>0.99</v>
      </c>
      <c r="K2098" s="28">
        <v>30</v>
      </c>
      <c r="L2098" s="28">
        <v>2</v>
      </c>
    </row>
    <row r="2099" spans="1:12" ht="14.25" customHeight="1" x14ac:dyDescent="0.2">
      <c r="A2099" s="28">
        <v>2098</v>
      </c>
      <c r="B2099" s="28" t="s">
        <v>409</v>
      </c>
      <c r="C2099" s="28" t="s">
        <v>2900</v>
      </c>
      <c r="D2099" s="28" t="s">
        <v>2890</v>
      </c>
      <c r="E2099" s="28" t="s">
        <v>216</v>
      </c>
      <c r="F2099" s="28" t="s">
        <v>212</v>
      </c>
      <c r="G2099" s="28" t="s">
        <v>2902</v>
      </c>
      <c r="H2099" s="28">
        <v>7362964</v>
      </c>
      <c r="I2099" s="28">
        <v>444358</v>
      </c>
      <c r="J2099" s="28">
        <v>0.99</v>
      </c>
      <c r="K2099" s="28">
        <v>86</v>
      </c>
      <c r="L2099" s="28">
        <v>1</v>
      </c>
    </row>
    <row r="2100" spans="1:12" ht="14.25" customHeight="1" x14ac:dyDescent="0.2">
      <c r="A2100" s="28">
        <v>2099</v>
      </c>
      <c r="B2100" s="28" t="s">
        <v>2892</v>
      </c>
      <c r="C2100" s="28" t="s">
        <v>2903</v>
      </c>
      <c r="D2100" s="28" t="s">
        <v>2890</v>
      </c>
      <c r="E2100" s="28" t="s">
        <v>211</v>
      </c>
      <c r="F2100" s="28" t="s">
        <v>322</v>
      </c>
      <c r="G2100" s="28" t="s">
        <v>2904</v>
      </c>
      <c r="H2100" s="28">
        <v>9207869</v>
      </c>
      <c r="I2100" s="28">
        <v>283088</v>
      </c>
      <c r="J2100" s="28">
        <v>0.99</v>
      </c>
      <c r="K2100" s="28">
        <v>40</v>
      </c>
      <c r="L2100" s="28">
        <v>0</v>
      </c>
    </row>
    <row r="2101" spans="1:12" ht="14.25" customHeight="1" x14ac:dyDescent="0.2">
      <c r="A2101" s="28">
        <v>2100</v>
      </c>
      <c r="B2101" s="28" t="s">
        <v>2895</v>
      </c>
      <c r="C2101" s="28" t="s">
        <v>2903</v>
      </c>
      <c r="D2101" s="28" t="s">
        <v>2890</v>
      </c>
      <c r="E2101" s="28" t="s">
        <v>211</v>
      </c>
      <c r="F2101" s="28" t="s">
        <v>322</v>
      </c>
      <c r="G2101" s="28" t="s">
        <v>2904</v>
      </c>
      <c r="H2101" s="28">
        <v>10517408</v>
      </c>
      <c r="I2101" s="28">
        <v>322716</v>
      </c>
      <c r="J2101" s="28">
        <v>0.99</v>
      </c>
      <c r="K2101" s="28">
        <v>33</v>
      </c>
      <c r="L2101" s="28">
        <v>1</v>
      </c>
    </row>
    <row r="2102" spans="1:12" ht="14.25" customHeight="1" x14ac:dyDescent="0.2">
      <c r="A2102" s="28">
        <v>2101</v>
      </c>
      <c r="B2102" s="28" t="s">
        <v>2905</v>
      </c>
      <c r="C2102" s="28" t="s">
        <v>2903</v>
      </c>
      <c r="D2102" s="28" t="s">
        <v>2890</v>
      </c>
      <c r="E2102" s="28" t="s">
        <v>211</v>
      </c>
      <c r="F2102" s="28" t="s">
        <v>322</v>
      </c>
      <c r="G2102" s="28" t="s">
        <v>2904</v>
      </c>
      <c r="H2102" s="28">
        <v>10003794</v>
      </c>
      <c r="I2102" s="28">
        <v>308897</v>
      </c>
      <c r="J2102" s="28">
        <v>0.99</v>
      </c>
      <c r="K2102" s="28">
        <v>11</v>
      </c>
      <c r="L2102" s="28">
        <v>1</v>
      </c>
    </row>
    <row r="2103" spans="1:12" ht="14.25" customHeight="1" x14ac:dyDescent="0.2">
      <c r="A2103" s="28">
        <v>2102</v>
      </c>
      <c r="B2103" s="28" t="s">
        <v>2906</v>
      </c>
      <c r="C2103" s="28" t="s">
        <v>2903</v>
      </c>
      <c r="D2103" s="28" t="s">
        <v>2890</v>
      </c>
      <c r="E2103" s="28" t="s">
        <v>211</v>
      </c>
      <c r="F2103" s="28" t="s">
        <v>322</v>
      </c>
      <c r="G2103" s="28" t="s">
        <v>2904</v>
      </c>
      <c r="H2103" s="28">
        <v>11184130</v>
      </c>
      <c r="I2103" s="28">
        <v>344241</v>
      </c>
      <c r="J2103" s="28">
        <v>0.99</v>
      </c>
      <c r="K2103" s="28">
        <v>90</v>
      </c>
      <c r="L2103" s="28">
        <v>1</v>
      </c>
    </row>
    <row r="2104" spans="1:12" ht="14.25" customHeight="1" x14ac:dyDescent="0.2">
      <c r="A2104" s="28">
        <v>2103</v>
      </c>
      <c r="B2104" s="28" t="s">
        <v>2896</v>
      </c>
      <c r="C2104" s="28" t="s">
        <v>2903</v>
      </c>
      <c r="D2104" s="28" t="s">
        <v>2890</v>
      </c>
      <c r="E2104" s="28" t="s">
        <v>211</v>
      </c>
      <c r="F2104" s="28" t="s">
        <v>322</v>
      </c>
      <c r="G2104" s="28" t="s">
        <v>2907</v>
      </c>
      <c r="H2104" s="28">
        <v>8481822</v>
      </c>
      <c r="I2104" s="28">
        <v>261224</v>
      </c>
      <c r="J2104" s="28">
        <v>0.99</v>
      </c>
      <c r="K2104" s="28">
        <v>4</v>
      </c>
      <c r="L2104" s="28">
        <v>1</v>
      </c>
    </row>
    <row r="2105" spans="1:12" ht="14.25" customHeight="1" x14ac:dyDescent="0.2">
      <c r="A2105" s="28">
        <v>2104</v>
      </c>
      <c r="B2105" s="28" t="s">
        <v>2908</v>
      </c>
      <c r="C2105" s="28" t="s">
        <v>2903</v>
      </c>
      <c r="D2105" s="28" t="s">
        <v>2890</v>
      </c>
      <c r="E2105" s="28" t="s">
        <v>211</v>
      </c>
      <c r="F2105" s="28" t="s">
        <v>322</v>
      </c>
      <c r="G2105" s="28" t="s">
        <v>2904</v>
      </c>
      <c r="H2105" s="28">
        <v>11367866</v>
      </c>
      <c r="I2105" s="28">
        <v>349440</v>
      </c>
      <c r="J2105" s="28">
        <v>0.99</v>
      </c>
      <c r="K2105" s="28">
        <v>66</v>
      </c>
      <c r="L2105" s="28">
        <v>1</v>
      </c>
    </row>
    <row r="2106" spans="1:12" ht="14.25" customHeight="1" x14ac:dyDescent="0.2">
      <c r="A2106" s="28">
        <v>2105</v>
      </c>
      <c r="B2106" s="28" t="s">
        <v>2909</v>
      </c>
      <c r="C2106" s="28" t="s">
        <v>2903</v>
      </c>
      <c r="D2106" s="28" t="s">
        <v>2890</v>
      </c>
      <c r="E2106" s="28" t="s">
        <v>211</v>
      </c>
      <c r="F2106" s="28" t="s">
        <v>322</v>
      </c>
      <c r="G2106" s="28" t="s">
        <v>2904</v>
      </c>
      <c r="H2106" s="28">
        <v>15945806</v>
      </c>
      <c r="I2106" s="28">
        <v>485720</v>
      </c>
      <c r="J2106" s="28">
        <v>0.99</v>
      </c>
      <c r="K2106" s="28">
        <v>49</v>
      </c>
      <c r="L2106" s="28">
        <v>0</v>
      </c>
    </row>
    <row r="2107" spans="1:12" ht="14.25" customHeight="1" x14ac:dyDescent="0.2">
      <c r="A2107" s="28">
        <v>2106</v>
      </c>
      <c r="B2107" s="28" t="s">
        <v>2910</v>
      </c>
      <c r="C2107" s="28" t="s">
        <v>2903</v>
      </c>
      <c r="D2107" s="28" t="s">
        <v>2890</v>
      </c>
      <c r="E2107" s="28" t="s">
        <v>211</v>
      </c>
      <c r="F2107" s="28" t="s">
        <v>322</v>
      </c>
      <c r="G2107" s="28" t="s">
        <v>2904</v>
      </c>
      <c r="H2107" s="28">
        <v>15119938</v>
      </c>
      <c r="I2107" s="28">
        <v>467069</v>
      </c>
      <c r="J2107" s="28">
        <v>0.99</v>
      </c>
      <c r="K2107" s="28">
        <v>90</v>
      </c>
      <c r="L2107" s="28">
        <v>0</v>
      </c>
    </row>
    <row r="2108" spans="1:12" ht="14.25" customHeight="1" x14ac:dyDescent="0.2">
      <c r="A2108" s="28">
        <v>2107</v>
      </c>
      <c r="B2108" s="28" t="s">
        <v>2911</v>
      </c>
      <c r="C2108" s="28" t="s">
        <v>2903</v>
      </c>
      <c r="D2108" s="28" t="s">
        <v>2890</v>
      </c>
      <c r="E2108" s="28" t="s">
        <v>211</v>
      </c>
      <c r="F2108" s="28" t="s">
        <v>322</v>
      </c>
      <c r="G2108" s="28" t="s">
        <v>2912</v>
      </c>
      <c r="H2108" s="28">
        <v>5609799</v>
      </c>
      <c r="I2108" s="28">
        <v>172120</v>
      </c>
      <c r="J2108" s="28">
        <v>0.99</v>
      </c>
      <c r="K2108" s="28">
        <v>98</v>
      </c>
      <c r="L2108" s="28">
        <v>1</v>
      </c>
    </row>
    <row r="2109" spans="1:12" ht="14.25" customHeight="1" x14ac:dyDescent="0.2">
      <c r="A2109" s="28">
        <v>2108</v>
      </c>
      <c r="B2109" s="28" t="s">
        <v>2913</v>
      </c>
      <c r="C2109" s="28" t="s">
        <v>2903</v>
      </c>
      <c r="D2109" s="28" t="s">
        <v>2890</v>
      </c>
      <c r="E2109" s="28" t="s">
        <v>211</v>
      </c>
      <c r="F2109" s="28" t="s">
        <v>322</v>
      </c>
      <c r="G2109" s="28" t="s">
        <v>2912</v>
      </c>
      <c r="H2109" s="28">
        <v>11626740</v>
      </c>
      <c r="I2109" s="28">
        <v>357067</v>
      </c>
      <c r="J2109" s="28">
        <v>0.99</v>
      </c>
      <c r="K2109" s="28">
        <v>60</v>
      </c>
      <c r="L2109" s="28">
        <v>2</v>
      </c>
    </row>
    <row r="2110" spans="1:12" ht="14.25" customHeight="1" x14ac:dyDescent="0.2">
      <c r="A2110" s="28">
        <v>2109</v>
      </c>
      <c r="B2110" s="28" t="s">
        <v>2914</v>
      </c>
      <c r="C2110" s="28" t="s">
        <v>2903</v>
      </c>
      <c r="D2110" s="28" t="s">
        <v>2890</v>
      </c>
      <c r="E2110" s="28" t="s">
        <v>211</v>
      </c>
      <c r="F2110" s="28" t="s">
        <v>322</v>
      </c>
      <c r="G2110" s="28" t="s">
        <v>2912</v>
      </c>
      <c r="H2110" s="28">
        <v>5729813</v>
      </c>
      <c r="I2110" s="28">
        <v>176352</v>
      </c>
      <c r="J2110" s="28">
        <v>0.99</v>
      </c>
      <c r="K2110" s="28">
        <v>91</v>
      </c>
      <c r="L2110" s="28">
        <v>1</v>
      </c>
    </row>
    <row r="2111" spans="1:12" ht="14.25" customHeight="1" x14ac:dyDescent="0.2">
      <c r="A2111" s="28">
        <v>2110</v>
      </c>
      <c r="B2111" s="28" t="s">
        <v>2915</v>
      </c>
      <c r="C2111" s="28" t="s">
        <v>2903</v>
      </c>
      <c r="D2111" s="28" t="s">
        <v>2890</v>
      </c>
      <c r="E2111" s="28" t="s">
        <v>211</v>
      </c>
      <c r="F2111" s="28" t="s">
        <v>322</v>
      </c>
      <c r="G2111" s="28" t="s">
        <v>2904</v>
      </c>
      <c r="H2111" s="28">
        <v>10841337</v>
      </c>
      <c r="I2111" s="28">
        <v>334393</v>
      </c>
      <c r="J2111" s="28">
        <v>0.99</v>
      </c>
      <c r="K2111" s="28">
        <v>54</v>
      </c>
      <c r="L2111" s="28">
        <v>0</v>
      </c>
    </row>
    <row r="2112" spans="1:12" ht="14.25" customHeight="1" x14ac:dyDescent="0.2">
      <c r="A2112" s="28">
        <v>2111</v>
      </c>
      <c r="B2112" s="28" t="s">
        <v>2916</v>
      </c>
      <c r="C2112" s="28" t="s">
        <v>2903</v>
      </c>
      <c r="D2112" s="28" t="s">
        <v>2890</v>
      </c>
      <c r="E2112" s="28" t="s">
        <v>211</v>
      </c>
      <c r="F2112" s="28" t="s">
        <v>322</v>
      </c>
      <c r="G2112" s="28" t="s">
        <v>2904</v>
      </c>
      <c r="H2112" s="28">
        <v>8095199</v>
      </c>
      <c r="I2112" s="28">
        <v>249208</v>
      </c>
      <c r="J2112" s="28">
        <v>0.99</v>
      </c>
      <c r="K2112" s="28">
        <v>73</v>
      </c>
      <c r="L2112" s="28">
        <v>0</v>
      </c>
    </row>
    <row r="2113" spans="1:12" ht="14.25" customHeight="1" x14ac:dyDescent="0.2">
      <c r="A2113" s="28">
        <v>2112</v>
      </c>
      <c r="B2113" s="28" t="s">
        <v>2917</v>
      </c>
      <c r="C2113" s="28" t="s">
        <v>2903</v>
      </c>
      <c r="D2113" s="28" t="s">
        <v>2890</v>
      </c>
      <c r="E2113" s="28" t="s">
        <v>211</v>
      </c>
      <c r="F2113" s="28" t="s">
        <v>322</v>
      </c>
      <c r="G2113" s="28" t="s">
        <v>2918</v>
      </c>
      <c r="H2113" s="28">
        <v>8555963</v>
      </c>
      <c r="I2113" s="28">
        <v>261302</v>
      </c>
      <c r="J2113" s="28">
        <v>0.99</v>
      </c>
      <c r="K2113" s="28">
        <v>77</v>
      </c>
      <c r="L2113" s="28">
        <v>1</v>
      </c>
    </row>
    <row r="2114" spans="1:12" ht="14.25" customHeight="1" x14ac:dyDescent="0.2">
      <c r="A2114" s="28">
        <v>2113</v>
      </c>
      <c r="B2114" s="28" t="s">
        <v>2919</v>
      </c>
      <c r="C2114" s="28" t="s">
        <v>2920</v>
      </c>
      <c r="D2114" s="28" t="s">
        <v>2921</v>
      </c>
      <c r="E2114" s="28" t="s">
        <v>211</v>
      </c>
      <c r="F2114" s="28" t="s">
        <v>212</v>
      </c>
      <c r="G2114" s="28" t="s">
        <v>2922</v>
      </c>
      <c r="H2114" s="28">
        <v>7951688</v>
      </c>
      <c r="I2114" s="28">
        <v>240796</v>
      </c>
      <c r="J2114" s="28">
        <v>0.99</v>
      </c>
      <c r="K2114" s="28">
        <v>42</v>
      </c>
      <c r="L2114" s="28">
        <v>1</v>
      </c>
    </row>
    <row r="2115" spans="1:12" ht="14.25" customHeight="1" x14ac:dyDescent="0.2">
      <c r="A2115" s="28">
        <v>2114</v>
      </c>
      <c r="B2115" s="28" t="s">
        <v>2923</v>
      </c>
      <c r="C2115" s="28" t="s">
        <v>2920</v>
      </c>
      <c r="D2115" s="28" t="s">
        <v>2921</v>
      </c>
      <c r="E2115" s="28" t="s">
        <v>211</v>
      </c>
      <c r="F2115" s="28" t="s">
        <v>212</v>
      </c>
      <c r="G2115" s="28" t="s">
        <v>2922</v>
      </c>
      <c r="H2115" s="28">
        <v>12198930</v>
      </c>
      <c r="I2115" s="28">
        <v>373394</v>
      </c>
      <c r="J2115" s="28">
        <v>0.99</v>
      </c>
      <c r="K2115" s="28">
        <v>91</v>
      </c>
      <c r="L2115" s="28">
        <v>1</v>
      </c>
    </row>
    <row r="2116" spans="1:12" ht="14.25" customHeight="1" x14ac:dyDescent="0.2">
      <c r="A2116" s="28">
        <v>2115</v>
      </c>
      <c r="B2116" s="28" t="s">
        <v>2924</v>
      </c>
      <c r="C2116" s="28" t="s">
        <v>2920</v>
      </c>
      <c r="D2116" s="28" t="s">
        <v>2921</v>
      </c>
      <c r="E2116" s="28" t="s">
        <v>211</v>
      </c>
      <c r="F2116" s="28" t="s">
        <v>212</v>
      </c>
      <c r="G2116" s="28" t="s">
        <v>2922</v>
      </c>
      <c r="H2116" s="28">
        <v>7594829</v>
      </c>
      <c r="I2116" s="28">
        <v>232359</v>
      </c>
      <c r="J2116" s="28">
        <v>0.99</v>
      </c>
      <c r="K2116" s="28">
        <v>9</v>
      </c>
      <c r="L2116" s="28">
        <v>0</v>
      </c>
    </row>
    <row r="2117" spans="1:12" ht="14.25" customHeight="1" x14ac:dyDescent="0.2">
      <c r="A2117" s="28">
        <v>2116</v>
      </c>
      <c r="B2117" s="28" t="s">
        <v>2925</v>
      </c>
      <c r="C2117" s="28" t="s">
        <v>2920</v>
      </c>
      <c r="D2117" s="28" t="s">
        <v>2921</v>
      </c>
      <c r="E2117" s="28" t="s">
        <v>211</v>
      </c>
      <c r="F2117" s="28" t="s">
        <v>212</v>
      </c>
      <c r="G2117" s="28" t="s">
        <v>2922</v>
      </c>
      <c r="H2117" s="28">
        <v>13170391</v>
      </c>
      <c r="I2117" s="28">
        <v>405028</v>
      </c>
      <c r="J2117" s="28">
        <v>0.99</v>
      </c>
      <c r="K2117" s="28">
        <v>27</v>
      </c>
      <c r="L2117" s="28">
        <v>1</v>
      </c>
    </row>
    <row r="2118" spans="1:12" ht="14.25" customHeight="1" x14ac:dyDescent="0.2">
      <c r="A2118" s="28">
        <v>2117</v>
      </c>
      <c r="B2118" s="28" t="s">
        <v>2926</v>
      </c>
      <c r="C2118" s="28" t="s">
        <v>2920</v>
      </c>
      <c r="D2118" s="28" t="s">
        <v>2921</v>
      </c>
      <c r="E2118" s="28" t="s">
        <v>211</v>
      </c>
      <c r="F2118" s="28" t="s">
        <v>212</v>
      </c>
      <c r="G2118" s="28" t="s">
        <v>2922</v>
      </c>
      <c r="H2118" s="28">
        <v>8603372</v>
      </c>
      <c r="I2118" s="28">
        <v>262112</v>
      </c>
      <c r="J2118" s="28">
        <v>0.99</v>
      </c>
      <c r="K2118" s="28">
        <v>31</v>
      </c>
      <c r="L2118" s="28">
        <v>0</v>
      </c>
    </row>
    <row r="2119" spans="1:12" ht="14.25" customHeight="1" x14ac:dyDescent="0.2">
      <c r="A2119" s="28">
        <v>2118</v>
      </c>
      <c r="B2119" s="28" t="s">
        <v>2927</v>
      </c>
      <c r="C2119" s="28" t="s">
        <v>2920</v>
      </c>
      <c r="D2119" s="28" t="s">
        <v>2921</v>
      </c>
      <c r="E2119" s="28" t="s">
        <v>211</v>
      </c>
      <c r="F2119" s="28" t="s">
        <v>212</v>
      </c>
      <c r="G2119" s="28" t="s">
        <v>2922</v>
      </c>
      <c r="H2119" s="28">
        <v>10999203</v>
      </c>
      <c r="I2119" s="28">
        <v>336535</v>
      </c>
      <c r="J2119" s="28">
        <v>0.99</v>
      </c>
      <c r="K2119" s="28">
        <v>29</v>
      </c>
      <c r="L2119" s="28">
        <v>1</v>
      </c>
    </row>
    <row r="2120" spans="1:12" ht="14.25" customHeight="1" x14ac:dyDescent="0.2">
      <c r="A2120" s="28">
        <v>2119</v>
      </c>
      <c r="B2120" s="28" t="s">
        <v>2928</v>
      </c>
      <c r="C2120" s="28" t="s">
        <v>2920</v>
      </c>
      <c r="D2120" s="28" t="s">
        <v>2921</v>
      </c>
      <c r="E2120" s="28" t="s">
        <v>211</v>
      </c>
      <c r="F2120" s="28" t="s">
        <v>212</v>
      </c>
      <c r="G2120" s="28" t="s">
        <v>2922</v>
      </c>
      <c r="H2120" s="28">
        <v>7598019</v>
      </c>
      <c r="I2120" s="28">
        <v>230896</v>
      </c>
      <c r="J2120" s="28">
        <v>0.99</v>
      </c>
      <c r="K2120" s="28">
        <v>39</v>
      </c>
      <c r="L2120" s="28">
        <v>1</v>
      </c>
    </row>
    <row r="2121" spans="1:12" ht="14.25" customHeight="1" x14ac:dyDescent="0.2">
      <c r="A2121" s="28">
        <v>2120</v>
      </c>
      <c r="B2121" s="28" t="s">
        <v>2920</v>
      </c>
      <c r="C2121" s="28" t="s">
        <v>2920</v>
      </c>
      <c r="D2121" s="28" t="s">
        <v>2921</v>
      </c>
      <c r="E2121" s="28" t="s">
        <v>211</v>
      </c>
      <c r="F2121" s="28" t="s">
        <v>212</v>
      </c>
      <c r="G2121" s="28" t="s">
        <v>2922</v>
      </c>
      <c r="H2121" s="28">
        <v>10396315</v>
      </c>
      <c r="I2121" s="28">
        <v>318511</v>
      </c>
      <c r="J2121" s="28">
        <v>0.99</v>
      </c>
      <c r="K2121" s="28">
        <v>96</v>
      </c>
      <c r="L2121" s="28">
        <v>2</v>
      </c>
    </row>
    <row r="2122" spans="1:12" ht="14.25" customHeight="1" x14ac:dyDescent="0.2">
      <c r="A2122" s="28">
        <v>2121</v>
      </c>
      <c r="B2122" s="28" t="s">
        <v>2929</v>
      </c>
      <c r="C2122" s="28" t="s">
        <v>2920</v>
      </c>
      <c r="D2122" s="28" t="s">
        <v>2921</v>
      </c>
      <c r="E2122" s="28" t="s">
        <v>211</v>
      </c>
      <c r="F2122" s="28" t="s">
        <v>212</v>
      </c>
      <c r="G2122" s="28" t="s">
        <v>2922</v>
      </c>
      <c r="H2122" s="28">
        <v>10525136</v>
      </c>
      <c r="I2122" s="28">
        <v>321619</v>
      </c>
      <c r="J2122" s="28">
        <v>0.99</v>
      </c>
      <c r="K2122" s="28">
        <v>96</v>
      </c>
      <c r="L2122" s="28">
        <v>0</v>
      </c>
    </row>
    <row r="2123" spans="1:12" ht="14.25" customHeight="1" x14ac:dyDescent="0.2">
      <c r="A2123" s="28">
        <v>2122</v>
      </c>
      <c r="B2123" s="28" t="s">
        <v>2930</v>
      </c>
      <c r="C2123" s="28" t="s">
        <v>2920</v>
      </c>
      <c r="D2123" s="28" t="s">
        <v>2921</v>
      </c>
      <c r="E2123" s="28" t="s">
        <v>211</v>
      </c>
      <c r="F2123" s="28" t="s">
        <v>212</v>
      </c>
      <c r="G2123" s="28" t="s">
        <v>2922</v>
      </c>
      <c r="H2123" s="28">
        <v>11249456</v>
      </c>
      <c r="I2123" s="28">
        <v>345626</v>
      </c>
      <c r="J2123" s="28">
        <v>0.99</v>
      </c>
      <c r="K2123" s="28">
        <v>34</v>
      </c>
      <c r="L2123" s="28">
        <v>0</v>
      </c>
    </row>
    <row r="2124" spans="1:12" ht="14.25" customHeight="1" x14ac:dyDescent="0.2">
      <c r="A2124" s="28">
        <v>2123</v>
      </c>
      <c r="B2124" s="28" t="s">
        <v>2931</v>
      </c>
      <c r="C2124" s="28" t="s">
        <v>2920</v>
      </c>
      <c r="D2124" s="28" t="s">
        <v>2921</v>
      </c>
      <c r="E2124" s="28" t="s">
        <v>211</v>
      </c>
      <c r="F2124" s="28" t="s">
        <v>212</v>
      </c>
      <c r="G2124" s="28" t="s">
        <v>2922</v>
      </c>
      <c r="H2124" s="28">
        <v>10990880</v>
      </c>
      <c r="I2124" s="28">
        <v>335699</v>
      </c>
      <c r="J2124" s="28">
        <v>0.99</v>
      </c>
      <c r="K2124" s="28">
        <v>32</v>
      </c>
      <c r="L2124" s="28">
        <v>0</v>
      </c>
    </row>
    <row r="2125" spans="1:12" ht="14.25" customHeight="1" x14ac:dyDescent="0.2">
      <c r="A2125" s="28">
        <v>2124</v>
      </c>
      <c r="B2125" s="28" t="s">
        <v>2932</v>
      </c>
      <c r="C2125" s="28" t="s">
        <v>2920</v>
      </c>
      <c r="D2125" s="28" t="s">
        <v>2921</v>
      </c>
      <c r="E2125" s="28" t="s">
        <v>211</v>
      </c>
      <c r="F2125" s="28" t="s">
        <v>212</v>
      </c>
      <c r="G2125" s="28" t="s">
        <v>2922</v>
      </c>
      <c r="H2125" s="28">
        <v>8087944</v>
      </c>
      <c r="I2125" s="28">
        <v>246465</v>
      </c>
      <c r="J2125" s="28">
        <v>0.99</v>
      </c>
      <c r="K2125" s="28">
        <v>38</v>
      </c>
      <c r="L2125" s="28">
        <v>1</v>
      </c>
    </row>
    <row r="2126" spans="1:12" ht="14.25" customHeight="1" x14ac:dyDescent="0.2">
      <c r="A2126" s="28">
        <v>2125</v>
      </c>
      <c r="B2126" s="28" t="s">
        <v>2933</v>
      </c>
      <c r="C2126" s="28" t="s">
        <v>2934</v>
      </c>
      <c r="D2126" s="28" t="s">
        <v>2935</v>
      </c>
      <c r="E2126" s="28" t="s">
        <v>211</v>
      </c>
      <c r="F2126" s="28" t="s">
        <v>708</v>
      </c>
      <c r="G2126" s="28" t="s">
        <v>2936</v>
      </c>
      <c r="H2126" s="28">
        <v>10939131</v>
      </c>
      <c r="I2126" s="28">
        <v>330266</v>
      </c>
      <c r="J2126" s="28">
        <v>0.99</v>
      </c>
      <c r="K2126" s="28">
        <v>50</v>
      </c>
      <c r="L2126" s="28">
        <v>1</v>
      </c>
    </row>
    <row r="2127" spans="1:12" ht="14.25" customHeight="1" x14ac:dyDescent="0.2">
      <c r="A2127" s="28">
        <v>2126</v>
      </c>
      <c r="B2127" s="28" t="s">
        <v>2937</v>
      </c>
      <c r="C2127" s="28" t="s">
        <v>2934</v>
      </c>
      <c r="D2127" s="28" t="s">
        <v>2935</v>
      </c>
      <c r="E2127" s="28" t="s">
        <v>211</v>
      </c>
      <c r="F2127" s="28" t="s">
        <v>708</v>
      </c>
      <c r="G2127" s="28" t="s">
        <v>2936</v>
      </c>
      <c r="H2127" s="28">
        <v>9295950</v>
      </c>
      <c r="I2127" s="28">
        <v>281469</v>
      </c>
      <c r="J2127" s="28">
        <v>0.99</v>
      </c>
      <c r="K2127" s="28">
        <v>85</v>
      </c>
      <c r="L2127" s="28">
        <v>1</v>
      </c>
    </row>
    <row r="2128" spans="1:12" ht="14.25" customHeight="1" x14ac:dyDescent="0.2">
      <c r="A2128" s="28">
        <v>2127</v>
      </c>
      <c r="B2128" s="28" t="s">
        <v>2938</v>
      </c>
      <c r="C2128" s="28" t="s">
        <v>2934</v>
      </c>
      <c r="D2128" s="28" t="s">
        <v>2935</v>
      </c>
      <c r="E2128" s="28" t="s">
        <v>211</v>
      </c>
      <c r="F2128" s="28" t="s">
        <v>708</v>
      </c>
      <c r="G2128" s="28" t="s">
        <v>2936</v>
      </c>
      <c r="H2128" s="28">
        <v>10867860</v>
      </c>
      <c r="I2128" s="28">
        <v>328228</v>
      </c>
      <c r="J2128" s="28">
        <v>0.99</v>
      </c>
      <c r="K2128" s="28">
        <v>70</v>
      </c>
      <c r="L2128" s="28">
        <v>1</v>
      </c>
    </row>
    <row r="2129" spans="1:12" ht="14.25" customHeight="1" x14ac:dyDescent="0.2">
      <c r="A2129" s="28">
        <v>2128</v>
      </c>
      <c r="B2129" s="28" t="s">
        <v>2939</v>
      </c>
      <c r="C2129" s="28" t="s">
        <v>2934</v>
      </c>
      <c r="D2129" s="28" t="s">
        <v>2935</v>
      </c>
      <c r="E2129" s="28" t="s">
        <v>211</v>
      </c>
      <c r="F2129" s="28" t="s">
        <v>708</v>
      </c>
      <c r="G2129" s="28" t="s">
        <v>2936</v>
      </c>
      <c r="H2129" s="28">
        <v>12727928</v>
      </c>
      <c r="I2129" s="28">
        <v>383764</v>
      </c>
      <c r="J2129" s="28">
        <v>0.99</v>
      </c>
      <c r="K2129" s="28">
        <v>7</v>
      </c>
      <c r="L2129" s="28">
        <v>0</v>
      </c>
    </row>
    <row r="2130" spans="1:12" ht="14.25" customHeight="1" x14ac:dyDescent="0.2">
      <c r="A2130" s="28">
        <v>2129</v>
      </c>
      <c r="B2130" s="28" t="s">
        <v>2940</v>
      </c>
      <c r="C2130" s="28" t="s">
        <v>2934</v>
      </c>
      <c r="D2130" s="28" t="s">
        <v>2935</v>
      </c>
      <c r="E2130" s="28" t="s">
        <v>211</v>
      </c>
      <c r="F2130" s="28" t="s">
        <v>708</v>
      </c>
      <c r="G2130" s="28" t="s">
        <v>2936</v>
      </c>
      <c r="H2130" s="28">
        <v>3884133</v>
      </c>
      <c r="I2130" s="28">
        <v>120816</v>
      </c>
      <c r="J2130" s="28">
        <v>0.99</v>
      </c>
      <c r="K2130" s="28">
        <v>13</v>
      </c>
      <c r="L2130" s="28">
        <v>0</v>
      </c>
    </row>
    <row r="2131" spans="1:12" ht="14.25" customHeight="1" x14ac:dyDescent="0.2">
      <c r="A2131" s="28">
        <v>2130</v>
      </c>
      <c r="B2131" s="28" t="s">
        <v>2941</v>
      </c>
      <c r="C2131" s="28" t="s">
        <v>2934</v>
      </c>
      <c r="D2131" s="28" t="s">
        <v>2935</v>
      </c>
      <c r="E2131" s="28" t="s">
        <v>211</v>
      </c>
      <c r="F2131" s="28" t="s">
        <v>708</v>
      </c>
      <c r="G2131" s="28" t="s">
        <v>2936</v>
      </c>
      <c r="H2131" s="28">
        <v>6928259</v>
      </c>
      <c r="I2131" s="28">
        <v>212297</v>
      </c>
      <c r="J2131" s="28">
        <v>0.99</v>
      </c>
      <c r="K2131" s="28">
        <v>96</v>
      </c>
      <c r="L2131" s="28">
        <v>1</v>
      </c>
    </row>
    <row r="2132" spans="1:12" ht="14.25" customHeight="1" x14ac:dyDescent="0.2">
      <c r="A2132" s="28">
        <v>2131</v>
      </c>
      <c r="B2132" s="28" t="s">
        <v>2942</v>
      </c>
      <c r="C2132" s="28" t="s">
        <v>2934</v>
      </c>
      <c r="D2132" s="28" t="s">
        <v>2935</v>
      </c>
      <c r="E2132" s="28" t="s">
        <v>211</v>
      </c>
      <c r="F2132" s="28" t="s">
        <v>708</v>
      </c>
      <c r="G2132" s="28" t="s">
        <v>2936</v>
      </c>
      <c r="H2132" s="28">
        <v>11064884</v>
      </c>
      <c r="I2132" s="28">
        <v>340767</v>
      </c>
      <c r="J2132" s="28">
        <v>0.99</v>
      </c>
      <c r="K2132" s="28">
        <v>53</v>
      </c>
      <c r="L2132" s="28">
        <v>1</v>
      </c>
    </row>
    <row r="2133" spans="1:12" ht="14.25" customHeight="1" x14ac:dyDescent="0.2">
      <c r="A2133" s="28">
        <v>2132</v>
      </c>
      <c r="B2133" s="28" t="s">
        <v>2943</v>
      </c>
      <c r="C2133" s="28" t="s">
        <v>2934</v>
      </c>
      <c r="D2133" s="28" t="s">
        <v>2935</v>
      </c>
      <c r="E2133" s="28" t="s">
        <v>211</v>
      </c>
      <c r="F2133" s="28" t="s">
        <v>708</v>
      </c>
      <c r="G2133" s="28" t="s">
        <v>2936</v>
      </c>
      <c r="H2133" s="28">
        <v>6572813</v>
      </c>
      <c r="I2133" s="28">
        <v>205087</v>
      </c>
      <c r="J2133" s="28">
        <v>0.99</v>
      </c>
      <c r="K2133" s="28">
        <v>60</v>
      </c>
      <c r="L2133" s="28">
        <v>1</v>
      </c>
    </row>
    <row r="2134" spans="1:12" ht="14.25" customHeight="1" x14ac:dyDescent="0.2">
      <c r="A2134" s="28">
        <v>2133</v>
      </c>
      <c r="B2134" s="28" t="s">
        <v>2944</v>
      </c>
      <c r="C2134" s="28" t="s">
        <v>2934</v>
      </c>
      <c r="D2134" s="28" t="s">
        <v>2935</v>
      </c>
      <c r="E2134" s="28" t="s">
        <v>211</v>
      </c>
      <c r="F2134" s="28" t="s">
        <v>708</v>
      </c>
      <c r="G2134" s="28" t="s">
        <v>2936</v>
      </c>
      <c r="H2134" s="28">
        <v>9335453</v>
      </c>
      <c r="I2134" s="28">
        <v>279693</v>
      </c>
      <c r="J2134" s="28">
        <v>0.99</v>
      </c>
      <c r="K2134" s="28">
        <v>1</v>
      </c>
      <c r="L2134" s="28">
        <v>0</v>
      </c>
    </row>
    <row r="2135" spans="1:12" ht="14.25" customHeight="1" x14ac:dyDescent="0.2">
      <c r="A2135" s="28">
        <v>2134</v>
      </c>
      <c r="B2135" s="28" t="s">
        <v>2945</v>
      </c>
      <c r="C2135" s="28" t="s">
        <v>2934</v>
      </c>
      <c r="D2135" s="28" t="s">
        <v>2935</v>
      </c>
      <c r="E2135" s="28" t="s">
        <v>211</v>
      </c>
      <c r="F2135" s="28" t="s">
        <v>708</v>
      </c>
      <c r="G2135" s="28" t="s">
        <v>2936</v>
      </c>
      <c r="H2135" s="28">
        <v>6920451</v>
      </c>
      <c r="I2135" s="28">
        <v>214909</v>
      </c>
      <c r="J2135" s="28">
        <v>0.99</v>
      </c>
      <c r="K2135" s="28">
        <v>68</v>
      </c>
      <c r="L2135" s="28">
        <v>0</v>
      </c>
    </row>
    <row r="2136" spans="1:12" ht="14.25" customHeight="1" x14ac:dyDescent="0.2">
      <c r="A2136" s="28">
        <v>2135</v>
      </c>
      <c r="B2136" s="28" t="s">
        <v>2946</v>
      </c>
      <c r="C2136" s="28" t="s">
        <v>2934</v>
      </c>
      <c r="D2136" s="28" t="s">
        <v>2935</v>
      </c>
      <c r="E2136" s="28" t="s">
        <v>211</v>
      </c>
      <c r="F2136" s="28" t="s">
        <v>708</v>
      </c>
      <c r="G2136" s="28" t="s">
        <v>2936</v>
      </c>
      <c r="H2136" s="28">
        <v>5851053</v>
      </c>
      <c r="I2136" s="28">
        <v>180166</v>
      </c>
      <c r="J2136" s="28">
        <v>0.99</v>
      </c>
      <c r="K2136" s="28">
        <v>82</v>
      </c>
      <c r="L2136" s="28">
        <v>0</v>
      </c>
    </row>
    <row r="2137" spans="1:12" ht="14.25" customHeight="1" x14ac:dyDescent="0.2">
      <c r="A2137" s="28">
        <v>2136</v>
      </c>
      <c r="B2137" s="28" t="s">
        <v>2947</v>
      </c>
      <c r="C2137" s="28" t="s">
        <v>2934</v>
      </c>
      <c r="D2137" s="28" t="s">
        <v>2935</v>
      </c>
      <c r="E2137" s="28" t="s">
        <v>211</v>
      </c>
      <c r="F2137" s="28" t="s">
        <v>708</v>
      </c>
      <c r="G2137" s="28" t="s">
        <v>2936</v>
      </c>
      <c r="H2137" s="28">
        <v>7253729</v>
      </c>
      <c r="I2137" s="28">
        <v>221596</v>
      </c>
      <c r="J2137" s="28">
        <v>0.99</v>
      </c>
      <c r="K2137" s="28">
        <v>99</v>
      </c>
      <c r="L2137" s="28">
        <v>2</v>
      </c>
    </row>
    <row r="2138" spans="1:12" ht="14.25" customHeight="1" x14ac:dyDescent="0.2">
      <c r="A2138" s="28">
        <v>2137</v>
      </c>
      <c r="B2138" s="28" t="s">
        <v>2948</v>
      </c>
      <c r="C2138" s="28" t="s">
        <v>2934</v>
      </c>
      <c r="D2138" s="28" t="s">
        <v>2935</v>
      </c>
      <c r="E2138" s="28" t="s">
        <v>211</v>
      </c>
      <c r="F2138" s="28" t="s">
        <v>708</v>
      </c>
      <c r="G2138" s="28" t="s">
        <v>2936</v>
      </c>
      <c r="H2138" s="28">
        <v>6638076</v>
      </c>
      <c r="I2138" s="28">
        <v>203911</v>
      </c>
      <c r="J2138" s="28">
        <v>0.99</v>
      </c>
      <c r="K2138" s="28">
        <v>28</v>
      </c>
      <c r="L2138" s="28">
        <v>1</v>
      </c>
    </row>
    <row r="2139" spans="1:12" ht="14.25" customHeight="1" x14ac:dyDescent="0.2">
      <c r="A2139" s="28">
        <v>2138</v>
      </c>
      <c r="B2139" s="28" t="s">
        <v>2949</v>
      </c>
      <c r="C2139" s="28" t="s">
        <v>2934</v>
      </c>
      <c r="D2139" s="28" t="s">
        <v>2935</v>
      </c>
      <c r="E2139" s="28" t="s">
        <v>211</v>
      </c>
      <c r="F2139" s="28" t="s">
        <v>708</v>
      </c>
      <c r="G2139" s="28" t="s">
        <v>2936</v>
      </c>
      <c r="H2139" s="28">
        <v>6179777</v>
      </c>
      <c r="I2139" s="28">
        <v>186723</v>
      </c>
      <c r="J2139" s="28">
        <v>0.99</v>
      </c>
      <c r="K2139" s="28">
        <v>14</v>
      </c>
      <c r="L2139" s="28">
        <v>0</v>
      </c>
    </row>
    <row r="2140" spans="1:12" ht="14.25" customHeight="1" x14ac:dyDescent="0.2">
      <c r="A2140" s="28">
        <v>2139</v>
      </c>
      <c r="B2140" s="28" t="s">
        <v>1930</v>
      </c>
      <c r="C2140" s="28" t="s">
        <v>2950</v>
      </c>
      <c r="D2140" s="28" t="s">
        <v>2951</v>
      </c>
      <c r="E2140" s="28" t="s">
        <v>211</v>
      </c>
      <c r="F2140" s="28" t="s">
        <v>212</v>
      </c>
      <c r="G2140" s="28" t="s">
        <v>1852</v>
      </c>
      <c r="H2140" s="28">
        <v>5499390</v>
      </c>
      <c r="I2140" s="28">
        <v>170396</v>
      </c>
      <c r="J2140" s="28">
        <v>0.99</v>
      </c>
      <c r="K2140" s="28">
        <v>31</v>
      </c>
      <c r="L2140" s="28">
        <v>0</v>
      </c>
    </row>
    <row r="2141" spans="1:12" ht="14.25" customHeight="1" x14ac:dyDescent="0.2">
      <c r="A2141" s="28">
        <v>2140</v>
      </c>
      <c r="B2141" s="28" t="s">
        <v>1929</v>
      </c>
      <c r="C2141" s="28" t="s">
        <v>2950</v>
      </c>
      <c r="D2141" s="28" t="s">
        <v>2951</v>
      </c>
      <c r="E2141" s="28" t="s">
        <v>211</v>
      </c>
      <c r="F2141" s="28" t="s">
        <v>212</v>
      </c>
      <c r="G2141" s="28" t="s">
        <v>1857</v>
      </c>
      <c r="H2141" s="28">
        <v>10009697</v>
      </c>
      <c r="I2141" s="28">
        <v>309995</v>
      </c>
      <c r="J2141" s="28">
        <v>0.99</v>
      </c>
      <c r="K2141" s="28">
        <v>72</v>
      </c>
      <c r="L2141" s="28">
        <v>0</v>
      </c>
    </row>
    <row r="2142" spans="1:12" ht="14.25" customHeight="1" x14ac:dyDescent="0.2">
      <c r="A2142" s="28">
        <v>2141</v>
      </c>
      <c r="B2142" s="28" t="s">
        <v>1854</v>
      </c>
      <c r="C2142" s="28" t="s">
        <v>2950</v>
      </c>
      <c r="D2142" s="28" t="s">
        <v>2951</v>
      </c>
      <c r="E2142" s="28" t="s">
        <v>211</v>
      </c>
      <c r="F2142" s="28" t="s">
        <v>212</v>
      </c>
      <c r="G2142" s="28" t="s">
        <v>1852</v>
      </c>
      <c r="H2142" s="28">
        <v>7782963</v>
      </c>
      <c r="I2142" s="28">
        <v>240274</v>
      </c>
      <c r="J2142" s="28">
        <v>0.99</v>
      </c>
      <c r="K2142" s="28">
        <v>98</v>
      </c>
      <c r="L2142" s="28">
        <v>1</v>
      </c>
    </row>
    <row r="2143" spans="1:12" ht="14.25" customHeight="1" x14ac:dyDescent="0.2">
      <c r="A2143" s="28">
        <v>2142</v>
      </c>
      <c r="B2143" s="28" t="s">
        <v>1931</v>
      </c>
      <c r="C2143" s="28" t="s">
        <v>2950</v>
      </c>
      <c r="D2143" s="28" t="s">
        <v>2951</v>
      </c>
      <c r="E2143" s="28" t="s">
        <v>211</v>
      </c>
      <c r="F2143" s="28" t="s">
        <v>212</v>
      </c>
      <c r="G2143" s="28" t="s">
        <v>1852</v>
      </c>
      <c r="H2143" s="28">
        <v>8360999</v>
      </c>
      <c r="I2143" s="28">
        <v>258638</v>
      </c>
      <c r="J2143" s="28">
        <v>0.99</v>
      </c>
      <c r="K2143" s="28">
        <v>78</v>
      </c>
      <c r="L2143" s="28">
        <v>1</v>
      </c>
    </row>
    <row r="2144" spans="1:12" ht="14.25" customHeight="1" x14ac:dyDescent="0.2">
      <c r="A2144" s="28">
        <v>2143</v>
      </c>
      <c r="B2144" s="28" t="s">
        <v>2952</v>
      </c>
      <c r="C2144" s="28" t="s">
        <v>2950</v>
      </c>
      <c r="D2144" s="28" t="s">
        <v>2951</v>
      </c>
      <c r="E2144" s="28" t="s">
        <v>211</v>
      </c>
      <c r="F2144" s="28" t="s">
        <v>212</v>
      </c>
      <c r="G2144" s="28" t="s">
        <v>2953</v>
      </c>
      <c r="H2144" s="28">
        <v>6139651</v>
      </c>
      <c r="I2144" s="28">
        <v>189936</v>
      </c>
      <c r="J2144" s="28">
        <v>0.99</v>
      </c>
      <c r="K2144" s="28">
        <v>95</v>
      </c>
      <c r="L2144" s="28">
        <v>1</v>
      </c>
    </row>
    <row r="2145" spans="1:12" ht="14.25" customHeight="1" x14ac:dyDescent="0.2">
      <c r="A2145" s="28">
        <v>2144</v>
      </c>
      <c r="B2145" s="28" t="s">
        <v>1856</v>
      </c>
      <c r="C2145" s="28" t="s">
        <v>2950</v>
      </c>
      <c r="D2145" s="28" t="s">
        <v>2951</v>
      </c>
      <c r="E2145" s="28" t="s">
        <v>211</v>
      </c>
      <c r="F2145" s="28" t="s">
        <v>212</v>
      </c>
      <c r="G2145" s="28" t="s">
        <v>1857</v>
      </c>
      <c r="H2145" s="28">
        <v>10577976</v>
      </c>
      <c r="I2145" s="28">
        <v>326426</v>
      </c>
      <c r="J2145" s="28">
        <v>0.99</v>
      </c>
      <c r="K2145" s="28">
        <v>61</v>
      </c>
      <c r="L2145" s="28">
        <v>0</v>
      </c>
    </row>
    <row r="2146" spans="1:12" ht="14.25" customHeight="1" x14ac:dyDescent="0.2">
      <c r="A2146" s="28">
        <v>2145</v>
      </c>
      <c r="B2146" s="28" t="s">
        <v>1859</v>
      </c>
      <c r="C2146" s="28" t="s">
        <v>2950</v>
      </c>
      <c r="D2146" s="28" t="s">
        <v>2951</v>
      </c>
      <c r="E2146" s="28" t="s">
        <v>211</v>
      </c>
      <c r="F2146" s="28" t="s">
        <v>212</v>
      </c>
      <c r="G2146" s="28" t="s">
        <v>1860</v>
      </c>
      <c r="H2146" s="28">
        <v>6423543</v>
      </c>
      <c r="I2146" s="28">
        <v>198844</v>
      </c>
      <c r="J2146" s="28">
        <v>0.99</v>
      </c>
      <c r="K2146" s="28">
        <v>50</v>
      </c>
      <c r="L2146" s="28">
        <v>1</v>
      </c>
    </row>
    <row r="2147" spans="1:12" ht="14.25" customHeight="1" x14ac:dyDescent="0.2">
      <c r="A2147" s="28">
        <v>2146</v>
      </c>
      <c r="B2147" s="28" t="s">
        <v>1861</v>
      </c>
      <c r="C2147" s="28" t="s">
        <v>2950</v>
      </c>
      <c r="D2147" s="28" t="s">
        <v>2951</v>
      </c>
      <c r="E2147" s="28" t="s">
        <v>211</v>
      </c>
      <c r="F2147" s="28" t="s">
        <v>212</v>
      </c>
      <c r="G2147" s="28" t="s">
        <v>1857</v>
      </c>
      <c r="H2147" s="28">
        <v>6483496</v>
      </c>
      <c r="I2147" s="28">
        <v>199706</v>
      </c>
      <c r="J2147" s="28">
        <v>0.99</v>
      </c>
      <c r="K2147" s="28">
        <v>13</v>
      </c>
      <c r="L2147" s="28">
        <v>0</v>
      </c>
    </row>
    <row r="2148" spans="1:12" ht="14.25" customHeight="1" x14ac:dyDescent="0.2">
      <c r="A2148" s="28">
        <v>2147</v>
      </c>
      <c r="B2148" s="28" t="s">
        <v>1953</v>
      </c>
      <c r="C2148" s="28" t="s">
        <v>2950</v>
      </c>
      <c r="D2148" s="28" t="s">
        <v>2951</v>
      </c>
      <c r="E2148" s="28" t="s">
        <v>211</v>
      </c>
      <c r="F2148" s="28" t="s">
        <v>212</v>
      </c>
      <c r="G2148" s="28" t="s">
        <v>1852</v>
      </c>
      <c r="H2148" s="28">
        <v>13585530</v>
      </c>
      <c r="I2148" s="28">
        <v>418168</v>
      </c>
      <c r="J2148" s="28">
        <v>0.99</v>
      </c>
      <c r="K2148" s="28">
        <v>8</v>
      </c>
      <c r="L2148" s="28">
        <v>0</v>
      </c>
    </row>
    <row r="2149" spans="1:12" ht="14.25" customHeight="1" x14ac:dyDescent="0.2">
      <c r="A2149" s="28">
        <v>2148</v>
      </c>
      <c r="B2149" s="28" t="s">
        <v>1839</v>
      </c>
      <c r="C2149" s="28" t="s">
        <v>2950</v>
      </c>
      <c r="D2149" s="28" t="s">
        <v>2951</v>
      </c>
      <c r="E2149" s="28" t="s">
        <v>211</v>
      </c>
      <c r="F2149" s="28" t="s">
        <v>212</v>
      </c>
      <c r="G2149" s="28" t="s">
        <v>1852</v>
      </c>
      <c r="H2149" s="28">
        <v>7600077</v>
      </c>
      <c r="I2149" s="28">
        <v>235232</v>
      </c>
      <c r="J2149" s="28">
        <v>0.99</v>
      </c>
      <c r="K2149" s="28">
        <v>79</v>
      </c>
      <c r="L2149" s="28">
        <v>1</v>
      </c>
    </row>
    <row r="2150" spans="1:12" ht="14.25" customHeight="1" x14ac:dyDescent="0.2">
      <c r="A2150" s="28">
        <v>2149</v>
      </c>
      <c r="B2150" s="28" t="s">
        <v>2954</v>
      </c>
      <c r="C2150" s="28" t="s">
        <v>2955</v>
      </c>
      <c r="D2150" s="28" t="s">
        <v>2956</v>
      </c>
      <c r="E2150" s="28" t="s">
        <v>211</v>
      </c>
      <c r="F2150" s="28" t="s">
        <v>212</v>
      </c>
      <c r="G2150" s="28" t="s">
        <v>2957</v>
      </c>
      <c r="H2150" s="28">
        <v>9991106</v>
      </c>
      <c r="I2150" s="28">
        <v>305293</v>
      </c>
      <c r="J2150" s="28">
        <v>0.99</v>
      </c>
      <c r="K2150" s="28">
        <v>76</v>
      </c>
      <c r="L2150" s="28">
        <v>1</v>
      </c>
    </row>
    <row r="2151" spans="1:12" ht="14.25" customHeight="1" x14ac:dyDescent="0.2">
      <c r="A2151" s="28">
        <v>2150</v>
      </c>
      <c r="B2151" s="28" t="s">
        <v>2958</v>
      </c>
      <c r="C2151" s="28" t="s">
        <v>2955</v>
      </c>
      <c r="D2151" s="28" t="s">
        <v>2956</v>
      </c>
      <c r="E2151" s="28" t="s">
        <v>211</v>
      </c>
      <c r="F2151" s="28" t="s">
        <v>212</v>
      </c>
      <c r="G2151" s="28" t="s">
        <v>2959</v>
      </c>
      <c r="H2151" s="28">
        <v>7678347</v>
      </c>
      <c r="I2151" s="28">
        <v>233613</v>
      </c>
      <c r="J2151" s="28">
        <v>0.99</v>
      </c>
      <c r="K2151" s="28">
        <v>60</v>
      </c>
      <c r="L2151" s="28">
        <v>1</v>
      </c>
    </row>
    <row r="2152" spans="1:12" ht="14.25" customHeight="1" x14ac:dyDescent="0.2">
      <c r="A2152" s="28">
        <v>2151</v>
      </c>
      <c r="B2152" s="28" t="s">
        <v>2960</v>
      </c>
      <c r="C2152" s="28" t="s">
        <v>2955</v>
      </c>
      <c r="D2152" s="28" t="s">
        <v>2956</v>
      </c>
      <c r="E2152" s="28" t="s">
        <v>211</v>
      </c>
      <c r="F2152" s="28" t="s">
        <v>212</v>
      </c>
      <c r="G2152" s="28" t="s">
        <v>2961</v>
      </c>
      <c r="H2152" s="28">
        <v>7364206</v>
      </c>
      <c r="I2152" s="28">
        <v>223764</v>
      </c>
      <c r="J2152" s="28">
        <v>0.99</v>
      </c>
      <c r="K2152" s="28">
        <v>90</v>
      </c>
      <c r="L2152" s="28">
        <v>0</v>
      </c>
    </row>
    <row r="2153" spans="1:12" ht="14.25" customHeight="1" x14ac:dyDescent="0.2">
      <c r="A2153" s="28">
        <v>2152</v>
      </c>
      <c r="B2153" s="28" t="s">
        <v>2962</v>
      </c>
      <c r="C2153" s="28" t="s">
        <v>2955</v>
      </c>
      <c r="D2153" s="28" t="s">
        <v>2956</v>
      </c>
      <c r="E2153" s="28" t="s">
        <v>211</v>
      </c>
      <c r="F2153" s="28" t="s">
        <v>212</v>
      </c>
      <c r="G2153" s="28" t="s">
        <v>2963</v>
      </c>
      <c r="H2153" s="28">
        <v>13420697</v>
      </c>
      <c r="I2153" s="28">
        <v>407484</v>
      </c>
      <c r="J2153" s="28">
        <v>0.99</v>
      </c>
      <c r="K2153" s="28">
        <v>50</v>
      </c>
      <c r="L2153" s="28">
        <v>0</v>
      </c>
    </row>
    <row r="2154" spans="1:12" ht="14.25" customHeight="1" x14ac:dyDescent="0.2">
      <c r="A2154" s="28">
        <v>2153</v>
      </c>
      <c r="B2154" s="28" t="s">
        <v>2964</v>
      </c>
      <c r="C2154" s="28" t="s">
        <v>2955</v>
      </c>
      <c r="D2154" s="28" t="s">
        <v>2956</v>
      </c>
      <c r="E2154" s="28" t="s">
        <v>211</v>
      </c>
      <c r="F2154" s="28" t="s">
        <v>212</v>
      </c>
      <c r="G2154" s="28" t="s">
        <v>2963</v>
      </c>
      <c r="H2154" s="28">
        <v>7509304</v>
      </c>
      <c r="I2154" s="28">
        <v>229328</v>
      </c>
      <c r="J2154" s="28">
        <v>0.99</v>
      </c>
      <c r="K2154" s="28">
        <v>61</v>
      </c>
      <c r="L2154" s="28">
        <v>0</v>
      </c>
    </row>
    <row r="2155" spans="1:12" ht="14.25" customHeight="1" x14ac:dyDescent="0.2">
      <c r="A2155" s="28">
        <v>2154</v>
      </c>
      <c r="B2155" s="28" t="s">
        <v>2965</v>
      </c>
      <c r="C2155" s="28" t="s">
        <v>2955</v>
      </c>
      <c r="D2155" s="28" t="s">
        <v>2956</v>
      </c>
      <c r="E2155" s="28" t="s">
        <v>211</v>
      </c>
      <c r="F2155" s="28" t="s">
        <v>212</v>
      </c>
      <c r="G2155" s="28" t="s">
        <v>2956</v>
      </c>
      <c r="H2155" s="28">
        <v>3957141</v>
      </c>
      <c r="I2155" s="28">
        <v>122801</v>
      </c>
      <c r="J2155" s="28">
        <v>0.99</v>
      </c>
      <c r="K2155" s="28">
        <v>50</v>
      </c>
      <c r="L2155" s="28">
        <v>2</v>
      </c>
    </row>
    <row r="2156" spans="1:12" ht="14.25" customHeight="1" x14ac:dyDescent="0.2">
      <c r="A2156" s="28">
        <v>2155</v>
      </c>
      <c r="B2156" s="28" t="s">
        <v>2966</v>
      </c>
      <c r="C2156" s="28" t="s">
        <v>2955</v>
      </c>
      <c r="D2156" s="28" t="s">
        <v>2956</v>
      </c>
      <c r="E2156" s="28" t="s">
        <v>211</v>
      </c>
      <c r="F2156" s="28" t="s">
        <v>212</v>
      </c>
      <c r="G2156" s="28" t="s">
        <v>2967</v>
      </c>
      <c r="H2156" s="28">
        <v>4817665</v>
      </c>
      <c r="I2156" s="28">
        <v>148192</v>
      </c>
      <c r="J2156" s="28">
        <v>0.99</v>
      </c>
      <c r="K2156" s="28">
        <v>73</v>
      </c>
      <c r="L2156" s="28">
        <v>1</v>
      </c>
    </row>
    <row r="2157" spans="1:12" ht="14.25" customHeight="1" x14ac:dyDescent="0.2">
      <c r="A2157" s="28">
        <v>2156</v>
      </c>
      <c r="B2157" s="28" t="s">
        <v>2968</v>
      </c>
      <c r="C2157" s="28" t="s">
        <v>2955</v>
      </c>
      <c r="D2157" s="28" t="s">
        <v>2956</v>
      </c>
      <c r="E2157" s="28" t="s">
        <v>211</v>
      </c>
      <c r="F2157" s="28" t="s">
        <v>212</v>
      </c>
      <c r="G2157" s="28" t="s">
        <v>2963</v>
      </c>
      <c r="H2157" s="28">
        <v>5290810</v>
      </c>
      <c r="I2157" s="28">
        <v>161541</v>
      </c>
      <c r="J2157" s="28">
        <v>0.99</v>
      </c>
      <c r="K2157" s="28">
        <v>75</v>
      </c>
      <c r="L2157" s="28">
        <v>0</v>
      </c>
    </row>
    <row r="2158" spans="1:12" ht="14.25" customHeight="1" x14ac:dyDescent="0.2">
      <c r="A2158" s="28">
        <v>2157</v>
      </c>
      <c r="B2158" s="28" t="s">
        <v>2969</v>
      </c>
      <c r="C2158" s="28" t="s">
        <v>2955</v>
      </c>
      <c r="D2158" s="28" t="s">
        <v>2956</v>
      </c>
      <c r="E2158" s="28" t="s">
        <v>211</v>
      </c>
      <c r="F2158" s="28" t="s">
        <v>212</v>
      </c>
      <c r="G2158" s="28" t="s">
        <v>2970</v>
      </c>
      <c r="H2158" s="28">
        <v>7944923</v>
      </c>
      <c r="I2158" s="28">
        <v>242991</v>
      </c>
      <c r="J2158" s="28">
        <v>0.99</v>
      </c>
      <c r="K2158" s="28">
        <v>44</v>
      </c>
      <c r="L2158" s="28">
        <v>0</v>
      </c>
    </row>
    <row r="2159" spans="1:12" ht="14.25" customHeight="1" x14ac:dyDescent="0.2">
      <c r="A2159" s="28">
        <v>2158</v>
      </c>
      <c r="B2159" s="28" t="s">
        <v>2971</v>
      </c>
      <c r="C2159" s="28" t="s">
        <v>2955</v>
      </c>
      <c r="D2159" s="28" t="s">
        <v>2956</v>
      </c>
      <c r="E2159" s="28" t="s">
        <v>211</v>
      </c>
      <c r="F2159" s="28" t="s">
        <v>212</v>
      </c>
      <c r="G2159" s="28" t="s">
        <v>2972</v>
      </c>
      <c r="H2159" s="28">
        <v>10394239</v>
      </c>
      <c r="I2159" s="28">
        <v>317100</v>
      </c>
      <c r="J2159" s="28">
        <v>0.99</v>
      </c>
      <c r="K2159" s="28">
        <v>17</v>
      </c>
      <c r="L2159" s="28">
        <v>0</v>
      </c>
    </row>
    <row r="2160" spans="1:12" ht="14.25" customHeight="1" x14ac:dyDescent="0.2">
      <c r="A2160" s="28">
        <v>2159</v>
      </c>
      <c r="B2160" s="28" t="s">
        <v>2973</v>
      </c>
      <c r="C2160" s="28" t="s">
        <v>2955</v>
      </c>
      <c r="D2160" s="28" t="s">
        <v>2956</v>
      </c>
      <c r="E2160" s="28" t="s">
        <v>211</v>
      </c>
      <c r="F2160" s="28" t="s">
        <v>212</v>
      </c>
      <c r="G2160" s="28" t="s">
        <v>2967</v>
      </c>
      <c r="H2160" s="28">
        <v>11245109</v>
      </c>
      <c r="I2160" s="28">
        <v>343222</v>
      </c>
      <c r="J2160" s="28">
        <v>0.99</v>
      </c>
      <c r="K2160" s="28">
        <v>3</v>
      </c>
      <c r="L2160" s="28">
        <v>1</v>
      </c>
    </row>
    <row r="2161" spans="1:12" ht="14.25" customHeight="1" x14ac:dyDescent="0.2">
      <c r="A2161" s="28">
        <v>2160</v>
      </c>
      <c r="B2161" s="28" t="s">
        <v>2974</v>
      </c>
      <c r="C2161" s="28" t="s">
        <v>2955</v>
      </c>
      <c r="D2161" s="28" t="s">
        <v>2956</v>
      </c>
      <c r="E2161" s="28" t="s">
        <v>211</v>
      </c>
      <c r="F2161" s="28" t="s">
        <v>212</v>
      </c>
      <c r="G2161" s="28" t="s">
        <v>2975</v>
      </c>
      <c r="H2161" s="28">
        <v>9107017</v>
      </c>
      <c r="I2161" s="28">
        <v>278595</v>
      </c>
      <c r="J2161" s="28">
        <v>0.99</v>
      </c>
      <c r="K2161" s="28">
        <v>81</v>
      </c>
      <c r="L2161" s="28">
        <v>1</v>
      </c>
    </row>
    <row r="2162" spans="1:12" ht="14.25" customHeight="1" x14ac:dyDescent="0.2">
      <c r="A2162" s="28">
        <v>2161</v>
      </c>
      <c r="B2162" s="28" t="s">
        <v>2976</v>
      </c>
      <c r="C2162" s="28" t="s">
        <v>2955</v>
      </c>
      <c r="D2162" s="28" t="s">
        <v>2956</v>
      </c>
      <c r="E2162" s="28" t="s">
        <v>211</v>
      </c>
      <c r="F2162" s="28" t="s">
        <v>212</v>
      </c>
      <c r="G2162" s="28" t="s">
        <v>2977</v>
      </c>
      <c r="H2162" s="28">
        <v>7377286</v>
      </c>
      <c r="I2162" s="28">
        <v>225462</v>
      </c>
      <c r="J2162" s="28">
        <v>0.99</v>
      </c>
      <c r="K2162" s="28">
        <v>50</v>
      </c>
      <c r="L2162" s="28">
        <v>0</v>
      </c>
    </row>
    <row r="2163" spans="1:12" ht="14.25" customHeight="1" x14ac:dyDescent="0.2">
      <c r="A2163" s="28">
        <v>2162</v>
      </c>
      <c r="B2163" s="28" t="s">
        <v>2978</v>
      </c>
      <c r="C2163" s="28" t="s">
        <v>2955</v>
      </c>
      <c r="D2163" s="28" t="s">
        <v>2956</v>
      </c>
      <c r="E2163" s="28" t="s">
        <v>211</v>
      </c>
      <c r="F2163" s="28" t="s">
        <v>212</v>
      </c>
      <c r="G2163" s="28" t="s">
        <v>2967</v>
      </c>
      <c r="H2163" s="28">
        <v>8019563</v>
      </c>
      <c r="I2163" s="28">
        <v>246204</v>
      </c>
      <c r="J2163" s="28">
        <v>0.99</v>
      </c>
      <c r="K2163" s="28">
        <v>89</v>
      </c>
      <c r="L2163" s="28">
        <v>0</v>
      </c>
    </row>
    <row r="2164" spans="1:12" ht="14.25" customHeight="1" x14ac:dyDescent="0.2">
      <c r="A2164" s="28">
        <v>2163</v>
      </c>
      <c r="B2164" s="28" t="s">
        <v>2979</v>
      </c>
      <c r="C2164" s="28" t="s">
        <v>2955</v>
      </c>
      <c r="D2164" s="28" t="s">
        <v>2956</v>
      </c>
      <c r="E2164" s="28" t="s">
        <v>211</v>
      </c>
      <c r="F2164" s="28" t="s">
        <v>212</v>
      </c>
      <c r="G2164" s="28" t="s">
        <v>2972</v>
      </c>
      <c r="H2164" s="28">
        <v>13580009</v>
      </c>
      <c r="I2164" s="28">
        <v>415712</v>
      </c>
      <c r="J2164" s="28">
        <v>0.99</v>
      </c>
      <c r="K2164" s="28">
        <v>26</v>
      </c>
      <c r="L2164" s="28">
        <v>1</v>
      </c>
    </row>
    <row r="2165" spans="1:12" ht="14.25" customHeight="1" x14ac:dyDescent="0.2">
      <c r="A2165" s="28">
        <v>2164</v>
      </c>
      <c r="B2165" s="28" t="s">
        <v>2980</v>
      </c>
      <c r="C2165" s="28" t="s">
        <v>2955</v>
      </c>
      <c r="D2165" s="28" t="s">
        <v>2956</v>
      </c>
      <c r="E2165" s="28" t="s">
        <v>211</v>
      </c>
      <c r="F2165" s="28" t="s">
        <v>212</v>
      </c>
      <c r="G2165" s="28" t="s">
        <v>2981</v>
      </c>
      <c r="H2165" s="28">
        <v>12360893</v>
      </c>
      <c r="I2165" s="28">
        <v>377652</v>
      </c>
      <c r="J2165" s="28">
        <v>0.99</v>
      </c>
      <c r="K2165" s="28">
        <v>52</v>
      </c>
      <c r="L2165" s="28">
        <v>1</v>
      </c>
    </row>
    <row r="2166" spans="1:12" ht="14.25" customHeight="1" x14ac:dyDescent="0.2">
      <c r="A2166" s="28">
        <v>2165</v>
      </c>
      <c r="B2166" s="28" t="s">
        <v>2982</v>
      </c>
      <c r="C2166" s="28" t="s">
        <v>2956</v>
      </c>
      <c r="D2166" s="28" t="s">
        <v>2956</v>
      </c>
      <c r="E2166" s="28" t="s">
        <v>211</v>
      </c>
      <c r="F2166" s="28" t="s">
        <v>348</v>
      </c>
      <c r="G2166" s="28" t="s">
        <v>2983</v>
      </c>
      <c r="H2166" s="28">
        <v>7610169</v>
      </c>
      <c r="I2166" s="28">
        <v>234344</v>
      </c>
      <c r="J2166" s="28">
        <v>0.99</v>
      </c>
      <c r="K2166" s="28">
        <v>16</v>
      </c>
      <c r="L2166" s="28">
        <v>0</v>
      </c>
    </row>
    <row r="2167" spans="1:12" ht="14.25" customHeight="1" x14ac:dyDescent="0.2">
      <c r="A2167" s="28">
        <v>2166</v>
      </c>
      <c r="B2167" s="28" t="s">
        <v>2984</v>
      </c>
      <c r="C2167" s="28" t="s">
        <v>2956</v>
      </c>
      <c r="D2167" s="28" t="s">
        <v>2956</v>
      </c>
      <c r="E2167" s="28" t="s">
        <v>211</v>
      </c>
      <c r="F2167" s="28" t="s">
        <v>348</v>
      </c>
      <c r="G2167" s="28" t="s">
        <v>2967</v>
      </c>
      <c r="H2167" s="28">
        <v>6885908</v>
      </c>
      <c r="I2167" s="28">
        <v>209188</v>
      </c>
      <c r="J2167" s="28">
        <v>0.99</v>
      </c>
      <c r="K2167" s="28">
        <v>0</v>
      </c>
      <c r="L2167" s="28">
        <v>1</v>
      </c>
    </row>
    <row r="2168" spans="1:12" ht="14.25" customHeight="1" x14ac:dyDescent="0.2">
      <c r="A2168" s="28">
        <v>2167</v>
      </c>
      <c r="B2168" s="28" t="s">
        <v>2985</v>
      </c>
      <c r="C2168" s="28" t="s">
        <v>2956</v>
      </c>
      <c r="D2168" s="28" t="s">
        <v>2956</v>
      </c>
      <c r="E2168" s="28" t="s">
        <v>211</v>
      </c>
      <c r="F2168" s="28" t="s">
        <v>348</v>
      </c>
      <c r="G2168" s="28" t="s">
        <v>2986</v>
      </c>
      <c r="H2168" s="28">
        <v>4574516</v>
      </c>
      <c r="I2168" s="28">
        <v>139990</v>
      </c>
      <c r="J2168" s="28">
        <v>0.99</v>
      </c>
      <c r="K2168" s="28">
        <v>48</v>
      </c>
      <c r="L2168" s="28">
        <v>0</v>
      </c>
    </row>
    <row r="2169" spans="1:12" ht="14.25" customHeight="1" x14ac:dyDescent="0.2">
      <c r="A2169" s="28">
        <v>2168</v>
      </c>
      <c r="B2169" s="28" t="s">
        <v>2987</v>
      </c>
      <c r="C2169" s="28" t="s">
        <v>2956</v>
      </c>
      <c r="D2169" s="28" t="s">
        <v>2956</v>
      </c>
      <c r="E2169" s="28" t="s">
        <v>211</v>
      </c>
      <c r="F2169" s="28" t="s">
        <v>348</v>
      </c>
      <c r="G2169" s="28" t="s">
        <v>2967</v>
      </c>
      <c r="H2169" s="28">
        <v>8817438</v>
      </c>
      <c r="I2169" s="28">
        <v>270341</v>
      </c>
      <c r="J2169" s="28">
        <v>0.99</v>
      </c>
      <c r="K2169" s="28">
        <v>82</v>
      </c>
      <c r="L2169" s="28">
        <v>1</v>
      </c>
    </row>
    <row r="2170" spans="1:12" ht="14.25" customHeight="1" x14ac:dyDescent="0.2">
      <c r="A2170" s="28">
        <v>2169</v>
      </c>
      <c r="B2170" s="28" t="s">
        <v>2988</v>
      </c>
      <c r="C2170" s="28" t="s">
        <v>2956</v>
      </c>
      <c r="D2170" s="28" t="s">
        <v>2956</v>
      </c>
      <c r="E2170" s="28" t="s">
        <v>211</v>
      </c>
      <c r="F2170" s="28" t="s">
        <v>348</v>
      </c>
      <c r="G2170" s="28" t="s">
        <v>2989</v>
      </c>
      <c r="H2170" s="28">
        <v>8656578</v>
      </c>
      <c r="I2170" s="28">
        <v>263235</v>
      </c>
      <c r="J2170" s="28">
        <v>0.99</v>
      </c>
      <c r="K2170" s="28">
        <v>62</v>
      </c>
      <c r="L2170" s="28">
        <v>0</v>
      </c>
    </row>
    <row r="2171" spans="1:12" ht="14.25" customHeight="1" x14ac:dyDescent="0.2">
      <c r="A2171" s="28">
        <v>2170</v>
      </c>
      <c r="B2171" s="28" t="s">
        <v>2990</v>
      </c>
      <c r="C2171" s="28" t="s">
        <v>2956</v>
      </c>
      <c r="D2171" s="28" t="s">
        <v>2956</v>
      </c>
      <c r="E2171" s="28" t="s">
        <v>211</v>
      </c>
      <c r="F2171" s="28" t="s">
        <v>348</v>
      </c>
      <c r="G2171" s="28" t="s">
        <v>2983</v>
      </c>
      <c r="H2171" s="28">
        <v>7074973</v>
      </c>
      <c r="I2171" s="28">
        <v>216555</v>
      </c>
      <c r="J2171" s="28">
        <v>0.99</v>
      </c>
      <c r="K2171" s="28">
        <v>31</v>
      </c>
      <c r="L2171" s="28">
        <v>0</v>
      </c>
    </row>
    <row r="2172" spans="1:12" ht="14.25" customHeight="1" x14ac:dyDescent="0.2">
      <c r="A2172" s="28">
        <v>2171</v>
      </c>
      <c r="B2172" s="28" t="s">
        <v>2991</v>
      </c>
      <c r="C2172" s="28" t="s">
        <v>2956</v>
      </c>
      <c r="D2172" s="28" t="s">
        <v>2956</v>
      </c>
      <c r="E2172" s="28" t="s">
        <v>211</v>
      </c>
      <c r="F2172" s="28" t="s">
        <v>348</v>
      </c>
      <c r="G2172" s="28" t="s">
        <v>2992</v>
      </c>
      <c r="H2172" s="28">
        <v>6066542</v>
      </c>
      <c r="I2172" s="28">
        <v>184398</v>
      </c>
      <c r="J2172" s="28">
        <v>0.99</v>
      </c>
      <c r="K2172" s="28">
        <v>82</v>
      </c>
      <c r="L2172" s="28">
        <v>0</v>
      </c>
    </row>
    <row r="2173" spans="1:12" ht="14.25" customHeight="1" x14ac:dyDescent="0.2">
      <c r="A2173" s="28">
        <v>2172</v>
      </c>
      <c r="B2173" s="28" t="s">
        <v>2993</v>
      </c>
      <c r="C2173" s="28" t="s">
        <v>2956</v>
      </c>
      <c r="D2173" s="28" t="s">
        <v>2956</v>
      </c>
      <c r="E2173" s="28" t="s">
        <v>211</v>
      </c>
      <c r="F2173" s="28" t="s">
        <v>348</v>
      </c>
      <c r="G2173" s="28" t="s">
        <v>2994</v>
      </c>
      <c r="H2173" s="28">
        <v>5858788</v>
      </c>
      <c r="I2173" s="28">
        <v>178573</v>
      </c>
      <c r="J2173" s="28">
        <v>0.99</v>
      </c>
      <c r="K2173" s="28">
        <v>50</v>
      </c>
      <c r="L2173" s="28">
        <v>2</v>
      </c>
    </row>
    <row r="2174" spans="1:12" ht="14.25" customHeight="1" x14ac:dyDescent="0.2">
      <c r="A2174" s="28">
        <v>2173</v>
      </c>
      <c r="B2174" s="28" t="s">
        <v>2995</v>
      </c>
      <c r="C2174" s="28" t="s">
        <v>2956</v>
      </c>
      <c r="D2174" s="28" t="s">
        <v>2956</v>
      </c>
      <c r="E2174" s="28" t="s">
        <v>211</v>
      </c>
      <c r="F2174" s="28" t="s">
        <v>348</v>
      </c>
      <c r="G2174" s="28" t="s">
        <v>2967</v>
      </c>
      <c r="H2174" s="28">
        <v>8158204</v>
      </c>
      <c r="I2174" s="28">
        <v>249547</v>
      </c>
      <c r="J2174" s="28">
        <v>0.99</v>
      </c>
      <c r="K2174" s="28">
        <v>99</v>
      </c>
      <c r="L2174" s="28">
        <v>1</v>
      </c>
    </row>
    <row r="2175" spans="1:12" ht="14.25" customHeight="1" x14ac:dyDescent="0.2">
      <c r="A2175" s="28">
        <v>2174</v>
      </c>
      <c r="B2175" s="28" t="s">
        <v>2996</v>
      </c>
      <c r="C2175" s="28" t="s">
        <v>2956</v>
      </c>
      <c r="D2175" s="28" t="s">
        <v>2956</v>
      </c>
      <c r="E2175" s="28" t="s">
        <v>211</v>
      </c>
      <c r="F2175" s="28" t="s">
        <v>348</v>
      </c>
      <c r="G2175" s="28" t="s">
        <v>2983</v>
      </c>
      <c r="H2175" s="28">
        <v>1731020</v>
      </c>
      <c r="I2175" s="28">
        <v>53733</v>
      </c>
      <c r="J2175" s="28">
        <v>0.99</v>
      </c>
      <c r="K2175" s="28">
        <v>88</v>
      </c>
      <c r="L2175" s="28">
        <v>0</v>
      </c>
    </row>
    <row r="2176" spans="1:12" ht="14.25" customHeight="1" x14ac:dyDescent="0.2">
      <c r="A2176" s="28">
        <v>2175</v>
      </c>
      <c r="B2176" s="28" t="s">
        <v>2997</v>
      </c>
      <c r="C2176" s="28" t="s">
        <v>2956</v>
      </c>
      <c r="D2176" s="28" t="s">
        <v>2956</v>
      </c>
      <c r="E2176" s="28" t="s">
        <v>211</v>
      </c>
      <c r="F2176" s="28" t="s">
        <v>348</v>
      </c>
      <c r="G2176" s="28" t="s">
        <v>2994</v>
      </c>
      <c r="H2176" s="28">
        <v>7393771</v>
      </c>
      <c r="I2176" s="28">
        <v>225567</v>
      </c>
      <c r="J2176" s="28">
        <v>0.99</v>
      </c>
      <c r="K2176" s="28">
        <v>85</v>
      </c>
      <c r="L2176" s="28">
        <v>0</v>
      </c>
    </row>
    <row r="2177" spans="1:12" ht="14.25" customHeight="1" x14ac:dyDescent="0.2">
      <c r="A2177" s="28">
        <v>2176</v>
      </c>
      <c r="B2177" s="28" t="s">
        <v>1589</v>
      </c>
      <c r="C2177" s="28" t="s">
        <v>2956</v>
      </c>
      <c r="D2177" s="28" t="s">
        <v>2956</v>
      </c>
      <c r="E2177" s="28" t="s">
        <v>211</v>
      </c>
      <c r="F2177" s="28" t="s">
        <v>348</v>
      </c>
      <c r="G2177" s="28" t="s">
        <v>2959</v>
      </c>
      <c r="H2177" s="28">
        <v>10768701</v>
      </c>
      <c r="I2177" s="28">
        <v>329743</v>
      </c>
      <c r="J2177" s="28">
        <v>0.99</v>
      </c>
      <c r="K2177" s="28">
        <v>73</v>
      </c>
      <c r="L2177" s="28">
        <v>0</v>
      </c>
    </row>
    <row r="2178" spans="1:12" ht="14.25" customHeight="1" x14ac:dyDescent="0.2">
      <c r="A2178" s="28">
        <v>2177</v>
      </c>
      <c r="B2178" s="28" t="s">
        <v>2998</v>
      </c>
      <c r="C2178" s="28" t="s">
        <v>2956</v>
      </c>
      <c r="D2178" s="28" t="s">
        <v>2956</v>
      </c>
      <c r="E2178" s="28" t="s">
        <v>211</v>
      </c>
      <c r="F2178" s="28" t="s">
        <v>348</v>
      </c>
      <c r="G2178" s="28" t="s">
        <v>2959</v>
      </c>
      <c r="H2178" s="28">
        <v>14006924</v>
      </c>
      <c r="I2178" s="28">
        <v>428643</v>
      </c>
      <c r="J2178" s="28">
        <v>0.99</v>
      </c>
      <c r="K2178" s="28">
        <v>88</v>
      </c>
      <c r="L2178" s="28">
        <v>1</v>
      </c>
    </row>
    <row r="2179" spans="1:12" ht="14.25" customHeight="1" x14ac:dyDescent="0.2">
      <c r="A2179" s="28">
        <v>2178</v>
      </c>
      <c r="B2179" s="28" t="s">
        <v>2999</v>
      </c>
      <c r="C2179" s="28" t="s">
        <v>3000</v>
      </c>
      <c r="D2179" s="28" t="s">
        <v>2956</v>
      </c>
      <c r="E2179" s="28" t="s">
        <v>211</v>
      </c>
      <c r="F2179" s="28" t="s">
        <v>212</v>
      </c>
      <c r="G2179" s="28" t="s">
        <v>2967</v>
      </c>
      <c r="H2179" s="28">
        <v>7215713</v>
      </c>
      <c r="I2179" s="28">
        <v>219428</v>
      </c>
      <c r="J2179" s="28">
        <v>0.99</v>
      </c>
      <c r="K2179" s="28">
        <v>69</v>
      </c>
      <c r="L2179" s="28">
        <v>1</v>
      </c>
    </row>
    <row r="2180" spans="1:12" ht="14.25" customHeight="1" x14ac:dyDescent="0.2">
      <c r="A2180" s="28">
        <v>2179</v>
      </c>
      <c r="B2180" s="28" t="s">
        <v>3001</v>
      </c>
      <c r="C2180" s="28" t="s">
        <v>3000</v>
      </c>
      <c r="D2180" s="28" t="s">
        <v>2956</v>
      </c>
      <c r="E2180" s="28" t="s">
        <v>211</v>
      </c>
      <c r="F2180" s="28" t="s">
        <v>212</v>
      </c>
      <c r="G2180" s="28" t="s">
        <v>3002</v>
      </c>
      <c r="H2180" s="28">
        <v>7609110</v>
      </c>
      <c r="I2180" s="28">
        <v>230112</v>
      </c>
      <c r="J2180" s="28">
        <v>0.99</v>
      </c>
      <c r="K2180" s="28">
        <v>32</v>
      </c>
      <c r="L2180" s="28">
        <v>0</v>
      </c>
    </row>
    <row r="2181" spans="1:12" ht="14.25" customHeight="1" x14ac:dyDescent="0.2">
      <c r="A2181" s="28">
        <v>2180</v>
      </c>
      <c r="B2181" s="28" t="s">
        <v>3003</v>
      </c>
      <c r="C2181" s="28" t="s">
        <v>3000</v>
      </c>
      <c r="D2181" s="28" t="s">
        <v>2956</v>
      </c>
      <c r="E2181" s="28" t="s">
        <v>211</v>
      </c>
      <c r="F2181" s="28" t="s">
        <v>212</v>
      </c>
      <c r="G2181" s="28" t="s">
        <v>2967</v>
      </c>
      <c r="H2181" s="28">
        <v>9016789</v>
      </c>
      <c r="I2181" s="28">
        <v>276453</v>
      </c>
      <c r="J2181" s="28">
        <v>0.99</v>
      </c>
      <c r="K2181" s="28">
        <v>55</v>
      </c>
      <c r="L2181" s="28">
        <v>0</v>
      </c>
    </row>
    <row r="2182" spans="1:12" ht="14.25" customHeight="1" x14ac:dyDescent="0.2">
      <c r="A2182" s="28">
        <v>2181</v>
      </c>
      <c r="B2182" s="28" t="s">
        <v>3004</v>
      </c>
      <c r="C2182" s="28" t="s">
        <v>3000</v>
      </c>
      <c r="D2182" s="28" t="s">
        <v>2956</v>
      </c>
      <c r="E2182" s="28" t="s">
        <v>211</v>
      </c>
      <c r="F2182" s="28" t="s">
        <v>212</v>
      </c>
      <c r="G2182" s="28" t="s">
        <v>3005</v>
      </c>
      <c r="H2182" s="28">
        <v>7588928</v>
      </c>
      <c r="I2182" s="28">
        <v>231888</v>
      </c>
      <c r="J2182" s="28">
        <v>0.99</v>
      </c>
      <c r="K2182" s="28">
        <v>58</v>
      </c>
      <c r="L2182" s="28">
        <v>1</v>
      </c>
    </row>
    <row r="2183" spans="1:12" ht="14.25" customHeight="1" x14ac:dyDescent="0.2">
      <c r="A2183" s="28">
        <v>2182</v>
      </c>
      <c r="B2183" s="28" t="s">
        <v>3006</v>
      </c>
      <c r="C2183" s="28" t="s">
        <v>3000</v>
      </c>
      <c r="D2183" s="28" t="s">
        <v>2956</v>
      </c>
      <c r="E2183" s="28" t="s">
        <v>211</v>
      </c>
      <c r="F2183" s="28" t="s">
        <v>212</v>
      </c>
      <c r="G2183" s="28" t="s">
        <v>2994</v>
      </c>
      <c r="H2183" s="28">
        <v>6383772</v>
      </c>
      <c r="I2183" s="28">
        <v>195108</v>
      </c>
      <c r="J2183" s="28">
        <v>0.99</v>
      </c>
      <c r="K2183" s="28">
        <v>30</v>
      </c>
      <c r="L2183" s="28">
        <v>1</v>
      </c>
    </row>
    <row r="2184" spans="1:12" ht="14.25" customHeight="1" x14ac:dyDescent="0.2">
      <c r="A2184" s="28">
        <v>2183</v>
      </c>
      <c r="B2184" s="28" t="s">
        <v>3007</v>
      </c>
      <c r="C2184" s="28" t="s">
        <v>3000</v>
      </c>
      <c r="D2184" s="28" t="s">
        <v>2956</v>
      </c>
      <c r="E2184" s="28" t="s">
        <v>211</v>
      </c>
      <c r="F2184" s="28" t="s">
        <v>212</v>
      </c>
      <c r="G2184" s="28" t="s">
        <v>2967</v>
      </c>
      <c r="H2184" s="28">
        <v>7086901</v>
      </c>
      <c r="I2184" s="28">
        <v>215719</v>
      </c>
      <c r="J2184" s="28">
        <v>0.99</v>
      </c>
      <c r="K2184" s="28">
        <v>61</v>
      </c>
      <c r="L2184" s="28">
        <v>0</v>
      </c>
    </row>
    <row r="2185" spans="1:12" ht="14.25" customHeight="1" x14ac:dyDescent="0.2">
      <c r="A2185" s="28">
        <v>2184</v>
      </c>
      <c r="B2185" s="28" t="s">
        <v>3008</v>
      </c>
      <c r="C2185" s="28" t="s">
        <v>3000</v>
      </c>
      <c r="D2185" s="28" t="s">
        <v>2956</v>
      </c>
      <c r="E2185" s="28" t="s">
        <v>211</v>
      </c>
      <c r="F2185" s="28" t="s">
        <v>212</v>
      </c>
      <c r="G2185" s="28" t="s">
        <v>2967</v>
      </c>
      <c r="H2185" s="28">
        <v>8201437</v>
      </c>
      <c r="I2185" s="28">
        <v>250226</v>
      </c>
      <c r="J2185" s="28">
        <v>0.99</v>
      </c>
      <c r="K2185" s="28">
        <v>34</v>
      </c>
      <c r="L2185" s="28">
        <v>0</v>
      </c>
    </row>
    <row r="2186" spans="1:12" ht="14.25" customHeight="1" x14ac:dyDescent="0.2">
      <c r="A2186" s="28">
        <v>2185</v>
      </c>
      <c r="B2186" s="28" t="s">
        <v>3009</v>
      </c>
      <c r="C2186" s="28" t="s">
        <v>3000</v>
      </c>
      <c r="D2186" s="28" t="s">
        <v>2956</v>
      </c>
      <c r="E2186" s="28" t="s">
        <v>211</v>
      </c>
      <c r="F2186" s="28" t="s">
        <v>212</v>
      </c>
      <c r="G2186" s="28" t="s">
        <v>3005</v>
      </c>
      <c r="H2186" s="28">
        <v>8938409</v>
      </c>
      <c r="I2186" s="28">
        <v>270863</v>
      </c>
      <c r="J2186" s="28">
        <v>0.99</v>
      </c>
      <c r="K2186" s="28">
        <v>31</v>
      </c>
      <c r="L2186" s="28">
        <v>0</v>
      </c>
    </row>
    <row r="2187" spans="1:12" ht="14.25" customHeight="1" x14ac:dyDescent="0.2">
      <c r="A2187" s="28">
        <v>2186</v>
      </c>
      <c r="B2187" s="28" t="s">
        <v>3010</v>
      </c>
      <c r="C2187" s="28" t="s">
        <v>3000</v>
      </c>
      <c r="D2187" s="28" t="s">
        <v>2956</v>
      </c>
      <c r="E2187" s="28" t="s">
        <v>211</v>
      </c>
      <c r="F2187" s="28" t="s">
        <v>212</v>
      </c>
      <c r="G2187" s="28" t="s">
        <v>3005</v>
      </c>
      <c r="H2187" s="28">
        <v>5223345</v>
      </c>
      <c r="I2187" s="28">
        <v>158589</v>
      </c>
      <c r="J2187" s="28">
        <v>0.99</v>
      </c>
      <c r="K2187" s="28">
        <v>99</v>
      </c>
      <c r="L2187" s="28">
        <v>1</v>
      </c>
    </row>
    <row r="2188" spans="1:12" ht="14.25" customHeight="1" x14ac:dyDescent="0.2">
      <c r="A2188" s="28">
        <v>2187</v>
      </c>
      <c r="B2188" s="28" t="s">
        <v>3011</v>
      </c>
      <c r="C2188" s="28" t="s">
        <v>3000</v>
      </c>
      <c r="D2188" s="28" t="s">
        <v>2956</v>
      </c>
      <c r="E2188" s="28" t="s">
        <v>211</v>
      </c>
      <c r="F2188" s="28" t="s">
        <v>212</v>
      </c>
      <c r="G2188" s="28" t="s">
        <v>2967</v>
      </c>
      <c r="H2188" s="28">
        <v>5375818</v>
      </c>
      <c r="I2188" s="28">
        <v>161253</v>
      </c>
      <c r="J2188" s="28">
        <v>0.99</v>
      </c>
      <c r="K2188" s="28">
        <v>21</v>
      </c>
      <c r="L2188" s="28">
        <v>1</v>
      </c>
    </row>
    <row r="2189" spans="1:12" ht="14.25" customHeight="1" x14ac:dyDescent="0.2">
      <c r="A2189" s="28">
        <v>2188</v>
      </c>
      <c r="B2189" s="28" t="s">
        <v>3012</v>
      </c>
      <c r="C2189" s="28" t="s">
        <v>3000</v>
      </c>
      <c r="D2189" s="28" t="s">
        <v>2956</v>
      </c>
      <c r="E2189" s="28" t="s">
        <v>211</v>
      </c>
      <c r="F2189" s="28" t="s">
        <v>212</v>
      </c>
      <c r="G2189" s="28" t="s">
        <v>2994</v>
      </c>
      <c r="H2189" s="28">
        <v>7033002</v>
      </c>
      <c r="I2189" s="28">
        <v>215092</v>
      </c>
      <c r="J2189" s="28">
        <v>0.99</v>
      </c>
      <c r="K2189" s="28">
        <v>43</v>
      </c>
      <c r="L2189" s="28">
        <v>0</v>
      </c>
    </row>
    <row r="2190" spans="1:12" ht="14.25" customHeight="1" x14ac:dyDescent="0.2">
      <c r="A2190" s="28">
        <v>2189</v>
      </c>
      <c r="B2190" s="28" t="s">
        <v>3013</v>
      </c>
      <c r="C2190" s="28" t="s">
        <v>3000</v>
      </c>
      <c r="D2190" s="28" t="s">
        <v>2956</v>
      </c>
      <c r="E2190" s="28" t="s">
        <v>211</v>
      </c>
      <c r="F2190" s="28" t="s">
        <v>212</v>
      </c>
      <c r="G2190" s="28" t="s">
        <v>2983</v>
      </c>
      <c r="H2190" s="28">
        <v>7849757</v>
      </c>
      <c r="I2190" s="28">
        <v>237479</v>
      </c>
      <c r="J2190" s="28">
        <v>0.99</v>
      </c>
      <c r="K2190" s="28">
        <v>76</v>
      </c>
      <c r="L2190" s="28">
        <v>0</v>
      </c>
    </row>
    <row r="2191" spans="1:12" ht="14.25" customHeight="1" x14ac:dyDescent="0.2">
      <c r="A2191" s="28">
        <v>2190</v>
      </c>
      <c r="B2191" s="28" t="s">
        <v>3014</v>
      </c>
      <c r="C2191" s="28" t="s">
        <v>3000</v>
      </c>
      <c r="D2191" s="28" t="s">
        <v>2956</v>
      </c>
      <c r="E2191" s="28" t="s">
        <v>211</v>
      </c>
      <c r="F2191" s="28" t="s">
        <v>212</v>
      </c>
      <c r="G2191" s="28" t="s">
        <v>2994</v>
      </c>
      <c r="H2191" s="28">
        <v>8197219</v>
      </c>
      <c r="I2191" s="28">
        <v>251010</v>
      </c>
      <c r="J2191" s="28">
        <v>0.99</v>
      </c>
      <c r="K2191" s="28">
        <v>93</v>
      </c>
      <c r="L2191" s="28">
        <v>1</v>
      </c>
    </row>
    <row r="2192" spans="1:12" ht="14.25" customHeight="1" x14ac:dyDescent="0.2">
      <c r="A2192" s="28">
        <v>2191</v>
      </c>
      <c r="B2192" s="28" t="s">
        <v>3015</v>
      </c>
      <c r="C2192" s="28" t="s">
        <v>3000</v>
      </c>
      <c r="D2192" s="28" t="s">
        <v>2956</v>
      </c>
      <c r="E2192" s="28" t="s">
        <v>211</v>
      </c>
      <c r="F2192" s="28" t="s">
        <v>212</v>
      </c>
      <c r="G2192" s="28" t="s">
        <v>2956</v>
      </c>
      <c r="H2192" s="28">
        <v>2099421</v>
      </c>
      <c r="I2192" s="28">
        <v>65593</v>
      </c>
      <c r="J2192" s="28">
        <v>0.99</v>
      </c>
      <c r="K2192" s="28">
        <v>17</v>
      </c>
      <c r="L2192" s="28">
        <v>1</v>
      </c>
    </row>
    <row r="2193" spans="1:12" ht="14.25" customHeight="1" x14ac:dyDescent="0.2">
      <c r="A2193" s="28">
        <v>2192</v>
      </c>
      <c r="B2193" s="28" t="s">
        <v>3016</v>
      </c>
      <c r="C2193" s="28" t="s">
        <v>3000</v>
      </c>
      <c r="D2193" s="28" t="s">
        <v>2956</v>
      </c>
      <c r="E2193" s="28" t="s">
        <v>211</v>
      </c>
      <c r="F2193" s="28" t="s">
        <v>212</v>
      </c>
      <c r="G2193" s="28" t="s">
        <v>2983</v>
      </c>
      <c r="H2193" s="28">
        <v>9104728</v>
      </c>
      <c r="I2193" s="28">
        <v>277655</v>
      </c>
      <c r="J2193" s="28">
        <v>0.99</v>
      </c>
      <c r="K2193" s="28">
        <v>14</v>
      </c>
      <c r="L2193" s="28">
        <v>0</v>
      </c>
    </row>
    <row r="2194" spans="1:12" ht="14.25" customHeight="1" x14ac:dyDescent="0.2">
      <c r="A2194" s="28">
        <v>2193</v>
      </c>
      <c r="B2194" s="28" t="s">
        <v>3017</v>
      </c>
      <c r="C2194" s="28" t="s">
        <v>3018</v>
      </c>
      <c r="D2194" s="28" t="s">
        <v>2956</v>
      </c>
      <c r="E2194" s="28" t="s">
        <v>211</v>
      </c>
      <c r="F2194" s="28" t="s">
        <v>212</v>
      </c>
      <c r="G2194" s="28" t="s">
        <v>2983</v>
      </c>
      <c r="H2194" s="28">
        <v>7561555</v>
      </c>
      <c r="I2194" s="28">
        <v>231758</v>
      </c>
      <c r="J2194" s="28">
        <v>0.99</v>
      </c>
      <c r="K2194" s="28">
        <v>5</v>
      </c>
      <c r="L2194" s="28">
        <v>0</v>
      </c>
    </row>
    <row r="2195" spans="1:12" ht="14.25" customHeight="1" x14ac:dyDescent="0.2">
      <c r="A2195" s="28">
        <v>2194</v>
      </c>
      <c r="B2195" s="28" t="s">
        <v>3019</v>
      </c>
      <c r="C2195" s="28" t="s">
        <v>3018</v>
      </c>
      <c r="D2195" s="28" t="s">
        <v>2956</v>
      </c>
      <c r="E2195" s="28" t="s">
        <v>211</v>
      </c>
      <c r="F2195" s="28" t="s">
        <v>212</v>
      </c>
      <c r="G2195" s="28" t="s">
        <v>2983</v>
      </c>
      <c r="H2195" s="28">
        <v>9622017</v>
      </c>
      <c r="I2195" s="28">
        <v>293720</v>
      </c>
      <c r="J2195" s="28">
        <v>0.99</v>
      </c>
      <c r="K2195" s="28">
        <v>86</v>
      </c>
      <c r="L2195" s="28">
        <v>0</v>
      </c>
    </row>
    <row r="2196" spans="1:12" ht="14.25" customHeight="1" x14ac:dyDescent="0.2">
      <c r="A2196" s="28">
        <v>2195</v>
      </c>
      <c r="B2196" s="28" t="s">
        <v>3020</v>
      </c>
      <c r="C2196" s="28" t="s">
        <v>3018</v>
      </c>
      <c r="D2196" s="28" t="s">
        <v>2956</v>
      </c>
      <c r="E2196" s="28" t="s">
        <v>211</v>
      </c>
      <c r="F2196" s="28" t="s">
        <v>212</v>
      </c>
      <c r="G2196" s="28" t="s">
        <v>2983</v>
      </c>
      <c r="H2196" s="28">
        <v>11176623</v>
      </c>
      <c r="I2196" s="28">
        <v>341080</v>
      </c>
      <c r="J2196" s="28">
        <v>0.99</v>
      </c>
      <c r="K2196" s="28">
        <v>92</v>
      </c>
      <c r="L2196" s="28">
        <v>1</v>
      </c>
    </row>
    <row r="2197" spans="1:12" ht="14.25" customHeight="1" x14ac:dyDescent="0.2">
      <c r="A2197" s="28">
        <v>2196</v>
      </c>
      <c r="B2197" s="28" t="s">
        <v>3021</v>
      </c>
      <c r="C2197" s="28" t="s">
        <v>3018</v>
      </c>
      <c r="D2197" s="28" t="s">
        <v>2956</v>
      </c>
      <c r="E2197" s="28" t="s">
        <v>211</v>
      </c>
      <c r="F2197" s="28" t="s">
        <v>212</v>
      </c>
      <c r="G2197" s="28" t="s">
        <v>2994</v>
      </c>
      <c r="H2197" s="28">
        <v>6539287</v>
      </c>
      <c r="I2197" s="28">
        <v>200254</v>
      </c>
      <c r="J2197" s="28">
        <v>0.99</v>
      </c>
      <c r="K2197" s="28">
        <v>18</v>
      </c>
      <c r="L2197" s="28">
        <v>1</v>
      </c>
    </row>
    <row r="2198" spans="1:12" ht="14.25" customHeight="1" x14ac:dyDescent="0.2">
      <c r="A2198" s="28">
        <v>2197</v>
      </c>
      <c r="B2198" s="28" t="s">
        <v>2979</v>
      </c>
      <c r="C2198" s="28" t="s">
        <v>3018</v>
      </c>
      <c r="D2198" s="28" t="s">
        <v>2956</v>
      </c>
      <c r="E2198" s="28" t="s">
        <v>211</v>
      </c>
      <c r="F2198" s="28" t="s">
        <v>212</v>
      </c>
      <c r="G2198" s="28" t="s">
        <v>3022</v>
      </c>
      <c r="H2198" s="28">
        <v>11213314</v>
      </c>
      <c r="I2198" s="28">
        <v>343823</v>
      </c>
      <c r="J2198" s="28">
        <v>0.99</v>
      </c>
      <c r="K2198" s="28">
        <v>36</v>
      </c>
      <c r="L2198" s="28">
        <v>0</v>
      </c>
    </row>
    <row r="2199" spans="1:12" ht="14.25" customHeight="1" x14ac:dyDescent="0.2">
      <c r="A2199" s="28">
        <v>2198</v>
      </c>
      <c r="B2199" s="28" t="s">
        <v>3023</v>
      </c>
      <c r="C2199" s="28" t="s">
        <v>3018</v>
      </c>
      <c r="D2199" s="28" t="s">
        <v>2956</v>
      </c>
      <c r="E2199" s="28" t="s">
        <v>211</v>
      </c>
      <c r="F2199" s="28" t="s">
        <v>212</v>
      </c>
      <c r="G2199" s="28" t="s">
        <v>2994</v>
      </c>
      <c r="H2199" s="28">
        <v>10447222</v>
      </c>
      <c r="I2199" s="28">
        <v>318981</v>
      </c>
      <c r="J2199" s="28">
        <v>0.99</v>
      </c>
      <c r="K2199" s="28">
        <v>15</v>
      </c>
      <c r="L2199" s="28">
        <v>0</v>
      </c>
    </row>
    <row r="2200" spans="1:12" ht="14.25" customHeight="1" x14ac:dyDescent="0.2">
      <c r="A2200" s="28">
        <v>2199</v>
      </c>
      <c r="B2200" s="28" t="s">
        <v>3024</v>
      </c>
      <c r="C2200" s="28" t="s">
        <v>3018</v>
      </c>
      <c r="D2200" s="28" t="s">
        <v>2956</v>
      </c>
      <c r="E2200" s="28" t="s">
        <v>211</v>
      </c>
      <c r="F2200" s="28" t="s">
        <v>212</v>
      </c>
      <c r="G2200" s="28" t="s">
        <v>3025</v>
      </c>
      <c r="H2200" s="28">
        <v>5282368</v>
      </c>
      <c r="I2200" s="28">
        <v>162194</v>
      </c>
      <c r="J2200" s="28">
        <v>0.99</v>
      </c>
      <c r="K2200" s="28">
        <v>53</v>
      </c>
      <c r="L2200" s="28">
        <v>1</v>
      </c>
    </row>
    <row r="2201" spans="1:12" ht="14.25" customHeight="1" x14ac:dyDescent="0.2">
      <c r="A2201" s="28">
        <v>2200</v>
      </c>
      <c r="B2201" s="28" t="s">
        <v>3026</v>
      </c>
      <c r="C2201" s="28" t="s">
        <v>3018</v>
      </c>
      <c r="D2201" s="28" t="s">
        <v>2956</v>
      </c>
      <c r="E2201" s="28" t="s">
        <v>211</v>
      </c>
      <c r="F2201" s="28" t="s">
        <v>212</v>
      </c>
      <c r="G2201" s="28" t="s">
        <v>2967</v>
      </c>
      <c r="H2201" s="28">
        <v>6877475</v>
      </c>
      <c r="I2201" s="28">
        <v>210520</v>
      </c>
      <c r="J2201" s="28">
        <v>0.99</v>
      </c>
      <c r="K2201" s="28">
        <v>27</v>
      </c>
      <c r="L2201" s="28">
        <v>1</v>
      </c>
    </row>
    <row r="2202" spans="1:12" ht="14.25" customHeight="1" x14ac:dyDescent="0.2">
      <c r="A2202" s="28">
        <v>2201</v>
      </c>
      <c r="B2202" s="28" t="s">
        <v>3027</v>
      </c>
      <c r="C2202" s="28" t="s">
        <v>3018</v>
      </c>
      <c r="D2202" s="28" t="s">
        <v>2956</v>
      </c>
      <c r="E2202" s="28" t="s">
        <v>211</v>
      </c>
      <c r="F2202" s="28" t="s">
        <v>212</v>
      </c>
      <c r="G2202" s="28" t="s">
        <v>3025</v>
      </c>
      <c r="H2202" s="28">
        <v>9740738</v>
      </c>
      <c r="I2202" s="28">
        <v>299154</v>
      </c>
      <c r="J2202" s="28">
        <v>0.99</v>
      </c>
      <c r="K2202" s="28">
        <v>33</v>
      </c>
      <c r="L2202" s="28">
        <v>0</v>
      </c>
    </row>
    <row r="2203" spans="1:12" ht="14.25" customHeight="1" x14ac:dyDescent="0.2">
      <c r="A2203" s="28">
        <v>2202</v>
      </c>
      <c r="B2203" s="28" t="s">
        <v>3028</v>
      </c>
      <c r="C2203" s="28" t="s">
        <v>3018</v>
      </c>
      <c r="D2203" s="28" t="s">
        <v>2956</v>
      </c>
      <c r="E2203" s="28" t="s">
        <v>211</v>
      </c>
      <c r="F2203" s="28" t="s">
        <v>212</v>
      </c>
      <c r="G2203" s="28" t="s">
        <v>3025</v>
      </c>
      <c r="H2203" s="28">
        <v>8432497</v>
      </c>
      <c r="I2203" s="28">
        <v>258324</v>
      </c>
      <c r="J2203" s="28">
        <v>0.99</v>
      </c>
      <c r="K2203" s="28">
        <v>30</v>
      </c>
      <c r="L2203" s="28">
        <v>0</v>
      </c>
    </row>
    <row r="2204" spans="1:12" ht="14.25" customHeight="1" x14ac:dyDescent="0.2">
      <c r="A2204" s="28">
        <v>2203</v>
      </c>
      <c r="B2204" s="28" t="s">
        <v>3029</v>
      </c>
      <c r="C2204" s="28" t="s">
        <v>3018</v>
      </c>
      <c r="D2204" s="28" t="s">
        <v>2956</v>
      </c>
      <c r="E2204" s="28" t="s">
        <v>211</v>
      </c>
      <c r="F2204" s="28" t="s">
        <v>212</v>
      </c>
      <c r="G2204" s="28" t="s">
        <v>3030</v>
      </c>
      <c r="H2204" s="28">
        <v>17802673</v>
      </c>
      <c r="I2204" s="28">
        <v>546063</v>
      </c>
      <c r="J2204" s="28">
        <v>0.99</v>
      </c>
      <c r="K2204" s="28">
        <v>88</v>
      </c>
      <c r="L2204" s="28">
        <v>0</v>
      </c>
    </row>
    <row r="2205" spans="1:12" ht="14.25" customHeight="1" x14ac:dyDescent="0.2">
      <c r="A2205" s="28">
        <v>2204</v>
      </c>
      <c r="B2205" s="28" t="s">
        <v>2968</v>
      </c>
      <c r="C2205" s="28" t="s">
        <v>3031</v>
      </c>
      <c r="D2205" s="28" t="s">
        <v>2956</v>
      </c>
      <c r="E2205" s="28" t="s">
        <v>211</v>
      </c>
      <c r="F2205" s="28" t="s">
        <v>212</v>
      </c>
      <c r="G2205" s="28" t="s">
        <v>3032</v>
      </c>
      <c r="H2205" s="28">
        <v>6351920</v>
      </c>
      <c r="I2205" s="28">
        <v>193123</v>
      </c>
      <c r="J2205" s="28">
        <v>0.99</v>
      </c>
      <c r="K2205" s="28">
        <v>73</v>
      </c>
      <c r="L2205" s="28">
        <v>1</v>
      </c>
    </row>
    <row r="2206" spans="1:12" ht="14.25" customHeight="1" x14ac:dyDescent="0.2">
      <c r="A2206" s="28">
        <v>2205</v>
      </c>
      <c r="B2206" s="28" t="s">
        <v>1344</v>
      </c>
      <c r="C2206" s="28" t="s">
        <v>3031</v>
      </c>
      <c r="D2206" s="28" t="s">
        <v>2956</v>
      </c>
      <c r="E2206" s="28" t="s">
        <v>211</v>
      </c>
      <c r="F2206" s="28" t="s">
        <v>212</v>
      </c>
      <c r="G2206" s="28" t="s">
        <v>3032</v>
      </c>
      <c r="H2206" s="28">
        <v>5503459</v>
      </c>
      <c r="I2206" s="28">
        <v>169325</v>
      </c>
      <c r="J2206" s="28">
        <v>0.99</v>
      </c>
      <c r="K2206" s="28">
        <v>55</v>
      </c>
      <c r="L2206" s="28">
        <v>1</v>
      </c>
    </row>
    <row r="2207" spans="1:12" ht="14.25" customHeight="1" x14ac:dyDescent="0.2">
      <c r="A2207" s="28">
        <v>2206</v>
      </c>
      <c r="B2207" s="28" t="s">
        <v>2962</v>
      </c>
      <c r="C2207" s="28" t="s">
        <v>3031</v>
      </c>
      <c r="D2207" s="28" t="s">
        <v>2956</v>
      </c>
      <c r="E2207" s="28" t="s">
        <v>211</v>
      </c>
      <c r="F2207" s="28" t="s">
        <v>212</v>
      </c>
      <c r="G2207" s="28" t="s">
        <v>3032</v>
      </c>
      <c r="H2207" s="28">
        <v>7824586</v>
      </c>
      <c r="I2207" s="28">
        <v>235598</v>
      </c>
      <c r="J2207" s="28">
        <v>0.99</v>
      </c>
      <c r="K2207" s="28">
        <v>11</v>
      </c>
      <c r="L2207" s="28">
        <v>0</v>
      </c>
    </row>
    <row r="2208" spans="1:12" ht="14.25" customHeight="1" x14ac:dyDescent="0.2">
      <c r="A2208" s="28">
        <v>2207</v>
      </c>
      <c r="B2208" s="28" t="s">
        <v>3033</v>
      </c>
      <c r="C2208" s="28" t="s">
        <v>3031</v>
      </c>
      <c r="D2208" s="28" t="s">
        <v>2956</v>
      </c>
      <c r="E2208" s="28" t="s">
        <v>211</v>
      </c>
      <c r="F2208" s="28" t="s">
        <v>212</v>
      </c>
      <c r="G2208" s="28" t="s">
        <v>3032</v>
      </c>
      <c r="H2208" s="28">
        <v>6772116</v>
      </c>
      <c r="I2208" s="28">
        <v>206968</v>
      </c>
      <c r="J2208" s="28">
        <v>0.99</v>
      </c>
      <c r="K2208" s="28">
        <v>36</v>
      </c>
      <c r="L2208" s="28">
        <v>0</v>
      </c>
    </row>
    <row r="2209" spans="1:12" ht="14.25" customHeight="1" x14ac:dyDescent="0.2">
      <c r="A2209" s="28">
        <v>2208</v>
      </c>
      <c r="B2209" s="28" t="s">
        <v>3034</v>
      </c>
      <c r="C2209" s="28" t="s">
        <v>3031</v>
      </c>
      <c r="D2209" s="28" t="s">
        <v>2956</v>
      </c>
      <c r="E2209" s="28" t="s">
        <v>211</v>
      </c>
      <c r="F2209" s="28" t="s">
        <v>212</v>
      </c>
      <c r="G2209" s="28" t="s">
        <v>3032</v>
      </c>
      <c r="H2209" s="28">
        <v>7034500</v>
      </c>
      <c r="I2209" s="28">
        <v>215510</v>
      </c>
      <c r="J2209" s="28">
        <v>0.99</v>
      </c>
      <c r="K2209" s="28">
        <v>94</v>
      </c>
      <c r="L2209" s="28">
        <v>1</v>
      </c>
    </row>
    <row r="2210" spans="1:12" ht="14.25" customHeight="1" x14ac:dyDescent="0.2">
      <c r="A2210" s="28">
        <v>2209</v>
      </c>
      <c r="B2210" s="28" t="s">
        <v>3035</v>
      </c>
      <c r="C2210" s="28" t="s">
        <v>3031</v>
      </c>
      <c r="D2210" s="28" t="s">
        <v>2956</v>
      </c>
      <c r="E2210" s="28" t="s">
        <v>211</v>
      </c>
      <c r="F2210" s="28" t="s">
        <v>212</v>
      </c>
      <c r="G2210" s="28" t="s">
        <v>3032</v>
      </c>
      <c r="H2210" s="28">
        <v>12037261</v>
      </c>
      <c r="I2210" s="28">
        <v>359262</v>
      </c>
      <c r="J2210" s="28">
        <v>0.99</v>
      </c>
      <c r="K2210" s="28">
        <v>8</v>
      </c>
      <c r="L2210" s="28">
        <v>1</v>
      </c>
    </row>
    <row r="2211" spans="1:12" ht="14.25" customHeight="1" x14ac:dyDescent="0.2">
      <c r="A2211" s="28">
        <v>2210</v>
      </c>
      <c r="B2211" s="28" t="s">
        <v>3036</v>
      </c>
      <c r="C2211" s="28" t="s">
        <v>3031</v>
      </c>
      <c r="D2211" s="28" t="s">
        <v>2956</v>
      </c>
      <c r="E2211" s="28" t="s">
        <v>211</v>
      </c>
      <c r="F2211" s="28" t="s">
        <v>212</v>
      </c>
      <c r="G2211" s="28" t="s">
        <v>3032</v>
      </c>
      <c r="H2211" s="28">
        <v>5551478</v>
      </c>
      <c r="I2211" s="28">
        <v>170631</v>
      </c>
      <c r="J2211" s="28">
        <v>0.99</v>
      </c>
      <c r="K2211" s="28">
        <v>52</v>
      </c>
      <c r="L2211" s="28">
        <v>0</v>
      </c>
    </row>
    <row r="2212" spans="1:12" ht="14.25" customHeight="1" x14ac:dyDescent="0.2">
      <c r="A2212" s="28">
        <v>2211</v>
      </c>
      <c r="B2212" s="28" t="s">
        <v>3037</v>
      </c>
      <c r="C2212" s="28" t="s">
        <v>3031</v>
      </c>
      <c r="D2212" s="28" t="s">
        <v>2956</v>
      </c>
      <c r="E2212" s="28" t="s">
        <v>211</v>
      </c>
      <c r="F2212" s="28" t="s">
        <v>212</v>
      </c>
      <c r="G2212" s="28" t="s">
        <v>3032</v>
      </c>
      <c r="H2212" s="28">
        <v>9321053</v>
      </c>
      <c r="I2212" s="28">
        <v>284186</v>
      </c>
      <c r="J2212" s="28">
        <v>0.99</v>
      </c>
      <c r="K2212" s="28">
        <v>73</v>
      </c>
      <c r="L2212" s="28">
        <v>0</v>
      </c>
    </row>
    <row r="2213" spans="1:12" ht="14.25" customHeight="1" x14ac:dyDescent="0.2">
      <c r="A2213" s="28">
        <v>2212</v>
      </c>
      <c r="B2213" s="28" t="s">
        <v>3038</v>
      </c>
      <c r="C2213" s="28" t="s">
        <v>3031</v>
      </c>
      <c r="D2213" s="28" t="s">
        <v>2956</v>
      </c>
      <c r="E2213" s="28" t="s">
        <v>211</v>
      </c>
      <c r="F2213" s="28" t="s">
        <v>212</v>
      </c>
      <c r="G2213" s="28" t="s">
        <v>3032</v>
      </c>
      <c r="H2213" s="28">
        <v>8341934</v>
      </c>
      <c r="I2213" s="28">
        <v>255425</v>
      </c>
      <c r="J2213" s="28">
        <v>0.99</v>
      </c>
      <c r="K2213" s="28">
        <v>98</v>
      </c>
      <c r="L2213" s="28">
        <v>0</v>
      </c>
    </row>
    <row r="2214" spans="1:12" ht="14.25" customHeight="1" x14ac:dyDescent="0.2">
      <c r="A2214" s="28">
        <v>2213</v>
      </c>
      <c r="B2214" s="28" t="s">
        <v>2964</v>
      </c>
      <c r="C2214" s="28" t="s">
        <v>3031</v>
      </c>
      <c r="D2214" s="28" t="s">
        <v>2956</v>
      </c>
      <c r="E2214" s="28" t="s">
        <v>211</v>
      </c>
      <c r="F2214" s="28" t="s">
        <v>212</v>
      </c>
      <c r="G2214" s="28" t="s">
        <v>3032</v>
      </c>
      <c r="H2214" s="28">
        <v>6499398</v>
      </c>
      <c r="I2214" s="28">
        <v>196336</v>
      </c>
      <c r="J2214" s="28">
        <v>0.99</v>
      </c>
      <c r="K2214" s="28">
        <v>76</v>
      </c>
      <c r="L2214" s="28">
        <v>1</v>
      </c>
    </row>
    <row r="2215" spans="1:12" ht="14.25" customHeight="1" x14ac:dyDescent="0.2">
      <c r="A2215" s="28">
        <v>2214</v>
      </c>
      <c r="B2215" s="28" t="s">
        <v>3039</v>
      </c>
      <c r="C2215" s="28" t="s">
        <v>3031</v>
      </c>
      <c r="D2215" s="28" t="s">
        <v>2956</v>
      </c>
      <c r="E2215" s="28" t="s">
        <v>211</v>
      </c>
      <c r="F2215" s="28" t="s">
        <v>212</v>
      </c>
      <c r="G2215" s="28" t="s">
        <v>3032</v>
      </c>
      <c r="H2215" s="28">
        <v>6191560</v>
      </c>
      <c r="I2215" s="28">
        <v>189257</v>
      </c>
      <c r="J2215" s="28">
        <v>0.99</v>
      </c>
      <c r="K2215" s="28">
        <v>37</v>
      </c>
      <c r="L2215" s="28">
        <v>1</v>
      </c>
    </row>
    <row r="2216" spans="1:12" ht="14.25" customHeight="1" x14ac:dyDescent="0.2">
      <c r="A2216" s="28">
        <v>2215</v>
      </c>
      <c r="B2216" s="28" t="s">
        <v>3040</v>
      </c>
      <c r="C2216" s="28" t="s">
        <v>3031</v>
      </c>
      <c r="D2216" s="28" t="s">
        <v>2956</v>
      </c>
      <c r="E2216" s="28" t="s">
        <v>211</v>
      </c>
      <c r="F2216" s="28" t="s">
        <v>212</v>
      </c>
      <c r="G2216" s="28" t="s">
        <v>3032</v>
      </c>
      <c r="H2216" s="28">
        <v>9756133</v>
      </c>
      <c r="I2216" s="28">
        <v>302053</v>
      </c>
      <c r="J2216" s="28">
        <v>0.99</v>
      </c>
      <c r="K2216" s="28">
        <v>23</v>
      </c>
      <c r="L2216" s="28">
        <v>0</v>
      </c>
    </row>
    <row r="2217" spans="1:12" ht="14.25" customHeight="1" x14ac:dyDescent="0.2">
      <c r="A2217" s="28">
        <v>2216</v>
      </c>
      <c r="B2217" s="28" t="s">
        <v>585</v>
      </c>
      <c r="C2217" s="28" t="s">
        <v>2393</v>
      </c>
      <c r="D2217" s="28" t="s">
        <v>2394</v>
      </c>
      <c r="E2217" s="28" t="s">
        <v>211</v>
      </c>
      <c r="F2217" s="28" t="s">
        <v>581</v>
      </c>
      <c r="G2217" s="28"/>
      <c r="H2217" s="28">
        <v>8092024</v>
      </c>
      <c r="I2217" s="28">
        <v>243200</v>
      </c>
      <c r="J2217" s="28">
        <v>0.99</v>
      </c>
      <c r="K2217" s="28">
        <v>69</v>
      </c>
      <c r="L2217" s="28">
        <v>0</v>
      </c>
    </row>
    <row r="2218" spans="1:12" ht="14.25" customHeight="1" x14ac:dyDescent="0.2">
      <c r="A2218" s="28">
        <v>2217</v>
      </c>
      <c r="B2218" s="28" t="s">
        <v>3041</v>
      </c>
      <c r="C2218" s="28" t="s">
        <v>2393</v>
      </c>
      <c r="D2218" s="28" t="s">
        <v>2394</v>
      </c>
      <c r="E2218" s="28" t="s">
        <v>211</v>
      </c>
      <c r="F2218" s="28" t="s">
        <v>581</v>
      </c>
      <c r="G2218" s="28"/>
      <c r="H2218" s="28">
        <v>7344023</v>
      </c>
      <c r="I2218" s="28">
        <v>221100</v>
      </c>
      <c r="J2218" s="28">
        <v>0.99</v>
      </c>
      <c r="K2218" s="28">
        <v>90</v>
      </c>
      <c r="L2218" s="28">
        <v>1</v>
      </c>
    </row>
    <row r="2219" spans="1:12" ht="14.25" customHeight="1" x14ac:dyDescent="0.2">
      <c r="A2219" s="28">
        <v>2218</v>
      </c>
      <c r="B2219" s="28" t="s">
        <v>3042</v>
      </c>
      <c r="C2219" s="28" t="s">
        <v>2393</v>
      </c>
      <c r="D2219" s="28" t="s">
        <v>2394</v>
      </c>
      <c r="E2219" s="28" t="s">
        <v>211</v>
      </c>
      <c r="F2219" s="28" t="s">
        <v>581</v>
      </c>
      <c r="G2219" s="28"/>
      <c r="H2219" s="28">
        <v>9134476</v>
      </c>
      <c r="I2219" s="28">
        <v>276871</v>
      </c>
      <c r="J2219" s="28">
        <v>0.99</v>
      </c>
      <c r="K2219" s="28">
        <v>38</v>
      </c>
      <c r="L2219" s="28">
        <v>1</v>
      </c>
    </row>
    <row r="2220" spans="1:12" ht="14.25" customHeight="1" x14ac:dyDescent="0.2">
      <c r="A2220" s="28">
        <v>2219</v>
      </c>
      <c r="B2220" s="28" t="s">
        <v>3043</v>
      </c>
      <c r="C2220" s="28" t="s">
        <v>2393</v>
      </c>
      <c r="D2220" s="28" t="s">
        <v>2394</v>
      </c>
      <c r="E2220" s="28" t="s">
        <v>211</v>
      </c>
      <c r="F2220" s="28" t="s">
        <v>581</v>
      </c>
      <c r="G2220" s="28"/>
      <c r="H2220" s="28">
        <v>7657594</v>
      </c>
      <c r="I2220" s="28">
        <v>230191</v>
      </c>
      <c r="J2220" s="28">
        <v>0.99</v>
      </c>
      <c r="K2220" s="28">
        <v>65</v>
      </c>
      <c r="L2220" s="28">
        <v>0</v>
      </c>
    </row>
    <row r="2221" spans="1:12" ht="14.25" customHeight="1" x14ac:dyDescent="0.2">
      <c r="A2221" s="28">
        <v>2220</v>
      </c>
      <c r="B2221" s="28" t="s">
        <v>3044</v>
      </c>
      <c r="C2221" s="28" t="s">
        <v>2393</v>
      </c>
      <c r="D2221" s="28" t="s">
        <v>2394</v>
      </c>
      <c r="E2221" s="28" t="s">
        <v>211</v>
      </c>
      <c r="F2221" s="28" t="s">
        <v>581</v>
      </c>
      <c r="G2221" s="28"/>
      <c r="H2221" s="28">
        <v>7335228</v>
      </c>
      <c r="I2221" s="28">
        <v>221570</v>
      </c>
      <c r="J2221" s="28">
        <v>0.99</v>
      </c>
      <c r="K2221" s="28">
        <v>74</v>
      </c>
      <c r="L2221" s="28">
        <v>0</v>
      </c>
    </row>
    <row r="2222" spans="1:12" ht="14.25" customHeight="1" x14ac:dyDescent="0.2">
      <c r="A2222" s="28">
        <v>2221</v>
      </c>
      <c r="B2222" s="28" t="s">
        <v>3045</v>
      </c>
      <c r="C2222" s="28" t="s">
        <v>2393</v>
      </c>
      <c r="D2222" s="28" t="s">
        <v>2394</v>
      </c>
      <c r="E2222" s="28" t="s">
        <v>211</v>
      </c>
      <c r="F2222" s="28" t="s">
        <v>581</v>
      </c>
      <c r="G2222" s="28"/>
      <c r="H2222" s="28">
        <v>8964369</v>
      </c>
      <c r="I2222" s="28">
        <v>265665</v>
      </c>
      <c r="J2222" s="28">
        <v>0.99</v>
      </c>
      <c r="K2222" s="28">
        <v>54</v>
      </c>
      <c r="L2222" s="28">
        <v>0</v>
      </c>
    </row>
    <row r="2223" spans="1:12" ht="14.25" customHeight="1" x14ac:dyDescent="0.2">
      <c r="A2223" s="28">
        <v>2222</v>
      </c>
      <c r="B2223" s="28" t="s">
        <v>3046</v>
      </c>
      <c r="C2223" s="28" t="s">
        <v>2393</v>
      </c>
      <c r="D2223" s="28" t="s">
        <v>2394</v>
      </c>
      <c r="E2223" s="28" t="s">
        <v>211</v>
      </c>
      <c r="F2223" s="28" t="s">
        <v>581</v>
      </c>
      <c r="G2223" s="28"/>
      <c r="H2223" s="28">
        <v>7942299</v>
      </c>
      <c r="I2223" s="28">
        <v>239751</v>
      </c>
      <c r="J2223" s="28">
        <v>0.99</v>
      </c>
      <c r="K2223" s="28">
        <v>25</v>
      </c>
      <c r="L2223" s="28">
        <v>1</v>
      </c>
    </row>
    <row r="2224" spans="1:12" ht="14.25" customHeight="1" x14ac:dyDescent="0.2">
      <c r="A2224" s="28">
        <v>2223</v>
      </c>
      <c r="B2224" s="28" t="s">
        <v>3047</v>
      </c>
      <c r="C2224" s="28" t="s">
        <v>2393</v>
      </c>
      <c r="D2224" s="28" t="s">
        <v>2394</v>
      </c>
      <c r="E2224" s="28" t="s">
        <v>211</v>
      </c>
      <c r="F2224" s="28" t="s">
        <v>581</v>
      </c>
      <c r="G2224" s="28"/>
      <c r="H2224" s="28">
        <v>8670933</v>
      </c>
      <c r="I2224" s="28">
        <v>260310</v>
      </c>
      <c r="J2224" s="28">
        <v>0.99</v>
      </c>
      <c r="K2224" s="28">
        <v>1</v>
      </c>
      <c r="L2224" s="28">
        <v>1</v>
      </c>
    </row>
    <row r="2225" spans="1:12" ht="14.25" customHeight="1" x14ac:dyDescent="0.2">
      <c r="A2225" s="28">
        <v>2224</v>
      </c>
      <c r="B2225" s="28" t="s">
        <v>3048</v>
      </c>
      <c r="C2225" s="28" t="s">
        <v>2393</v>
      </c>
      <c r="D2225" s="28" t="s">
        <v>2394</v>
      </c>
      <c r="E2225" s="28" t="s">
        <v>211</v>
      </c>
      <c r="F2225" s="28" t="s">
        <v>581</v>
      </c>
      <c r="G2225" s="28"/>
      <c r="H2225" s="28">
        <v>11812170</v>
      </c>
      <c r="I2225" s="28">
        <v>353671</v>
      </c>
      <c r="J2225" s="28">
        <v>0.99</v>
      </c>
      <c r="K2225" s="28">
        <v>97</v>
      </c>
      <c r="L2225" s="28">
        <v>0</v>
      </c>
    </row>
    <row r="2226" spans="1:12" ht="14.25" customHeight="1" x14ac:dyDescent="0.2">
      <c r="A2226" s="28">
        <v>2225</v>
      </c>
      <c r="B2226" s="28" t="s">
        <v>3049</v>
      </c>
      <c r="C2226" s="28" t="s">
        <v>2393</v>
      </c>
      <c r="D2226" s="28" t="s">
        <v>2394</v>
      </c>
      <c r="E2226" s="28" t="s">
        <v>211</v>
      </c>
      <c r="F2226" s="28" t="s">
        <v>581</v>
      </c>
      <c r="G2226" s="28"/>
      <c r="H2226" s="28">
        <v>7109414</v>
      </c>
      <c r="I2226" s="28">
        <v>213054</v>
      </c>
      <c r="J2226" s="28">
        <v>0.99</v>
      </c>
      <c r="K2226" s="28">
        <v>57</v>
      </c>
      <c r="L2226" s="28">
        <v>0</v>
      </c>
    </row>
    <row r="2227" spans="1:12" ht="14.25" customHeight="1" x14ac:dyDescent="0.2">
      <c r="A2227" s="28">
        <v>2226</v>
      </c>
      <c r="B2227" s="28" t="s">
        <v>3050</v>
      </c>
      <c r="C2227" s="28" t="s">
        <v>2393</v>
      </c>
      <c r="D2227" s="28" t="s">
        <v>2394</v>
      </c>
      <c r="E2227" s="28" t="s">
        <v>211</v>
      </c>
      <c r="F2227" s="28" t="s">
        <v>581</v>
      </c>
      <c r="G2227" s="28"/>
      <c r="H2227" s="28">
        <v>7788255</v>
      </c>
      <c r="I2227" s="28">
        <v>234684</v>
      </c>
      <c r="J2227" s="28">
        <v>0.99</v>
      </c>
      <c r="K2227" s="28">
        <v>27</v>
      </c>
      <c r="L2227" s="28">
        <v>1</v>
      </c>
    </row>
    <row r="2228" spans="1:12" ht="14.25" customHeight="1" x14ac:dyDescent="0.2">
      <c r="A2228" s="28">
        <v>2227</v>
      </c>
      <c r="B2228" s="28" t="s">
        <v>3051</v>
      </c>
      <c r="C2228" s="28" t="s">
        <v>2393</v>
      </c>
      <c r="D2228" s="28" t="s">
        <v>2394</v>
      </c>
      <c r="E2228" s="28" t="s">
        <v>211</v>
      </c>
      <c r="F2228" s="28" t="s">
        <v>581</v>
      </c>
      <c r="G2228" s="28"/>
      <c r="H2228" s="28">
        <v>10319296</v>
      </c>
      <c r="I2228" s="28">
        <v>309733</v>
      </c>
      <c r="J2228" s="28">
        <v>0.99</v>
      </c>
      <c r="K2228" s="28">
        <v>84</v>
      </c>
      <c r="L2228" s="28">
        <v>1</v>
      </c>
    </row>
    <row r="2229" spans="1:12" ht="14.25" customHeight="1" x14ac:dyDescent="0.2">
      <c r="A2229" s="28">
        <v>2228</v>
      </c>
      <c r="B2229" s="28" t="s">
        <v>3052</v>
      </c>
      <c r="C2229" s="28" t="s">
        <v>2393</v>
      </c>
      <c r="D2229" s="28" t="s">
        <v>2394</v>
      </c>
      <c r="E2229" s="28" t="s">
        <v>211</v>
      </c>
      <c r="F2229" s="28" t="s">
        <v>581</v>
      </c>
      <c r="G2229" s="28"/>
      <c r="H2229" s="28">
        <v>12086524</v>
      </c>
      <c r="I2229" s="28">
        <v>366733</v>
      </c>
      <c r="J2229" s="28">
        <v>0.99</v>
      </c>
      <c r="K2229" s="28">
        <v>13</v>
      </c>
      <c r="L2229" s="28">
        <v>0</v>
      </c>
    </row>
    <row r="2230" spans="1:12" ht="14.25" customHeight="1" x14ac:dyDescent="0.2">
      <c r="A2230" s="28">
        <v>2229</v>
      </c>
      <c r="B2230" s="28" t="s">
        <v>3053</v>
      </c>
      <c r="C2230" s="28" t="s">
        <v>3054</v>
      </c>
      <c r="D2230" s="28" t="s">
        <v>3055</v>
      </c>
      <c r="E2230" s="28" t="s">
        <v>211</v>
      </c>
      <c r="F2230" s="28" t="s">
        <v>212</v>
      </c>
      <c r="G2230" s="28" t="s">
        <v>3056</v>
      </c>
      <c r="H2230" s="28">
        <v>7631305</v>
      </c>
      <c r="I2230" s="28">
        <v>234213</v>
      </c>
      <c r="J2230" s="28">
        <v>0.99</v>
      </c>
      <c r="K2230" s="28">
        <v>33</v>
      </c>
      <c r="L2230" s="28">
        <v>0</v>
      </c>
    </row>
    <row r="2231" spans="1:12" ht="14.25" customHeight="1" x14ac:dyDescent="0.2">
      <c r="A2231" s="28">
        <v>2230</v>
      </c>
      <c r="B2231" s="28" t="s">
        <v>3057</v>
      </c>
      <c r="C2231" s="28" t="s">
        <v>3054</v>
      </c>
      <c r="D2231" s="28" t="s">
        <v>3055</v>
      </c>
      <c r="E2231" s="28" t="s">
        <v>211</v>
      </c>
      <c r="F2231" s="28" t="s">
        <v>212</v>
      </c>
      <c r="G2231" s="28" t="s">
        <v>3058</v>
      </c>
      <c r="H2231" s="28">
        <v>7206300</v>
      </c>
      <c r="I2231" s="28">
        <v>214595</v>
      </c>
      <c r="J2231" s="28">
        <v>0.99</v>
      </c>
      <c r="K2231" s="28">
        <v>98</v>
      </c>
      <c r="L2231" s="28">
        <v>0</v>
      </c>
    </row>
    <row r="2232" spans="1:12" ht="14.25" customHeight="1" x14ac:dyDescent="0.2">
      <c r="A2232" s="28">
        <v>2231</v>
      </c>
      <c r="B2232" s="28" t="s">
        <v>2796</v>
      </c>
      <c r="C2232" s="28" t="s">
        <v>3054</v>
      </c>
      <c r="D2232" s="28" t="s">
        <v>3055</v>
      </c>
      <c r="E2232" s="28" t="s">
        <v>211</v>
      </c>
      <c r="F2232" s="28" t="s">
        <v>212</v>
      </c>
      <c r="G2232" s="28" t="s">
        <v>3059</v>
      </c>
      <c r="H2232" s="28">
        <v>13955426</v>
      </c>
      <c r="I2232" s="28">
        <v>425195</v>
      </c>
      <c r="J2232" s="28">
        <v>0.99</v>
      </c>
      <c r="K2232" s="28">
        <v>90</v>
      </c>
      <c r="L2232" s="28">
        <v>1</v>
      </c>
    </row>
    <row r="2233" spans="1:12" ht="14.25" customHeight="1" x14ac:dyDescent="0.2">
      <c r="A2233" s="28">
        <v>2232</v>
      </c>
      <c r="B2233" s="28" t="s">
        <v>3060</v>
      </c>
      <c r="C2233" s="28" t="s">
        <v>3054</v>
      </c>
      <c r="D2233" s="28" t="s">
        <v>3055</v>
      </c>
      <c r="E2233" s="28" t="s">
        <v>211</v>
      </c>
      <c r="F2233" s="28" t="s">
        <v>212</v>
      </c>
      <c r="G2233" s="28" t="s">
        <v>3061</v>
      </c>
      <c r="H2233" s="28">
        <v>9147563</v>
      </c>
      <c r="I2233" s="28">
        <v>284055</v>
      </c>
      <c r="J2233" s="28">
        <v>0.99</v>
      </c>
      <c r="K2233" s="28">
        <v>12</v>
      </c>
      <c r="L2233" s="28">
        <v>1</v>
      </c>
    </row>
    <row r="2234" spans="1:12" ht="14.25" customHeight="1" x14ac:dyDescent="0.2">
      <c r="A2234" s="28">
        <v>2233</v>
      </c>
      <c r="B2234" s="28" t="s">
        <v>360</v>
      </c>
      <c r="C2234" s="28" t="s">
        <v>3054</v>
      </c>
      <c r="D2234" s="28" t="s">
        <v>3055</v>
      </c>
      <c r="E2234" s="28" t="s">
        <v>211</v>
      </c>
      <c r="F2234" s="28" t="s">
        <v>212</v>
      </c>
      <c r="G2234" s="28" t="s">
        <v>3062</v>
      </c>
      <c r="H2234" s="28">
        <v>12930070</v>
      </c>
      <c r="I2234" s="28">
        <v>391888</v>
      </c>
      <c r="J2234" s="28">
        <v>0.99</v>
      </c>
      <c r="K2234" s="28">
        <v>60</v>
      </c>
      <c r="L2234" s="28">
        <v>0</v>
      </c>
    </row>
    <row r="2235" spans="1:12" ht="14.25" customHeight="1" x14ac:dyDescent="0.2">
      <c r="A2235" s="28">
        <v>2234</v>
      </c>
      <c r="B2235" s="28" t="s">
        <v>3063</v>
      </c>
      <c r="C2235" s="28" t="s">
        <v>3054</v>
      </c>
      <c r="D2235" s="28" t="s">
        <v>3055</v>
      </c>
      <c r="E2235" s="28" t="s">
        <v>211</v>
      </c>
      <c r="F2235" s="28" t="s">
        <v>212</v>
      </c>
      <c r="G2235" s="28" t="s">
        <v>3064</v>
      </c>
      <c r="H2235" s="28">
        <v>15000299</v>
      </c>
      <c r="I2235" s="28">
        <v>461035</v>
      </c>
      <c r="J2235" s="28">
        <v>0.99</v>
      </c>
      <c r="K2235" s="28">
        <v>62</v>
      </c>
      <c r="L2235" s="28">
        <v>0</v>
      </c>
    </row>
    <row r="2236" spans="1:12" ht="14.25" customHeight="1" x14ac:dyDescent="0.2">
      <c r="A2236" s="28">
        <v>2235</v>
      </c>
      <c r="B2236" s="28" t="s">
        <v>3065</v>
      </c>
      <c r="C2236" s="28" t="s">
        <v>3054</v>
      </c>
      <c r="D2236" s="28" t="s">
        <v>3055</v>
      </c>
      <c r="E2236" s="28" t="s">
        <v>211</v>
      </c>
      <c r="F2236" s="28" t="s">
        <v>212</v>
      </c>
      <c r="G2236" s="28" t="s">
        <v>3066</v>
      </c>
      <c r="H2236" s="28">
        <v>6707989</v>
      </c>
      <c r="I2236" s="28">
        <v>205740</v>
      </c>
      <c r="J2236" s="28">
        <v>0.99</v>
      </c>
      <c r="K2236" s="28">
        <v>66</v>
      </c>
      <c r="L2236" s="28">
        <v>1</v>
      </c>
    </row>
    <row r="2237" spans="1:12" ht="14.25" customHeight="1" x14ac:dyDescent="0.2">
      <c r="A2237" s="28">
        <v>2236</v>
      </c>
      <c r="B2237" s="28" t="s">
        <v>3067</v>
      </c>
      <c r="C2237" s="28" t="s">
        <v>3054</v>
      </c>
      <c r="D2237" s="28" t="s">
        <v>3055</v>
      </c>
      <c r="E2237" s="28" t="s">
        <v>211</v>
      </c>
      <c r="F2237" s="28" t="s">
        <v>212</v>
      </c>
      <c r="G2237" s="28" t="s">
        <v>3062</v>
      </c>
      <c r="H2237" s="28">
        <v>7497655</v>
      </c>
      <c r="I2237" s="28">
        <v>230556</v>
      </c>
      <c r="J2237" s="28">
        <v>0.99</v>
      </c>
      <c r="K2237" s="28">
        <v>86</v>
      </c>
      <c r="L2237" s="28">
        <v>1</v>
      </c>
    </row>
    <row r="2238" spans="1:12" ht="14.25" customHeight="1" x14ac:dyDescent="0.2">
      <c r="A2238" s="28">
        <v>2237</v>
      </c>
      <c r="B2238" s="28" t="s">
        <v>3068</v>
      </c>
      <c r="C2238" s="28" t="s">
        <v>3054</v>
      </c>
      <c r="D2238" s="28" t="s">
        <v>3055</v>
      </c>
      <c r="E2238" s="28" t="s">
        <v>211</v>
      </c>
      <c r="F2238" s="28" t="s">
        <v>212</v>
      </c>
      <c r="G2238" s="28" t="s">
        <v>3062</v>
      </c>
      <c r="H2238" s="28">
        <v>4065299</v>
      </c>
      <c r="I2238" s="28">
        <v>125361</v>
      </c>
      <c r="J2238" s="28">
        <v>0.99</v>
      </c>
      <c r="K2238" s="28">
        <v>89</v>
      </c>
      <c r="L2238" s="28">
        <v>0</v>
      </c>
    </row>
    <row r="2239" spans="1:12" ht="14.25" customHeight="1" x14ac:dyDescent="0.2">
      <c r="A2239" s="28">
        <v>2238</v>
      </c>
      <c r="B2239" s="28" t="s">
        <v>3069</v>
      </c>
      <c r="C2239" s="28" t="s">
        <v>3070</v>
      </c>
      <c r="D2239" s="28" t="s">
        <v>3071</v>
      </c>
      <c r="E2239" s="28" t="s">
        <v>211</v>
      </c>
      <c r="F2239" s="28" t="s">
        <v>3072</v>
      </c>
      <c r="G2239" s="28"/>
      <c r="H2239" s="28">
        <v>10426550</v>
      </c>
      <c r="I2239" s="28">
        <v>315637</v>
      </c>
      <c r="J2239" s="28">
        <v>0.99</v>
      </c>
      <c r="K2239" s="28">
        <v>63</v>
      </c>
      <c r="L2239" s="28">
        <v>0</v>
      </c>
    </row>
    <row r="2240" spans="1:12" ht="14.25" customHeight="1" x14ac:dyDescent="0.2">
      <c r="A2240" s="28">
        <v>2239</v>
      </c>
      <c r="B2240" s="28" t="s">
        <v>3073</v>
      </c>
      <c r="C2240" s="28" t="s">
        <v>3070</v>
      </c>
      <c r="D2240" s="28" t="s">
        <v>3071</v>
      </c>
      <c r="E2240" s="28" t="s">
        <v>211</v>
      </c>
      <c r="F2240" s="28" t="s">
        <v>3072</v>
      </c>
      <c r="G2240" s="28"/>
      <c r="H2240" s="28">
        <v>5723677</v>
      </c>
      <c r="I2240" s="28">
        <v>172591</v>
      </c>
      <c r="J2240" s="28">
        <v>0.99</v>
      </c>
      <c r="K2240" s="28">
        <v>90</v>
      </c>
      <c r="L2240" s="28">
        <v>0</v>
      </c>
    </row>
    <row r="2241" spans="1:12" ht="14.25" customHeight="1" x14ac:dyDescent="0.2">
      <c r="A2241" s="28">
        <v>2240</v>
      </c>
      <c r="B2241" s="28" t="s">
        <v>3074</v>
      </c>
      <c r="C2241" s="28" t="s">
        <v>3070</v>
      </c>
      <c r="D2241" s="28" t="s">
        <v>3071</v>
      </c>
      <c r="E2241" s="28" t="s">
        <v>211</v>
      </c>
      <c r="F2241" s="28" t="s">
        <v>3072</v>
      </c>
      <c r="G2241" s="28"/>
      <c r="H2241" s="28">
        <v>4991935</v>
      </c>
      <c r="I2241" s="28">
        <v>151536</v>
      </c>
      <c r="J2241" s="28">
        <v>0.99</v>
      </c>
      <c r="K2241" s="28">
        <v>30</v>
      </c>
      <c r="L2241" s="28">
        <v>1</v>
      </c>
    </row>
    <row r="2242" spans="1:12" ht="14.25" customHeight="1" x14ac:dyDescent="0.2">
      <c r="A2242" s="28">
        <v>2241</v>
      </c>
      <c r="B2242" s="28" t="s">
        <v>3075</v>
      </c>
      <c r="C2242" s="28" t="s">
        <v>3070</v>
      </c>
      <c r="D2242" s="28" t="s">
        <v>3071</v>
      </c>
      <c r="E2242" s="28" t="s">
        <v>211</v>
      </c>
      <c r="F2242" s="28" t="s">
        <v>3072</v>
      </c>
      <c r="G2242" s="28"/>
      <c r="H2242" s="28">
        <v>967098</v>
      </c>
      <c r="I2242" s="28">
        <v>29048</v>
      </c>
      <c r="J2242" s="28">
        <v>0.99</v>
      </c>
      <c r="K2242" s="28">
        <v>36</v>
      </c>
      <c r="L2242" s="28">
        <v>1</v>
      </c>
    </row>
    <row r="2243" spans="1:12" ht="14.25" customHeight="1" x14ac:dyDescent="0.2">
      <c r="A2243" s="28">
        <v>2242</v>
      </c>
      <c r="B2243" s="28" t="s">
        <v>3076</v>
      </c>
      <c r="C2243" s="28" t="s">
        <v>3070</v>
      </c>
      <c r="D2243" s="28" t="s">
        <v>3071</v>
      </c>
      <c r="E2243" s="28" t="s">
        <v>211</v>
      </c>
      <c r="F2243" s="28" t="s">
        <v>3072</v>
      </c>
      <c r="G2243" s="28"/>
      <c r="H2243" s="28">
        <v>5407744</v>
      </c>
      <c r="I2243" s="28">
        <v>165146</v>
      </c>
      <c r="J2243" s="28">
        <v>0.99</v>
      </c>
      <c r="K2243" s="28">
        <v>26</v>
      </c>
      <c r="L2243" s="28">
        <v>0</v>
      </c>
    </row>
    <row r="2244" spans="1:12" ht="14.25" customHeight="1" x14ac:dyDescent="0.2">
      <c r="A2244" s="28">
        <v>2243</v>
      </c>
      <c r="B2244" s="28" t="s">
        <v>3077</v>
      </c>
      <c r="C2244" s="28" t="s">
        <v>3070</v>
      </c>
      <c r="D2244" s="28" t="s">
        <v>3071</v>
      </c>
      <c r="E2244" s="28" t="s">
        <v>211</v>
      </c>
      <c r="F2244" s="28" t="s">
        <v>3072</v>
      </c>
      <c r="G2244" s="28"/>
      <c r="H2244" s="28">
        <v>7108200</v>
      </c>
      <c r="I2244" s="28">
        <v>213263</v>
      </c>
      <c r="J2244" s="28">
        <v>0.99</v>
      </c>
      <c r="K2244" s="28">
        <v>35</v>
      </c>
      <c r="L2244" s="28">
        <v>0</v>
      </c>
    </row>
    <row r="2245" spans="1:12" ht="14.25" customHeight="1" x14ac:dyDescent="0.2">
      <c r="A2245" s="28">
        <v>2244</v>
      </c>
      <c r="B2245" s="28" t="s">
        <v>3078</v>
      </c>
      <c r="C2245" s="28" t="s">
        <v>3070</v>
      </c>
      <c r="D2245" s="28" t="s">
        <v>3071</v>
      </c>
      <c r="E2245" s="28" t="s">
        <v>211</v>
      </c>
      <c r="F2245" s="28" t="s">
        <v>3072</v>
      </c>
      <c r="G2245" s="28"/>
      <c r="H2245" s="28">
        <v>6642753</v>
      </c>
      <c r="I2245" s="28">
        <v>202631</v>
      </c>
      <c r="J2245" s="28">
        <v>0.99</v>
      </c>
      <c r="K2245" s="28">
        <v>26</v>
      </c>
      <c r="L2245" s="28">
        <v>0</v>
      </c>
    </row>
    <row r="2246" spans="1:12" ht="14.25" customHeight="1" x14ac:dyDescent="0.2">
      <c r="A2246" s="28">
        <v>2245</v>
      </c>
      <c r="B2246" s="28" t="s">
        <v>3079</v>
      </c>
      <c r="C2246" s="28" t="s">
        <v>3070</v>
      </c>
      <c r="D2246" s="28" t="s">
        <v>3071</v>
      </c>
      <c r="E2246" s="28" t="s">
        <v>211</v>
      </c>
      <c r="F2246" s="28" t="s">
        <v>3072</v>
      </c>
      <c r="G2246" s="28"/>
      <c r="H2246" s="28">
        <v>5683369</v>
      </c>
      <c r="I2246" s="28">
        <v>171964</v>
      </c>
      <c r="J2246" s="28">
        <v>0.99</v>
      </c>
      <c r="K2246" s="28">
        <v>43</v>
      </c>
      <c r="L2246" s="28">
        <v>1</v>
      </c>
    </row>
    <row r="2247" spans="1:12" ht="14.25" customHeight="1" x14ac:dyDescent="0.2">
      <c r="A2247" s="28">
        <v>2246</v>
      </c>
      <c r="B2247" s="28" t="s">
        <v>3080</v>
      </c>
      <c r="C2247" s="28" t="s">
        <v>3070</v>
      </c>
      <c r="D2247" s="28" t="s">
        <v>3071</v>
      </c>
      <c r="E2247" s="28" t="s">
        <v>211</v>
      </c>
      <c r="F2247" s="28" t="s">
        <v>3072</v>
      </c>
      <c r="G2247" s="28"/>
      <c r="H2247" s="28">
        <v>6009946</v>
      </c>
      <c r="I2247" s="28">
        <v>185103</v>
      </c>
      <c r="J2247" s="28">
        <v>0.99</v>
      </c>
      <c r="K2247" s="28">
        <v>55</v>
      </c>
      <c r="L2247" s="28">
        <v>0</v>
      </c>
    </row>
    <row r="2248" spans="1:12" ht="14.25" customHeight="1" x14ac:dyDescent="0.2">
      <c r="A2248" s="28">
        <v>2247</v>
      </c>
      <c r="B2248" s="28" t="s">
        <v>3081</v>
      </c>
      <c r="C2248" s="28" t="s">
        <v>3070</v>
      </c>
      <c r="D2248" s="28" t="s">
        <v>3071</v>
      </c>
      <c r="E2248" s="28" t="s">
        <v>211</v>
      </c>
      <c r="F2248" s="28" t="s">
        <v>3072</v>
      </c>
      <c r="G2248" s="28"/>
      <c r="H2248" s="28">
        <v>3304738</v>
      </c>
      <c r="I2248" s="28">
        <v>100858</v>
      </c>
      <c r="J2248" s="28">
        <v>0.99</v>
      </c>
      <c r="K2248" s="28">
        <v>55</v>
      </c>
      <c r="L2248" s="28">
        <v>0</v>
      </c>
    </row>
    <row r="2249" spans="1:12" ht="14.25" customHeight="1" x14ac:dyDescent="0.2">
      <c r="A2249" s="28">
        <v>2248</v>
      </c>
      <c r="B2249" s="28" t="s">
        <v>3082</v>
      </c>
      <c r="C2249" s="28" t="s">
        <v>3070</v>
      </c>
      <c r="D2249" s="28" t="s">
        <v>3071</v>
      </c>
      <c r="E2249" s="28" t="s">
        <v>211</v>
      </c>
      <c r="F2249" s="28" t="s">
        <v>3072</v>
      </c>
      <c r="G2249" s="28"/>
      <c r="H2249" s="28">
        <v>6529041</v>
      </c>
      <c r="I2249" s="28">
        <v>197485</v>
      </c>
      <c r="J2249" s="28">
        <v>0.99</v>
      </c>
      <c r="K2249" s="28">
        <v>62</v>
      </c>
      <c r="L2249" s="28">
        <v>0</v>
      </c>
    </row>
    <row r="2250" spans="1:12" ht="14.25" customHeight="1" x14ac:dyDescent="0.2">
      <c r="A2250" s="28">
        <v>2249</v>
      </c>
      <c r="B2250" s="28" t="s">
        <v>3083</v>
      </c>
      <c r="C2250" s="28" t="s">
        <v>3070</v>
      </c>
      <c r="D2250" s="28" t="s">
        <v>3071</v>
      </c>
      <c r="E2250" s="28" t="s">
        <v>211</v>
      </c>
      <c r="F2250" s="28" t="s">
        <v>3072</v>
      </c>
      <c r="G2250" s="28"/>
      <c r="H2250" s="28">
        <v>6684160</v>
      </c>
      <c r="I2250" s="28">
        <v>202004</v>
      </c>
      <c r="J2250" s="28">
        <v>0.99</v>
      </c>
      <c r="K2250" s="28">
        <v>20</v>
      </c>
      <c r="L2250" s="28">
        <v>2</v>
      </c>
    </row>
    <row r="2251" spans="1:12" ht="14.25" customHeight="1" x14ac:dyDescent="0.2">
      <c r="A2251" s="28">
        <v>2250</v>
      </c>
      <c r="B2251" s="28" t="s">
        <v>3084</v>
      </c>
      <c r="C2251" s="28" t="s">
        <v>3070</v>
      </c>
      <c r="D2251" s="28" t="s">
        <v>3071</v>
      </c>
      <c r="E2251" s="28" t="s">
        <v>211</v>
      </c>
      <c r="F2251" s="28" t="s">
        <v>3072</v>
      </c>
      <c r="G2251" s="28"/>
      <c r="H2251" s="28">
        <v>4116536</v>
      </c>
      <c r="I2251" s="28">
        <v>121808</v>
      </c>
      <c r="J2251" s="28">
        <v>0.99</v>
      </c>
      <c r="K2251" s="28">
        <v>13</v>
      </c>
      <c r="L2251" s="28">
        <v>2</v>
      </c>
    </row>
    <row r="2252" spans="1:12" ht="14.25" customHeight="1" x14ac:dyDescent="0.2">
      <c r="A2252" s="28">
        <v>2251</v>
      </c>
      <c r="B2252" s="28" t="s">
        <v>3085</v>
      </c>
      <c r="C2252" s="28" t="s">
        <v>3070</v>
      </c>
      <c r="D2252" s="28" t="s">
        <v>3071</v>
      </c>
      <c r="E2252" s="28" t="s">
        <v>211</v>
      </c>
      <c r="F2252" s="28" t="s">
        <v>3072</v>
      </c>
      <c r="G2252" s="28"/>
      <c r="H2252" s="28">
        <v>6806900</v>
      </c>
      <c r="I2252" s="28">
        <v>205923</v>
      </c>
      <c r="J2252" s="28">
        <v>0.99</v>
      </c>
      <c r="K2252" s="28">
        <v>29</v>
      </c>
      <c r="L2252" s="28">
        <v>1</v>
      </c>
    </row>
    <row r="2253" spans="1:12" ht="14.25" customHeight="1" x14ac:dyDescent="0.2">
      <c r="A2253" s="28">
        <v>2252</v>
      </c>
      <c r="B2253" s="28" t="s">
        <v>3086</v>
      </c>
      <c r="C2253" s="28" t="s">
        <v>3070</v>
      </c>
      <c r="D2253" s="28" t="s">
        <v>3071</v>
      </c>
      <c r="E2253" s="28" t="s">
        <v>211</v>
      </c>
      <c r="F2253" s="28" t="s">
        <v>3072</v>
      </c>
      <c r="G2253" s="28"/>
      <c r="H2253" s="28">
        <v>3947664</v>
      </c>
      <c r="I2253" s="28">
        <v>121704</v>
      </c>
      <c r="J2253" s="28">
        <v>0.99</v>
      </c>
      <c r="K2253" s="28">
        <v>0</v>
      </c>
      <c r="L2253" s="28">
        <v>0</v>
      </c>
    </row>
    <row r="2254" spans="1:12" ht="14.25" customHeight="1" x14ac:dyDescent="0.2">
      <c r="A2254" s="28">
        <v>2253</v>
      </c>
      <c r="B2254" s="28" t="s">
        <v>3087</v>
      </c>
      <c r="C2254" s="28" t="s">
        <v>3070</v>
      </c>
      <c r="D2254" s="28" t="s">
        <v>3071</v>
      </c>
      <c r="E2254" s="28" t="s">
        <v>211</v>
      </c>
      <c r="F2254" s="28" t="s">
        <v>3072</v>
      </c>
      <c r="G2254" s="28"/>
      <c r="H2254" s="28">
        <v>13559173</v>
      </c>
      <c r="I2254" s="28">
        <v>410409</v>
      </c>
      <c r="J2254" s="28">
        <v>0.99</v>
      </c>
      <c r="K2254" s="28">
        <v>52</v>
      </c>
      <c r="L2254" s="28">
        <v>1</v>
      </c>
    </row>
    <row r="2255" spans="1:12" ht="14.25" customHeight="1" x14ac:dyDescent="0.2">
      <c r="A2255" s="28">
        <v>2254</v>
      </c>
      <c r="B2255" s="28" t="s">
        <v>3088</v>
      </c>
      <c r="C2255" s="28" t="s">
        <v>3089</v>
      </c>
      <c r="D2255" s="28" t="s">
        <v>796</v>
      </c>
      <c r="E2255" s="28" t="s">
        <v>211</v>
      </c>
      <c r="F2255" s="28" t="s">
        <v>212</v>
      </c>
      <c r="G2255" s="28" t="s">
        <v>3090</v>
      </c>
      <c r="H2255" s="28">
        <v>11619868</v>
      </c>
      <c r="I2255" s="28">
        <v>358948</v>
      </c>
      <c r="J2255" s="28">
        <v>0.99</v>
      </c>
      <c r="K2255" s="28">
        <v>74</v>
      </c>
      <c r="L2255" s="28">
        <v>1</v>
      </c>
    </row>
    <row r="2256" spans="1:12" ht="14.25" customHeight="1" x14ac:dyDescent="0.2">
      <c r="A2256" s="28">
        <v>2255</v>
      </c>
      <c r="B2256" s="28" t="s">
        <v>3091</v>
      </c>
      <c r="C2256" s="28" t="s">
        <v>3089</v>
      </c>
      <c r="D2256" s="28" t="s">
        <v>796</v>
      </c>
      <c r="E2256" s="28" t="s">
        <v>211</v>
      </c>
      <c r="F2256" s="28" t="s">
        <v>212</v>
      </c>
      <c r="G2256" s="28" t="s">
        <v>3092</v>
      </c>
      <c r="H2256" s="28">
        <v>7172355</v>
      </c>
      <c r="I2256" s="28">
        <v>216946</v>
      </c>
      <c r="J2256" s="28">
        <v>0.99</v>
      </c>
      <c r="K2256" s="28">
        <v>6</v>
      </c>
      <c r="L2256" s="28">
        <v>1</v>
      </c>
    </row>
    <row r="2257" spans="1:12" ht="14.25" customHeight="1" x14ac:dyDescent="0.2">
      <c r="A2257" s="28">
        <v>2256</v>
      </c>
      <c r="B2257" s="28" t="s">
        <v>3093</v>
      </c>
      <c r="C2257" s="28" t="s">
        <v>3089</v>
      </c>
      <c r="D2257" s="28" t="s">
        <v>796</v>
      </c>
      <c r="E2257" s="28" t="s">
        <v>211</v>
      </c>
      <c r="F2257" s="28" t="s">
        <v>212</v>
      </c>
      <c r="G2257" s="28" t="s">
        <v>3090</v>
      </c>
      <c r="H2257" s="28">
        <v>5967749</v>
      </c>
      <c r="I2257" s="28">
        <v>182099</v>
      </c>
      <c r="J2257" s="28">
        <v>0.99</v>
      </c>
      <c r="K2257" s="28">
        <v>9</v>
      </c>
      <c r="L2257" s="28">
        <v>0</v>
      </c>
    </row>
    <row r="2258" spans="1:12" ht="14.25" customHeight="1" x14ac:dyDescent="0.2">
      <c r="A2258" s="28">
        <v>2257</v>
      </c>
      <c r="B2258" s="28" t="s">
        <v>3094</v>
      </c>
      <c r="C2258" s="28" t="s">
        <v>3089</v>
      </c>
      <c r="D2258" s="28" t="s">
        <v>796</v>
      </c>
      <c r="E2258" s="28" t="s">
        <v>211</v>
      </c>
      <c r="F2258" s="28" t="s">
        <v>212</v>
      </c>
      <c r="G2258" s="28" t="s">
        <v>3095</v>
      </c>
      <c r="H2258" s="28">
        <v>6630041</v>
      </c>
      <c r="I2258" s="28">
        <v>204695</v>
      </c>
      <c r="J2258" s="28">
        <v>0.99</v>
      </c>
      <c r="K2258" s="28">
        <v>96</v>
      </c>
      <c r="L2258" s="28">
        <v>1</v>
      </c>
    </row>
    <row r="2259" spans="1:12" ht="14.25" customHeight="1" x14ac:dyDescent="0.2">
      <c r="A2259" s="28">
        <v>2258</v>
      </c>
      <c r="B2259" s="28" t="s">
        <v>3096</v>
      </c>
      <c r="C2259" s="28" t="s">
        <v>3089</v>
      </c>
      <c r="D2259" s="28" t="s">
        <v>796</v>
      </c>
      <c r="E2259" s="28" t="s">
        <v>211</v>
      </c>
      <c r="F2259" s="28" t="s">
        <v>212</v>
      </c>
      <c r="G2259" s="28" t="s">
        <v>3090</v>
      </c>
      <c r="H2259" s="28">
        <v>6012409</v>
      </c>
      <c r="I2259" s="28">
        <v>183823</v>
      </c>
      <c r="J2259" s="28">
        <v>0.99</v>
      </c>
      <c r="K2259" s="28">
        <v>47</v>
      </c>
      <c r="L2259" s="28">
        <v>1</v>
      </c>
    </row>
    <row r="2260" spans="1:12" ht="14.25" customHeight="1" x14ac:dyDescent="0.2">
      <c r="A2260" s="28">
        <v>2259</v>
      </c>
      <c r="B2260" s="28" t="s">
        <v>3097</v>
      </c>
      <c r="C2260" s="28" t="s">
        <v>3089</v>
      </c>
      <c r="D2260" s="28" t="s">
        <v>796</v>
      </c>
      <c r="E2260" s="28" t="s">
        <v>211</v>
      </c>
      <c r="F2260" s="28" t="s">
        <v>212</v>
      </c>
      <c r="G2260" s="28" t="s">
        <v>3092</v>
      </c>
      <c r="H2260" s="28">
        <v>5602173</v>
      </c>
      <c r="I2260" s="28">
        <v>172225</v>
      </c>
      <c r="J2260" s="28">
        <v>0.99</v>
      </c>
      <c r="K2260" s="28">
        <v>44</v>
      </c>
      <c r="L2260" s="28">
        <v>2</v>
      </c>
    </row>
    <row r="2261" spans="1:12" ht="14.25" customHeight="1" x14ac:dyDescent="0.2">
      <c r="A2261" s="28">
        <v>2260</v>
      </c>
      <c r="B2261" s="28" t="s">
        <v>3098</v>
      </c>
      <c r="C2261" s="28" t="s">
        <v>3089</v>
      </c>
      <c r="D2261" s="28" t="s">
        <v>796</v>
      </c>
      <c r="E2261" s="28" t="s">
        <v>211</v>
      </c>
      <c r="F2261" s="28" t="s">
        <v>212</v>
      </c>
      <c r="G2261" s="28" t="s">
        <v>3090</v>
      </c>
      <c r="H2261" s="28">
        <v>6896666</v>
      </c>
      <c r="I2261" s="28">
        <v>211826</v>
      </c>
      <c r="J2261" s="28">
        <v>0.99</v>
      </c>
      <c r="K2261" s="28">
        <v>93</v>
      </c>
      <c r="L2261" s="28">
        <v>0</v>
      </c>
    </row>
    <row r="2262" spans="1:12" ht="14.25" customHeight="1" x14ac:dyDescent="0.2">
      <c r="A2262" s="28">
        <v>2261</v>
      </c>
      <c r="B2262" s="28" t="s">
        <v>3099</v>
      </c>
      <c r="C2262" s="28" t="s">
        <v>3089</v>
      </c>
      <c r="D2262" s="28" t="s">
        <v>796</v>
      </c>
      <c r="E2262" s="28" t="s">
        <v>211</v>
      </c>
      <c r="F2262" s="28" t="s">
        <v>212</v>
      </c>
      <c r="G2262" s="28" t="s">
        <v>3095</v>
      </c>
      <c r="H2262" s="28">
        <v>7444624</v>
      </c>
      <c r="I2262" s="28">
        <v>228832</v>
      </c>
      <c r="J2262" s="28">
        <v>0.99</v>
      </c>
      <c r="K2262" s="28">
        <v>35</v>
      </c>
      <c r="L2262" s="28">
        <v>1</v>
      </c>
    </row>
    <row r="2263" spans="1:12" ht="14.25" customHeight="1" x14ac:dyDescent="0.2">
      <c r="A2263" s="28">
        <v>2262</v>
      </c>
      <c r="B2263" s="28" t="s">
        <v>3100</v>
      </c>
      <c r="C2263" s="28" t="s">
        <v>3089</v>
      </c>
      <c r="D2263" s="28" t="s">
        <v>796</v>
      </c>
      <c r="E2263" s="28" t="s">
        <v>211</v>
      </c>
      <c r="F2263" s="28" t="s">
        <v>212</v>
      </c>
      <c r="G2263" s="28" t="s">
        <v>3090</v>
      </c>
      <c r="H2263" s="28">
        <v>5435501</v>
      </c>
      <c r="I2263" s="28">
        <v>164231</v>
      </c>
      <c r="J2263" s="28">
        <v>0.99</v>
      </c>
      <c r="K2263" s="28">
        <v>56</v>
      </c>
      <c r="L2263" s="28">
        <v>0</v>
      </c>
    </row>
    <row r="2264" spans="1:12" ht="14.25" customHeight="1" x14ac:dyDescent="0.2">
      <c r="A2264" s="28">
        <v>2263</v>
      </c>
      <c r="B2264" s="28" t="s">
        <v>3101</v>
      </c>
      <c r="C2264" s="28" t="s">
        <v>3089</v>
      </c>
      <c r="D2264" s="28" t="s">
        <v>796</v>
      </c>
      <c r="E2264" s="28" t="s">
        <v>211</v>
      </c>
      <c r="F2264" s="28" t="s">
        <v>212</v>
      </c>
      <c r="G2264" s="28" t="s">
        <v>3090</v>
      </c>
      <c r="H2264" s="28">
        <v>9650520</v>
      </c>
      <c r="I2264" s="28">
        <v>297351</v>
      </c>
      <c r="J2264" s="28">
        <v>0.99</v>
      </c>
      <c r="K2264" s="28">
        <v>62</v>
      </c>
      <c r="L2264" s="28">
        <v>2</v>
      </c>
    </row>
    <row r="2265" spans="1:12" ht="14.25" customHeight="1" x14ac:dyDescent="0.2">
      <c r="A2265" s="28">
        <v>2264</v>
      </c>
      <c r="B2265" s="28" t="s">
        <v>3102</v>
      </c>
      <c r="C2265" s="28" t="s">
        <v>3089</v>
      </c>
      <c r="D2265" s="28" t="s">
        <v>796</v>
      </c>
      <c r="E2265" s="28" t="s">
        <v>211</v>
      </c>
      <c r="F2265" s="28" t="s">
        <v>212</v>
      </c>
      <c r="G2265" s="28" t="s">
        <v>3095</v>
      </c>
      <c r="H2265" s="28">
        <v>8328312</v>
      </c>
      <c r="I2265" s="28">
        <v>255346</v>
      </c>
      <c r="J2265" s="28">
        <v>0.99</v>
      </c>
      <c r="K2265" s="28">
        <v>9</v>
      </c>
      <c r="L2265" s="28">
        <v>0</v>
      </c>
    </row>
    <row r="2266" spans="1:12" ht="14.25" customHeight="1" x14ac:dyDescent="0.2">
      <c r="A2266" s="28">
        <v>2265</v>
      </c>
      <c r="B2266" s="28" t="s">
        <v>3103</v>
      </c>
      <c r="C2266" s="28" t="s">
        <v>3089</v>
      </c>
      <c r="D2266" s="28" t="s">
        <v>796</v>
      </c>
      <c r="E2266" s="28" t="s">
        <v>211</v>
      </c>
      <c r="F2266" s="28" t="s">
        <v>212</v>
      </c>
      <c r="G2266" s="28" t="s">
        <v>3090</v>
      </c>
      <c r="H2266" s="28">
        <v>5747506</v>
      </c>
      <c r="I2266" s="28">
        <v>175960</v>
      </c>
      <c r="J2266" s="28">
        <v>0.99</v>
      </c>
      <c r="K2266" s="28">
        <v>60</v>
      </c>
      <c r="L2266" s="28">
        <v>0</v>
      </c>
    </row>
    <row r="2267" spans="1:12" ht="14.25" customHeight="1" x14ac:dyDescent="0.2">
      <c r="A2267" s="28">
        <v>2266</v>
      </c>
      <c r="B2267" s="28" t="s">
        <v>3104</v>
      </c>
      <c r="C2267" s="28" t="s">
        <v>3089</v>
      </c>
      <c r="D2267" s="28" t="s">
        <v>796</v>
      </c>
      <c r="E2267" s="28" t="s">
        <v>211</v>
      </c>
      <c r="F2267" s="28" t="s">
        <v>212</v>
      </c>
      <c r="G2267" s="28" t="s">
        <v>3090</v>
      </c>
      <c r="H2267" s="28">
        <v>6915832</v>
      </c>
      <c r="I2267" s="28">
        <v>213368</v>
      </c>
      <c r="J2267" s="28">
        <v>0.99</v>
      </c>
      <c r="K2267" s="28">
        <v>47</v>
      </c>
      <c r="L2267" s="28">
        <v>0</v>
      </c>
    </row>
    <row r="2268" spans="1:12" ht="14.25" customHeight="1" x14ac:dyDescent="0.2">
      <c r="A2268" s="28">
        <v>2267</v>
      </c>
      <c r="B2268" s="28" t="s">
        <v>3105</v>
      </c>
      <c r="C2268" s="28" t="s">
        <v>3089</v>
      </c>
      <c r="D2268" s="28" t="s">
        <v>796</v>
      </c>
      <c r="E2268" s="28" t="s">
        <v>211</v>
      </c>
      <c r="F2268" s="28" t="s">
        <v>212</v>
      </c>
      <c r="G2268" s="28" t="s">
        <v>3095</v>
      </c>
      <c r="H2268" s="28">
        <v>5464986</v>
      </c>
      <c r="I2268" s="28">
        <v>168489</v>
      </c>
      <c r="J2268" s="28">
        <v>0.99</v>
      </c>
      <c r="K2268" s="28">
        <v>79</v>
      </c>
      <c r="L2268" s="28">
        <v>1</v>
      </c>
    </row>
    <row r="2269" spans="1:12" ht="14.25" customHeight="1" x14ac:dyDescent="0.2">
      <c r="A2269" s="28">
        <v>2268</v>
      </c>
      <c r="B2269" s="28" t="s">
        <v>3106</v>
      </c>
      <c r="C2269" s="28" t="s">
        <v>3089</v>
      </c>
      <c r="D2269" s="28" t="s">
        <v>796</v>
      </c>
      <c r="E2269" s="28" t="s">
        <v>211</v>
      </c>
      <c r="F2269" s="28" t="s">
        <v>212</v>
      </c>
      <c r="G2269" s="28" t="s">
        <v>3090</v>
      </c>
      <c r="H2269" s="28">
        <v>5539957</v>
      </c>
      <c r="I2269" s="28">
        <v>170553</v>
      </c>
      <c r="J2269" s="28">
        <v>0.99</v>
      </c>
      <c r="K2269" s="28">
        <v>86</v>
      </c>
      <c r="L2269" s="28">
        <v>1</v>
      </c>
    </row>
    <row r="2270" spans="1:12" ht="14.25" customHeight="1" x14ac:dyDescent="0.2">
      <c r="A2270" s="28">
        <v>2269</v>
      </c>
      <c r="B2270" s="28" t="s">
        <v>3107</v>
      </c>
      <c r="C2270" s="28" t="s">
        <v>3089</v>
      </c>
      <c r="D2270" s="28" t="s">
        <v>796</v>
      </c>
      <c r="E2270" s="28" t="s">
        <v>211</v>
      </c>
      <c r="F2270" s="28" t="s">
        <v>212</v>
      </c>
      <c r="G2270" s="28" t="s">
        <v>3108</v>
      </c>
      <c r="H2270" s="28">
        <v>4026955</v>
      </c>
      <c r="I2270" s="28">
        <v>122880</v>
      </c>
      <c r="J2270" s="28">
        <v>0.99</v>
      </c>
      <c r="K2270" s="28">
        <v>10</v>
      </c>
      <c r="L2270" s="28">
        <v>0</v>
      </c>
    </row>
    <row r="2271" spans="1:12" ht="14.25" customHeight="1" x14ac:dyDescent="0.2">
      <c r="A2271" s="28">
        <v>2270</v>
      </c>
      <c r="B2271" s="28" t="s">
        <v>3109</v>
      </c>
      <c r="C2271" s="28" t="s">
        <v>3089</v>
      </c>
      <c r="D2271" s="28" t="s">
        <v>796</v>
      </c>
      <c r="E2271" s="28" t="s">
        <v>211</v>
      </c>
      <c r="F2271" s="28" t="s">
        <v>212</v>
      </c>
      <c r="G2271" s="28" t="s">
        <v>3090</v>
      </c>
      <c r="H2271" s="28">
        <v>5880231</v>
      </c>
      <c r="I2271" s="28">
        <v>180950</v>
      </c>
      <c r="J2271" s="28">
        <v>0.99</v>
      </c>
      <c r="K2271" s="28">
        <v>72</v>
      </c>
      <c r="L2271" s="28">
        <v>0</v>
      </c>
    </row>
    <row r="2272" spans="1:12" ht="14.25" customHeight="1" x14ac:dyDescent="0.2">
      <c r="A2272" s="28">
        <v>2271</v>
      </c>
      <c r="B2272" s="28" t="s">
        <v>3107</v>
      </c>
      <c r="C2272" s="28" t="s">
        <v>3110</v>
      </c>
      <c r="D2272" s="28" t="s">
        <v>796</v>
      </c>
      <c r="E2272" s="28" t="s">
        <v>211</v>
      </c>
      <c r="F2272" s="28" t="s">
        <v>212</v>
      </c>
      <c r="G2272" s="28" t="s">
        <v>3111</v>
      </c>
      <c r="H2272" s="28">
        <v>4026815</v>
      </c>
      <c r="I2272" s="28">
        <v>122671</v>
      </c>
      <c r="J2272" s="28">
        <v>0.99</v>
      </c>
      <c r="K2272" s="28">
        <v>72</v>
      </c>
      <c r="L2272" s="28">
        <v>1</v>
      </c>
    </row>
    <row r="2273" spans="1:12" ht="14.25" customHeight="1" x14ac:dyDescent="0.2">
      <c r="A2273" s="28">
        <v>2272</v>
      </c>
      <c r="B2273" s="28" t="s">
        <v>3109</v>
      </c>
      <c r="C2273" s="28" t="s">
        <v>3110</v>
      </c>
      <c r="D2273" s="28" t="s">
        <v>796</v>
      </c>
      <c r="E2273" s="28" t="s">
        <v>211</v>
      </c>
      <c r="F2273" s="28" t="s">
        <v>212</v>
      </c>
      <c r="G2273" s="28" t="s">
        <v>3112</v>
      </c>
      <c r="H2273" s="28">
        <v>5939794</v>
      </c>
      <c r="I2273" s="28">
        <v>182883</v>
      </c>
      <c r="J2273" s="28">
        <v>0.99</v>
      </c>
      <c r="K2273" s="28">
        <v>63</v>
      </c>
      <c r="L2273" s="28">
        <v>2</v>
      </c>
    </row>
    <row r="2274" spans="1:12" ht="14.25" customHeight="1" x14ac:dyDescent="0.2">
      <c r="A2274" s="28">
        <v>2273</v>
      </c>
      <c r="B2274" s="28" t="s">
        <v>3113</v>
      </c>
      <c r="C2274" s="28" t="s">
        <v>3110</v>
      </c>
      <c r="D2274" s="28" t="s">
        <v>796</v>
      </c>
      <c r="E2274" s="28" t="s">
        <v>211</v>
      </c>
      <c r="F2274" s="28" t="s">
        <v>212</v>
      </c>
      <c r="G2274" s="28" t="s">
        <v>3114</v>
      </c>
      <c r="H2274" s="28">
        <v>6642685</v>
      </c>
      <c r="I2274" s="28">
        <v>207386</v>
      </c>
      <c r="J2274" s="28">
        <v>0.99</v>
      </c>
      <c r="K2274" s="28">
        <v>2</v>
      </c>
      <c r="L2274" s="28">
        <v>1</v>
      </c>
    </row>
    <row r="2275" spans="1:12" ht="14.25" customHeight="1" x14ac:dyDescent="0.2">
      <c r="A2275" s="28">
        <v>2274</v>
      </c>
      <c r="B2275" s="28" t="s">
        <v>3115</v>
      </c>
      <c r="C2275" s="28" t="s">
        <v>3110</v>
      </c>
      <c r="D2275" s="28" t="s">
        <v>796</v>
      </c>
      <c r="E2275" s="28" t="s">
        <v>211</v>
      </c>
      <c r="F2275" s="28" t="s">
        <v>212</v>
      </c>
      <c r="G2275" s="28" t="s">
        <v>3111</v>
      </c>
      <c r="H2275" s="28">
        <v>6144878</v>
      </c>
      <c r="I2275" s="28">
        <v>190119</v>
      </c>
      <c r="J2275" s="28">
        <v>0.99</v>
      </c>
      <c r="K2275" s="28">
        <v>6</v>
      </c>
      <c r="L2275" s="28">
        <v>1</v>
      </c>
    </row>
    <row r="2276" spans="1:12" ht="14.25" customHeight="1" x14ac:dyDescent="0.2">
      <c r="A2276" s="28">
        <v>2275</v>
      </c>
      <c r="B2276" s="28" t="s">
        <v>3116</v>
      </c>
      <c r="C2276" s="28" t="s">
        <v>3110</v>
      </c>
      <c r="D2276" s="28" t="s">
        <v>796</v>
      </c>
      <c r="E2276" s="28" t="s">
        <v>211</v>
      </c>
      <c r="F2276" s="28" t="s">
        <v>212</v>
      </c>
      <c r="G2276" s="28" t="s">
        <v>3117</v>
      </c>
      <c r="H2276" s="28">
        <v>8936992</v>
      </c>
      <c r="I2276" s="28">
        <v>275356</v>
      </c>
      <c r="J2276" s="28">
        <v>0.99</v>
      </c>
      <c r="K2276" s="28">
        <v>29</v>
      </c>
      <c r="L2276" s="28">
        <v>1</v>
      </c>
    </row>
    <row r="2277" spans="1:12" ht="14.25" customHeight="1" x14ac:dyDescent="0.2">
      <c r="A2277" s="28">
        <v>2276</v>
      </c>
      <c r="B2277" s="28" t="s">
        <v>3118</v>
      </c>
      <c r="C2277" s="28" t="s">
        <v>3110</v>
      </c>
      <c r="D2277" s="28" t="s">
        <v>796</v>
      </c>
      <c r="E2277" s="28" t="s">
        <v>211</v>
      </c>
      <c r="F2277" s="28" t="s">
        <v>212</v>
      </c>
      <c r="G2277" s="28" t="s">
        <v>3114</v>
      </c>
      <c r="H2277" s="28">
        <v>6078001</v>
      </c>
      <c r="I2277" s="28">
        <v>184737</v>
      </c>
      <c r="J2277" s="28">
        <v>0.99</v>
      </c>
      <c r="K2277" s="28">
        <v>30</v>
      </c>
      <c r="L2277" s="28">
        <v>1</v>
      </c>
    </row>
    <row r="2278" spans="1:12" ht="14.25" customHeight="1" x14ac:dyDescent="0.2">
      <c r="A2278" s="28">
        <v>2277</v>
      </c>
      <c r="B2278" s="28" t="s">
        <v>3119</v>
      </c>
      <c r="C2278" s="28" t="s">
        <v>3110</v>
      </c>
      <c r="D2278" s="28" t="s">
        <v>796</v>
      </c>
      <c r="E2278" s="28" t="s">
        <v>211</v>
      </c>
      <c r="F2278" s="28" t="s">
        <v>212</v>
      </c>
      <c r="G2278" s="28" t="s">
        <v>3112</v>
      </c>
      <c r="H2278" s="28">
        <v>7509333</v>
      </c>
      <c r="I2278" s="28">
        <v>231235</v>
      </c>
      <c r="J2278" s="28">
        <v>0.99</v>
      </c>
      <c r="K2278" s="28">
        <v>58</v>
      </c>
      <c r="L2278" s="28">
        <v>1</v>
      </c>
    </row>
    <row r="2279" spans="1:12" ht="14.25" customHeight="1" x14ac:dyDescent="0.2">
      <c r="A2279" s="28">
        <v>2278</v>
      </c>
      <c r="B2279" s="28" t="s">
        <v>3120</v>
      </c>
      <c r="C2279" s="28" t="s">
        <v>3110</v>
      </c>
      <c r="D2279" s="28" t="s">
        <v>796</v>
      </c>
      <c r="E2279" s="28" t="s">
        <v>211</v>
      </c>
      <c r="F2279" s="28" t="s">
        <v>212</v>
      </c>
      <c r="G2279" s="28" t="s">
        <v>3111</v>
      </c>
      <c r="H2279" s="28">
        <v>6099840</v>
      </c>
      <c r="I2279" s="28">
        <v>187428</v>
      </c>
      <c r="J2279" s="28">
        <v>0.99</v>
      </c>
      <c r="K2279" s="28">
        <v>55</v>
      </c>
      <c r="L2279" s="28">
        <v>1</v>
      </c>
    </row>
    <row r="2280" spans="1:12" ht="14.25" customHeight="1" x14ac:dyDescent="0.2">
      <c r="A2280" s="28">
        <v>2279</v>
      </c>
      <c r="B2280" s="28" t="s">
        <v>3121</v>
      </c>
      <c r="C2280" s="28" t="s">
        <v>3110</v>
      </c>
      <c r="D2280" s="28" t="s">
        <v>796</v>
      </c>
      <c r="E2280" s="28" t="s">
        <v>211</v>
      </c>
      <c r="F2280" s="28" t="s">
        <v>212</v>
      </c>
      <c r="G2280" s="28" t="s">
        <v>3117</v>
      </c>
      <c r="H2280" s="28">
        <v>6292969</v>
      </c>
      <c r="I2280" s="28">
        <v>186958</v>
      </c>
      <c r="J2280" s="28">
        <v>0.99</v>
      </c>
      <c r="K2280" s="28">
        <v>97</v>
      </c>
      <c r="L2280" s="28">
        <v>1</v>
      </c>
    </row>
    <row r="2281" spans="1:12" ht="14.25" customHeight="1" x14ac:dyDescent="0.2">
      <c r="A2281" s="28">
        <v>2280</v>
      </c>
      <c r="B2281" s="28" t="s">
        <v>3122</v>
      </c>
      <c r="C2281" s="28" t="s">
        <v>3110</v>
      </c>
      <c r="D2281" s="28" t="s">
        <v>796</v>
      </c>
      <c r="E2281" s="28" t="s">
        <v>211</v>
      </c>
      <c r="F2281" s="28" t="s">
        <v>212</v>
      </c>
      <c r="G2281" s="28" t="s">
        <v>3111</v>
      </c>
      <c r="H2281" s="28">
        <v>12519388</v>
      </c>
      <c r="I2281" s="28">
        <v>386194</v>
      </c>
      <c r="J2281" s="28">
        <v>0.99</v>
      </c>
      <c r="K2281" s="28">
        <v>13</v>
      </c>
      <c r="L2281" s="28">
        <v>1</v>
      </c>
    </row>
    <row r="2282" spans="1:12" ht="14.25" customHeight="1" x14ac:dyDescent="0.2">
      <c r="A2282" s="28">
        <v>2281</v>
      </c>
      <c r="B2282" s="28" t="s">
        <v>3123</v>
      </c>
      <c r="C2282" s="28" t="s">
        <v>3110</v>
      </c>
      <c r="D2282" s="28" t="s">
        <v>796</v>
      </c>
      <c r="E2282" s="28" t="s">
        <v>211</v>
      </c>
      <c r="F2282" s="28" t="s">
        <v>212</v>
      </c>
      <c r="G2282" s="28" t="s">
        <v>3112</v>
      </c>
      <c r="H2282" s="28">
        <v>6691838</v>
      </c>
      <c r="I2282" s="28">
        <v>206471</v>
      </c>
      <c r="J2282" s="28">
        <v>0.99</v>
      </c>
      <c r="K2282" s="28">
        <v>60</v>
      </c>
      <c r="L2282" s="28">
        <v>1</v>
      </c>
    </row>
    <row r="2283" spans="1:12" ht="14.25" customHeight="1" x14ac:dyDescent="0.2">
      <c r="A2283" s="28">
        <v>2282</v>
      </c>
      <c r="B2283" s="28" t="s">
        <v>3124</v>
      </c>
      <c r="C2283" s="28" t="s">
        <v>3125</v>
      </c>
      <c r="D2283" s="28" t="s">
        <v>3126</v>
      </c>
      <c r="E2283" s="28" t="s">
        <v>211</v>
      </c>
      <c r="F2283" s="28" t="s">
        <v>348</v>
      </c>
      <c r="G2283" s="28" t="s">
        <v>3127</v>
      </c>
      <c r="H2283" s="28">
        <v>7475323</v>
      </c>
      <c r="I2283" s="28">
        <v>226298</v>
      </c>
      <c r="J2283" s="28">
        <v>0.99</v>
      </c>
      <c r="K2283" s="28">
        <v>53</v>
      </c>
      <c r="L2283" s="28">
        <v>1</v>
      </c>
    </row>
    <row r="2284" spans="1:12" ht="14.25" customHeight="1" x14ac:dyDescent="0.2">
      <c r="A2284" s="28">
        <v>2283</v>
      </c>
      <c r="B2284" s="28" t="s">
        <v>3128</v>
      </c>
      <c r="C2284" s="28" t="s">
        <v>3125</v>
      </c>
      <c r="D2284" s="28" t="s">
        <v>3126</v>
      </c>
      <c r="E2284" s="28" t="s">
        <v>211</v>
      </c>
      <c r="F2284" s="28" t="s">
        <v>348</v>
      </c>
      <c r="G2284" s="28" t="s">
        <v>3127</v>
      </c>
      <c r="H2284" s="28">
        <v>8194751</v>
      </c>
      <c r="I2284" s="28">
        <v>246674</v>
      </c>
      <c r="J2284" s="28">
        <v>0.99</v>
      </c>
      <c r="K2284" s="28">
        <v>59</v>
      </c>
      <c r="L2284" s="28">
        <v>1</v>
      </c>
    </row>
    <row r="2285" spans="1:12" ht="14.25" customHeight="1" x14ac:dyDescent="0.2">
      <c r="A2285" s="28">
        <v>2284</v>
      </c>
      <c r="B2285" s="28" t="s">
        <v>2129</v>
      </c>
      <c r="C2285" s="28" t="s">
        <v>3125</v>
      </c>
      <c r="D2285" s="28" t="s">
        <v>3126</v>
      </c>
      <c r="E2285" s="28" t="s">
        <v>211</v>
      </c>
      <c r="F2285" s="28" t="s">
        <v>348</v>
      </c>
      <c r="G2285" s="28" t="s">
        <v>3127</v>
      </c>
      <c r="H2285" s="28">
        <v>8421172</v>
      </c>
      <c r="I2285" s="28">
        <v>255477</v>
      </c>
      <c r="J2285" s="28">
        <v>0.99</v>
      </c>
      <c r="K2285" s="28">
        <v>63</v>
      </c>
      <c r="L2285" s="28">
        <v>1</v>
      </c>
    </row>
    <row r="2286" spans="1:12" ht="14.25" customHeight="1" x14ac:dyDescent="0.2">
      <c r="A2286" s="28">
        <v>2285</v>
      </c>
      <c r="B2286" s="28" t="s">
        <v>3129</v>
      </c>
      <c r="C2286" s="28" t="s">
        <v>3130</v>
      </c>
      <c r="D2286" s="28" t="s">
        <v>3131</v>
      </c>
      <c r="E2286" s="28" t="s">
        <v>211</v>
      </c>
      <c r="F2286" s="28" t="s">
        <v>348</v>
      </c>
      <c r="G2286" s="28" t="s">
        <v>3132</v>
      </c>
      <c r="H2286" s="28">
        <v>6132218</v>
      </c>
      <c r="I2286" s="28">
        <v>185730</v>
      </c>
      <c r="J2286" s="28">
        <v>0.99</v>
      </c>
      <c r="K2286" s="28">
        <v>13</v>
      </c>
      <c r="L2286" s="28">
        <v>0</v>
      </c>
    </row>
    <row r="2287" spans="1:12" ht="14.25" customHeight="1" x14ac:dyDescent="0.2">
      <c r="A2287" s="28">
        <v>2286</v>
      </c>
      <c r="B2287" s="28" t="s">
        <v>3133</v>
      </c>
      <c r="C2287" s="28" t="s">
        <v>3130</v>
      </c>
      <c r="D2287" s="28" t="s">
        <v>3131</v>
      </c>
      <c r="E2287" s="28" t="s">
        <v>211</v>
      </c>
      <c r="F2287" s="28" t="s">
        <v>348</v>
      </c>
      <c r="G2287" s="28" t="s">
        <v>3132</v>
      </c>
      <c r="H2287" s="28">
        <v>5264376</v>
      </c>
      <c r="I2287" s="28">
        <v>160235</v>
      </c>
      <c r="J2287" s="28">
        <v>0.99</v>
      </c>
      <c r="K2287" s="28">
        <v>46</v>
      </c>
      <c r="L2287" s="28">
        <v>2</v>
      </c>
    </row>
    <row r="2288" spans="1:12" ht="14.25" customHeight="1" x14ac:dyDescent="0.2">
      <c r="A2288" s="28">
        <v>2287</v>
      </c>
      <c r="B2288" s="28" t="s">
        <v>3134</v>
      </c>
      <c r="C2288" s="28" t="s">
        <v>3130</v>
      </c>
      <c r="D2288" s="28" t="s">
        <v>3131</v>
      </c>
      <c r="E2288" s="28" t="s">
        <v>211</v>
      </c>
      <c r="F2288" s="28" t="s">
        <v>348</v>
      </c>
      <c r="G2288" s="28" t="s">
        <v>3132</v>
      </c>
      <c r="H2288" s="28">
        <v>7373181</v>
      </c>
      <c r="I2288" s="28">
        <v>226298</v>
      </c>
      <c r="J2288" s="28">
        <v>0.99</v>
      </c>
      <c r="K2288" s="28">
        <v>48</v>
      </c>
      <c r="L2288" s="28">
        <v>1</v>
      </c>
    </row>
    <row r="2289" spans="1:12" ht="14.25" customHeight="1" x14ac:dyDescent="0.2">
      <c r="A2289" s="28">
        <v>2288</v>
      </c>
      <c r="B2289" s="28" t="s">
        <v>3135</v>
      </c>
      <c r="C2289" s="28" t="s">
        <v>3130</v>
      </c>
      <c r="D2289" s="28" t="s">
        <v>3131</v>
      </c>
      <c r="E2289" s="28" t="s">
        <v>211</v>
      </c>
      <c r="F2289" s="28" t="s">
        <v>348</v>
      </c>
      <c r="G2289" s="28" t="s">
        <v>3132</v>
      </c>
      <c r="H2289" s="28">
        <v>6349090</v>
      </c>
      <c r="I2289" s="28">
        <v>192862</v>
      </c>
      <c r="J2289" s="28">
        <v>0.99</v>
      </c>
      <c r="K2289" s="28">
        <v>58</v>
      </c>
      <c r="L2289" s="28">
        <v>0</v>
      </c>
    </row>
    <row r="2290" spans="1:12" ht="14.25" customHeight="1" x14ac:dyDescent="0.2">
      <c r="A2290" s="28">
        <v>2289</v>
      </c>
      <c r="B2290" s="28" t="s">
        <v>3136</v>
      </c>
      <c r="C2290" s="28" t="s">
        <v>3130</v>
      </c>
      <c r="D2290" s="28" t="s">
        <v>3131</v>
      </c>
      <c r="E2290" s="28" t="s">
        <v>211</v>
      </c>
      <c r="F2290" s="28" t="s">
        <v>348</v>
      </c>
      <c r="G2290" s="28" t="s">
        <v>3132</v>
      </c>
      <c r="H2290" s="28">
        <v>8537282</v>
      </c>
      <c r="I2290" s="28">
        <v>259761</v>
      </c>
      <c r="J2290" s="28">
        <v>0.99</v>
      </c>
      <c r="K2290" s="28">
        <v>44</v>
      </c>
      <c r="L2290" s="28">
        <v>0</v>
      </c>
    </row>
    <row r="2291" spans="1:12" ht="14.25" customHeight="1" x14ac:dyDescent="0.2">
      <c r="A2291" s="28">
        <v>2290</v>
      </c>
      <c r="B2291" s="28" t="s">
        <v>3137</v>
      </c>
      <c r="C2291" s="28" t="s">
        <v>3130</v>
      </c>
      <c r="D2291" s="28" t="s">
        <v>3131</v>
      </c>
      <c r="E2291" s="28" t="s">
        <v>211</v>
      </c>
      <c r="F2291" s="28" t="s">
        <v>348</v>
      </c>
      <c r="G2291" s="28" t="s">
        <v>3132</v>
      </c>
      <c r="H2291" s="28">
        <v>7065060</v>
      </c>
      <c r="I2291" s="28">
        <v>216633</v>
      </c>
      <c r="J2291" s="28">
        <v>0.99</v>
      </c>
      <c r="K2291" s="28">
        <v>60</v>
      </c>
      <c r="L2291" s="28">
        <v>1</v>
      </c>
    </row>
    <row r="2292" spans="1:12" ht="14.25" customHeight="1" x14ac:dyDescent="0.2">
      <c r="A2292" s="28">
        <v>2291</v>
      </c>
      <c r="B2292" s="28" t="s">
        <v>3138</v>
      </c>
      <c r="C2292" s="28" t="s">
        <v>3130</v>
      </c>
      <c r="D2292" s="28" t="s">
        <v>3131</v>
      </c>
      <c r="E2292" s="28" t="s">
        <v>211</v>
      </c>
      <c r="F2292" s="28" t="s">
        <v>348</v>
      </c>
      <c r="G2292" s="28" t="s">
        <v>3132</v>
      </c>
      <c r="H2292" s="28">
        <v>7742894</v>
      </c>
      <c r="I2292" s="28">
        <v>231706</v>
      </c>
      <c r="J2292" s="28">
        <v>0.99</v>
      </c>
      <c r="K2292" s="28">
        <v>46</v>
      </c>
      <c r="L2292" s="28">
        <v>0</v>
      </c>
    </row>
    <row r="2293" spans="1:12" ht="14.25" customHeight="1" x14ac:dyDescent="0.2">
      <c r="A2293" s="28">
        <v>2292</v>
      </c>
      <c r="B2293" s="28" t="s">
        <v>3139</v>
      </c>
      <c r="C2293" s="28" t="s">
        <v>3130</v>
      </c>
      <c r="D2293" s="28" t="s">
        <v>3131</v>
      </c>
      <c r="E2293" s="28" t="s">
        <v>211</v>
      </c>
      <c r="F2293" s="28" t="s">
        <v>348</v>
      </c>
      <c r="G2293" s="28" t="s">
        <v>3132</v>
      </c>
      <c r="H2293" s="28">
        <v>8395671</v>
      </c>
      <c r="I2293" s="28">
        <v>257358</v>
      </c>
      <c r="J2293" s="28">
        <v>0.99</v>
      </c>
      <c r="K2293" s="28">
        <v>8</v>
      </c>
      <c r="L2293" s="28">
        <v>0</v>
      </c>
    </row>
    <row r="2294" spans="1:12" ht="14.25" customHeight="1" x14ac:dyDescent="0.2">
      <c r="A2294" s="28">
        <v>2293</v>
      </c>
      <c r="B2294" s="28" t="s">
        <v>3140</v>
      </c>
      <c r="C2294" s="28" t="s">
        <v>3130</v>
      </c>
      <c r="D2294" s="28" t="s">
        <v>3131</v>
      </c>
      <c r="E2294" s="28" t="s">
        <v>211</v>
      </c>
      <c r="F2294" s="28" t="s">
        <v>348</v>
      </c>
      <c r="G2294" s="28" t="s">
        <v>3132</v>
      </c>
      <c r="H2294" s="28">
        <v>7753807</v>
      </c>
      <c r="I2294" s="28">
        <v>235911</v>
      </c>
      <c r="J2294" s="28">
        <v>0.99</v>
      </c>
      <c r="K2294" s="28">
        <v>85</v>
      </c>
      <c r="L2294" s="28">
        <v>1</v>
      </c>
    </row>
    <row r="2295" spans="1:12" ht="14.25" customHeight="1" x14ac:dyDescent="0.2">
      <c r="A2295" s="28">
        <v>2294</v>
      </c>
      <c r="B2295" s="28" t="s">
        <v>3141</v>
      </c>
      <c r="C2295" s="28" t="s">
        <v>3130</v>
      </c>
      <c r="D2295" s="28" t="s">
        <v>3131</v>
      </c>
      <c r="E2295" s="28" t="s">
        <v>211</v>
      </c>
      <c r="F2295" s="28" t="s">
        <v>348</v>
      </c>
      <c r="G2295" s="28" t="s">
        <v>3132</v>
      </c>
      <c r="H2295" s="28">
        <v>9950311</v>
      </c>
      <c r="I2295" s="28">
        <v>304013</v>
      </c>
      <c r="J2295" s="28">
        <v>0.99</v>
      </c>
      <c r="K2295" s="28">
        <v>53</v>
      </c>
      <c r="L2295" s="28">
        <v>1</v>
      </c>
    </row>
    <row r="2296" spans="1:12" ht="14.25" customHeight="1" x14ac:dyDescent="0.2">
      <c r="A2296" s="28">
        <v>2295</v>
      </c>
      <c r="B2296" s="28" t="s">
        <v>2965</v>
      </c>
      <c r="C2296" s="28" t="s">
        <v>3130</v>
      </c>
      <c r="D2296" s="28" t="s">
        <v>3131</v>
      </c>
      <c r="E2296" s="28" t="s">
        <v>211</v>
      </c>
      <c r="F2296" s="28" t="s">
        <v>348</v>
      </c>
      <c r="G2296" s="28" t="s">
        <v>3132</v>
      </c>
      <c r="H2296" s="28">
        <v>6332426</v>
      </c>
      <c r="I2296" s="28">
        <v>191503</v>
      </c>
      <c r="J2296" s="28">
        <v>0.99</v>
      </c>
      <c r="K2296" s="28">
        <v>66</v>
      </c>
      <c r="L2296" s="28">
        <v>2</v>
      </c>
    </row>
    <row r="2297" spans="1:12" ht="14.25" customHeight="1" x14ac:dyDescent="0.2">
      <c r="A2297" s="28">
        <v>2296</v>
      </c>
      <c r="B2297" s="28" t="s">
        <v>3142</v>
      </c>
      <c r="C2297" s="28" t="s">
        <v>3143</v>
      </c>
      <c r="D2297" s="28" t="s">
        <v>3131</v>
      </c>
      <c r="E2297" s="28" t="s">
        <v>211</v>
      </c>
      <c r="F2297" s="28" t="s">
        <v>212</v>
      </c>
      <c r="G2297" s="28" t="s">
        <v>3132</v>
      </c>
      <c r="H2297" s="28">
        <v>8994291</v>
      </c>
      <c r="I2297" s="28">
        <v>271151</v>
      </c>
      <c r="J2297" s="28">
        <v>0.99</v>
      </c>
      <c r="K2297" s="28">
        <v>59</v>
      </c>
      <c r="L2297" s="28">
        <v>1</v>
      </c>
    </row>
    <row r="2298" spans="1:12" ht="14.25" customHeight="1" x14ac:dyDescent="0.2">
      <c r="A2298" s="28">
        <v>2297</v>
      </c>
      <c r="B2298" s="28" t="s">
        <v>3144</v>
      </c>
      <c r="C2298" s="28" t="s">
        <v>3143</v>
      </c>
      <c r="D2298" s="28" t="s">
        <v>3131</v>
      </c>
      <c r="E2298" s="28" t="s">
        <v>211</v>
      </c>
      <c r="F2298" s="28" t="s">
        <v>212</v>
      </c>
      <c r="G2298" s="28" t="s">
        <v>3132</v>
      </c>
      <c r="H2298" s="28">
        <v>10077337</v>
      </c>
      <c r="I2298" s="28">
        <v>308532</v>
      </c>
      <c r="J2298" s="28">
        <v>0.99</v>
      </c>
      <c r="K2298" s="28">
        <v>33</v>
      </c>
      <c r="L2298" s="28">
        <v>1</v>
      </c>
    </row>
    <row r="2299" spans="1:12" ht="14.25" customHeight="1" x14ac:dyDescent="0.2">
      <c r="A2299" s="28">
        <v>2298</v>
      </c>
      <c r="B2299" s="28" t="s">
        <v>3145</v>
      </c>
      <c r="C2299" s="28" t="s">
        <v>3143</v>
      </c>
      <c r="D2299" s="28" t="s">
        <v>3131</v>
      </c>
      <c r="E2299" s="28" t="s">
        <v>211</v>
      </c>
      <c r="F2299" s="28" t="s">
        <v>212</v>
      </c>
      <c r="G2299" s="28" t="s">
        <v>3132</v>
      </c>
      <c r="H2299" s="28">
        <v>10866447</v>
      </c>
      <c r="I2299" s="28">
        <v>326791</v>
      </c>
      <c r="J2299" s="28">
        <v>0.99</v>
      </c>
      <c r="K2299" s="28">
        <v>63</v>
      </c>
      <c r="L2299" s="28">
        <v>1</v>
      </c>
    </row>
    <row r="2300" spans="1:12" ht="14.25" customHeight="1" x14ac:dyDescent="0.2">
      <c r="A2300" s="28">
        <v>2299</v>
      </c>
      <c r="B2300" s="28" t="s">
        <v>3146</v>
      </c>
      <c r="C2300" s="28" t="s">
        <v>3143</v>
      </c>
      <c r="D2300" s="28" t="s">
        <v>3131</v>
      </c>
      <c r="E2300" s="28" t="s">
        <v>211</v>
      </c>
      <c r="F2300" s="28" t="s">
        <v>212</v>
      </c>
      <c r="G2300" s="28" t="s">
        <v>3132</v>
      </c>
      <c r="H2300" s="28">
        <v>10131005</v>
      </c>
      <c r="I2300" s="28">
        <v>309498</v>
      </c>
      <c r="J2300" s="28">
        <v>0.99</v>
      </c>
      <c r="K2300" s="28">
        <v>52</v>
      </c>
      <c r="L2300" s="28">
        <v>2</v>
      </c>
    </row>
    <row r="2301" spans="1:12" ht="14.25" customHeight="1" x14ac:dyDescent="0.2">
      <c r="A2301" s="28">
        <v>2300</v>
      </c>
      <c r="B2301" s="28" t="s">
        <v>3147</v>
      </c>
      <c r="C2301" s="28" t="s">
        <v>3143</v>
      </c>
      <c r="D2301" s="28" t="s">
        <v>3131</v>
      </c>
      <c r="E2301" s="28" t="s">
        <v>211</v>
      </c>
      <c r="F2301" s="28" t="s">
        <v>212</v>
      </c>
      <c r="G2301" s="28" t="s">
        <v>3132</v>
      </c>
      <c r="H2301" s="28">
        <v>10714576</v>
      </c>
      <c r="I2301" s="28">
        <v>324963</v>
      </c>
      <c r="J2301" s="28">
        <v>0.99</v>
      </c>
      <c r="K2301" s="28">
        <v>67</v>
      </c>
      <c r="L2301" s="28">
        <v>0</v>
      </c>
    </row>
    <row r="2302" spans="1:12" ht="14.25" customHeight="1" x14ac:dyDescent="0.2">
      <c r="A2302" s="28">
        <v>2301</v>
      </c>
      <c r="B2302" s="28" t="s">
        <v>3148</v>
      </c>
      <c r="C2302" s="28" t="s">
        <v>3143</v>
      </c>
      <c r="D2302" s="28" t="s">
        <v>3131</v>
      </c>
      <c r="E2302" s="28" t="s">
        <v>211</v>
      </c>
      <c r="F2302" s="28" t="s">
        <v>212</v>
      </c>
      <c r="G2302" s="28" t="s">
        <v>3132</v>
      </c>
      <c r="H2302" s="28">
        <v>14433365</v>
      </c>
      <c r="I2302" s="28">
        <v>437968</v>
      </c>
      <c r="J2302" s="28">
        <v>0.99</v>
      </c>
      <c r="K2302" s="28">
        <v>7</v>
      </c>
      <c r="L2302" s="28">
        <v>1</v>
      </c>
    </row>
    <row r="2303" spans="1:12" ht="14.25" customHeight="1" x14ac:dyDescent="0.2">
      <c r="A2303" s="28">
        <v>2302</v>
      </c>
      <c r="B2303" s="28" t="s">
        <v>3149</v>
      </c>
      <c r="C2303" s="28" t="s">
        <v>3143</v>
      </c>
      <c r="D2303" s="28" t="s">
        <v>3131</v>
      </c>
      <c r="E2303" s="28" t="s">
        <v>211</v>
      </c>
      <c r="F2303" s="28" t="s">
        <v>212</v>
      </c>
      <c r="G2303" s="28" t="s">
        <v>3132</v>
      </c>
      <c r="H2303" s="28">
        <v>6818425</v>
      </c>
      <c r="I2303" s="28">
        <v>209423</v>
      </c>
      <c r="J2303" s="28">
        <v>0.99</v>
      </c>
      <c r="K2303" s="28">
        <v>44</v>
      </c>
      <c r="L2303" s="28">
        <v>1</v>
      </c>
    </row>
    <row r="2304" spans="1:12" ht="14.25" customHeight="1" x14ac:dyDescent="0.2">
      <c r="A2304" s="28">
        <v>2303</v>
      </c>
      <c r="B2304" s="28" t="s">
        <v>3150</v>
      </c>
      <c r="C2304" s="28" t="s">
        <v>3143</v>
      </c>
      <c r="D2304" s="28" t="s">
        <v>3131</v>
      </c>
      <c r="E2304" s="28" t="s">
        <v>211</v>
      </c>
      <c r="F2304" s="28" t="s">
        <v>212</v>
      </c>
      <c r="G2304" s="28" t="s">
        <v>3132</v>
      </c>
      <c r="H2304" s="28">
        <v>8114718</v>
      </c>
      <c r="I2304" s="28">
        <v>245812</v>
      </c>
      <c r="J2304" s="28">
        <v>0.99</v>
      </c>
      <c r="K2304" s="28">
        <v>87</v>
      </c>
      <c r="L2304" s="28">
        <v>1</v>
      </c>
    </row>
    <row r="2305" spans="1:12" ht="14.25" customHeight="1" x14ac:dyDescent="0.2">
      <c r="A2305" s="28">
        <v>2304</v>
      </c>
      <c r="B2305" s="28" t="s">
        <v>3151</v>
      </c>
      <c r="C2305" s="28" t="s">
        <v>3143</v>
      </c>
      <c r="D2305" s="28" t="s">
        <v>3131</v>
      </c>
      <c r="E2305" s="28" t="s">
        <v>211</v>
      </c>
      <c r="F2305" s="28" t="s">
        <v>212</v>
      </c>
      <c r="G2305" s="28" t="s">
        <v>3132</v>
      </c>
      <c r="H2305" s="28">
        <v>10790541</v>
      </c>
      <c r="I2305" s="28">
        <v>333087</v>
      </c>
      <c r="J2305" s="28">
        <v>0.99</v>
      </c>
      <c r="K2305" s="28">
        <v>51</v>
      </c>
      <c r="L2305" s="28">
        <v>1</v>
      </c>
    </row>
    <row r="2306" spans="1:12" ht="14.25" customHeight="1" x14ac:dyDescent="0.2">
      <c r="A2306" s="28">
        <v>2305</v>
      </c>
      <c r="B2306" s="28" t="s">
        <v>3152</v>
      </c>
      <c r="C2306" s="28" t="s">
        <v>3143</v>
      </c>
      <c r="D2306" s="28" t="s">
        <v>3131</v>
      </c>
      <c r="E2306" s="28" t="s">
        <v>211</v>
      </c>
      <c r="F2306" s="28" t="s">
        <v>212</v>
      </c>
      <c r="G2306" s="28" t="s">
        <v>3132</v>
      </c>
      <c r="H2306" s="28">
        <v>9950320</v>
      </c>
      <c r="I2306" s="28">
        <v>301688</v>
      </c>
      <c r="J2306" s="28">
        <v>0.99</v>
      </c>
      <c r="K2306" s="28">
        <v>86</v>
      </c>
      <c r="L2306" s="28">
        <v>2</v>
      </c>
    </row>
    <row r="2307" spans="1:12" ht="14.25" customHeight="1" x14ac:dyDescent="0.2">
      <c r="A2307" s="28">
        <v>2306</v>
      </c>
      <c r="B2307" s="28" t="s">
        <v>3153</v>
      </c>
      <c r="C2307" s="28" t="s">
        <v>3143</v>
      </c>
      <c r="D2307" s="28" t="s">
        <v>3131</v>
      </c>
      <c r="E2307" s="28" t="s">
        <v>211</v>
      </c>
      <c r="F2307" s="28" t="s">
        <v>212</v>
      </c>
      <c r="G2307" s="28" t="s">
        <v>3132</v>
      </c>
      <c r="H2307" s="28">
        <v>5032962</v>
      </c>
      <c r="I2307" s="28">
        <v>154148</v>
      </c>
      <c r="J2307" s="28">
        <v>0.99</v>
      </c>
      <c r="K2307" s="28">
        <v>30</v>
      </c>
      <c r="L2307" s="28">
        <v>1</v>
      </c>
    </row>
    <row r="2308" spans="1:12" ht="14.25" customHeight="1" x14ac:dyDescent="0.2">
      <c r="A2308" s="28">
        <v>2307</v>
      </c>
      <c r="B2308" s="28" t="s">
        <v>3154</v>
      </c>
      <c r="C2308" s="28" t="s">
        <v>3143</v>
      </c>
      <c r="D2308" s="28" t="s">
        <v>3131</v>
      </c>
      <c r="E2308" s="28" t="s">
        <v>211</v>
      </c>
      <c r="F2308" s="28" t="s">
        <v>212</v>
      </c>
      <c r="G2308" s="28" t="s">
        <v>3132</v>
      </c>
      <c r="H2308" s="28">
        <v>8341223</v>
      </c>
      <c r="I2308" s="28">
        <v>252682</v>
      </c>
      <c r="J2308" s="28">
        <v>0.99</v>
      </c>
      <c r="K2308" s="28">
        <v>43</v>
      </c>
      <c r="L2308" s="28">
        <v>1</v>
      </c>
    </row>
    <row r="2309" spans="1:12" ht="14.25" customHeight="1" x14ac:dyDescent="0.2">
      <c r="A2309" s="28">
        <v>2308</v>
      </c>
      <c r="B2309" s="28" t="s">
        <v>3155</v>
      </c>
      <c r="C2309" s="28" t="s">
        <v>3143</v>
      </c>
      <c r="D2309" s="28" t="s">
        <v>3131</v>
      </c>
      <c r="E2309" s="28" t="s">
        <v>211</v>
      </c>
      <c r="F2309" s="28" t="s">
        <v>212</v>
      </c>
      <c r="G2309" s="28" t="s">
        <v>3132</v>
      </c>
      <c r="H2309" s="28">
        <v>6989288</v>
      </c>
      <c r="I2309" s="28">
        <v>212062</v>
      </c>
      <c r="J2309" s="28">
        <v>0.99</v>
      </c>
      <c r="K2309" s="28">
        <v>37</v>
      </c>
      <c r="L2309" s="28">
        <v>0</v>
      </c>
    </row>
    <row r="2310" spans="1:12" ht="14.25" customHeight="1" x14ac:dyDescent="0.2">
      <c r="A2310" s="28">
        <v>2309</v>
      </c>
      <c r="B2310" s="28" t="s">
        <v>3156</v>
      </c>
      <c r="C2310" s="28" t="s">
        <v>3143</v>
      </c>
      <c r="D2310" s="28" t="s">
        <v>3131</v>
      </c>
      <c r="E2310" s="28" t="s">
        <v>211</v>
      </c>
      <c r="F2310" s="28" t="s">
        <v>212</v>
      </c>
      <c r="G2310" s="28" t="s">
        <v>3132</v>
      </c>
      <c r="H2310" s="28">
        <v>8051199</v>
      </c>
      <c r="I2310" s="28">
        <v>245315</v>
      </c>
      <c r="J2310" s="28">
        <v>0.99</v>
      </c>
      <c r="K2310" s="28">
        <v>33</v>
      </c>
      <c r="L2310" s="28">
        <v>1</v>
      </c>
    </row>
    <row r="2311" spans="1:12" ht="14.25" customHeight="1" x14ac:dyDescent="0.2">
      <c r="A2311" s="28">
        <v>2310</v>
      </c>
      <c r="B2311" s="28" t="s">
        <v>3157</v>
      </c>
      <c r="C2311" s="28" t="s">
        <v>3125</v>
      </c>
      <c r="D2311" s="28" t="s">
        <v>3126</v>
      </c>
      <c r="E2311" s="28" t="s">
        <v>211</v>
      </c>
      <c r="F2311" s="28" t="s">
        <v>348</v>
      </c>
      <c r="G2311" s="28" t="s">
        <v>3127</v>
      </c>
      <c r="H2311" s="28">
        <v>8885672</v>
      </c>
      <c r="I2311" s="28">
        <v>269035</v>
      </c>
      <c r="J2311" s="28">
        <v>0.99</v>
      </c>
      <c r="K2311" s="28">
        <v>59</v>
      </c>
      <c r="L2311" s="28">
        <v>1</v>
      </c>
    </row>
    <row r="2312" spans="1:12" ht="14.25" customHeight="1" x14ac:dyDescent="0.2">
      <c r="A2312" s="28">
        <v>2311</v>
      </c>
      <c r="B2312" s="28" t="s">
        <v>1580</v>
      </c>
      <c r="C2312" s="28" t="s">
        <v>3125</v>
      </c>
      <c r="D2312" s="28" t="s">
        <v>3126</v>
      </c>
      <c r="E2312" s="28" t="s">
        <v>211</v>
      </c>
      <c r="F2312" s="28" t="s">
        <v>348</v>
      </c>
      <c r="G2312" s="28" t="s">
        <v>3127</v>
      </c>
      <c r="H2312" s="28">
        <v>9633860</v>
      </c>
      <c r="I2312" s="28">
        <v>296777</v>
      </c>
      <c r="J2312" s="28">
        <v>0.99</v>
      </c>
      <c r="K2312" s="28">
        <v>19</v>
      </c>
      <c r="L2312" s="28">
        <v>1</v>
      </c>
    </row>
    <row r="2313" spans="1:12" ht="14.25" customHeight="1" x14ac:dyDescent="0.2">
      <c r="A2313" s="28">
        <v>2312</v>
      </c>
      <c r="B2313" s="28" t="s">
        <v>3158</v>
      </c>
      <c r="C2313" s="28" t="s">
        <v>3125</v>
      </c>
      <c r="D2313" s="28" t="s">
        <v>3126</v>
      </c>
      <c r="E2313" s="28" t="s">
        <v>211</v>
      </c>
      <c r="F2313" s="28" t="s">
        <v>348</v>
      </c>
      <c r="G2313" s="28" t="s">
        <v>3127</v>
      </c>
      <c r="H2313" s="28">
        <v>6610009</v>
      </c>
      <c r="I2313" s="28">
        <v>199862</v>
      </c>
      <c r="J2313" s="28">
        <v>0.99</v>
      </c>
      <c r="K2313" s="28">
        <v>77</v>
      </c>
      <c r="L2313" s="28">
        <v>0</v>
      </c>
    </row>
    <row r="2314" spans="1:12" ht="14.25" customHeight="1" x14ac:dyDescent="0.2">
      <c r="A2314" s="28">
        <v>2313</v>
      </c>
      <c r="B2314" s="28" t="s">
        <v>3159</v>
      </c>
      <c r="C2314" s="28" t="s">
        <v>3125</v>
      </c>
      <c r="D2314" s="28" t="s">
        <v>3126</v>
      </c>
      <c r="E2314" s="28" t="s">
        <v>211</v>
      </c>
      <c r="F2314" s="28" t="s">
        <v>348</v>
      </c>
      <c r="G2314" s="28" t="s">
        <v>3127</v>
      </c>
      <c r="H2314" s="28">
        <v>7664479</v>
      </c>
      <c r="I2314" s="28">
        <v>230687</v>
      </c>
      <c r="J2314" s="28">
        <v>0.99</v>
      </c>
      <c r="K2314" s="28">
        <v>19</v>
      </c>
      <c r="L2314" s="28">
        <v>1</v>
      </c>
    </row>
    <row r="2315" spans="1:12" ht="14.25" customHeight="1" x14ac:dyDescent="0.2">
      <c r="A2315" s="28">
        <v>2314</v>
      </c>
      <c r="B2315" s="28" t="s">
        <v>3160</v>
      </c>
      <c r="C2315" s="28" t="s">
        <v>3125</v>
      </c>
      <c r="D2315" s="28" t="s">
        <v>3126</v>
      </c>
      <c r="E2315" s="28" t="s">
        <v>211</v>
      </c>
      <c r="F2315" s="28" t="s">
        <v>348</v>
      </c>
      <c r="G2315" s="28" t="s">
        <v>3127</v>
      </c>
      <c r="H2315" s="28">
        <v>8219375</v>
      </c>
      <c r="I2315" s="28">
        <v>247013</v>
      </c>
      <c r="J2315" s="28">
        <v>0.99</v>
      </c>
      <c r="K2315" s="28">
        <v>16</v>
      </c>
      <c r="L2315" s="28">
        <v>0</v>
      </c>
    </row>
    <row r="2316" spans="1:12" ht="14.25" customHeight="1" x14ac:dyDescent="0.2">
      <c r="A2316" s="28">
        <v>2315</v>
      </c>
      <c r="B2316" s="28" t="s">
        <v>3161</v>
      </c>
      <c r="C2316" s="28" t="s">
        <v>3125</v>
      </c>
      <c r="D2316" s="28" t="s">
        <v>3126</v>
      </c>
      <c r="E2316" s="28" t="s">
        <v>211</v>
      </c>
      <c r="F2316" s="28" t="s">
        <v>348</v>
      </c>
      <c r="G2316" s="28" t="s">
        <v>3127</v>
      </c>
      <c r="H2316" s="28">
        <v>6837283</v>
      </c>
      <c r="I2316" s="28">
        <v>208431</v>
      </c>
      <c r="J2316" s="28">
        <v>0.99</v>
      </c>
      <c r="K2316" s="28">
        <v>90</v>
      </c>
      <c r="L2316" s="28">
        <v>0</v>
      </c>
    </row>
    <row r="2317" spans="1:12" ht="14.25" customHeight="1" x14ac:dyDescent="0.2">
      <c r="A2317" s="28">
        <v>2316</v>
      </c>
      <c r="B2317" s="28" t="s">
        <v>3162</v>
      </c>
      <c r="C2317" s="28" t="s">
        <v>3125</v>
      </c>
      <c r="D2317" s="28" t="s">
        <v>3126</v>
      </c>
      <c r="E2317" s="28" t="s">
        <v>211</v>
      </c>
      <c r="F2317" s="28" t="s">
        <v>348</v>
      </c>
      <c r="G2317" s="28" t="s">
        <v>3127</v>
      </c>
      <c r="H2317" s="28">
        <v>7260681</v>
      </c>
      <c r="I2317" s="28">
        <v>220081</v>
      </c>
      <c r="J2317" s="28">
        <v>0.99</v>
      </c>
      <c r="K2317" s="28">
        <v>29</v>
      </c>
      <c r="L2317" s="28">
        <v>1</v>
      </c>
    </row>
    <row r="2318" spans="1:12" ht="14.25" customHeight="1" x14ac:dyDescent="0.2">
      <c r="A2318" s="28">
        <v>2317</v>
      </c>
      <c r="B2318" s="28" t="s">
        <v>3163</v>
      </c>
      <c r="C2318" s="28" t="s">
        <v>3125</v>
      </c>
      <c r="D2318" s="28" t="s">
        <v>3126</v>
      </c>
      <c r="E2318" s="28" t="s">
        <v>211</v>
      </c>
      <c r="F2318" s="28" t="s">
        <v>348</v>
      </c>
      <c r="G2318" s="28" t="s">
        <v>3127</v>
      </c>
      <c r="H2318" s="28">
        <v>8178943</v>
      </c>
      <c r="I2318" s="28">
        <v>249782</v>
      </c>
      <c r="J2318" s="28">
        <v>0.99</v>
      </c>
      <c r="K2318" s="28">
        <v>61</v>
      </c>
      <c r="L2318" s="28">
        <v>2</v>
      </c>
    </row>
    <row r="2319" spans="1:12" ht="14.25" customHeight="1" x14ac:dyDescent="0.2">
      <c r="A2319" s="28">
        <v>2318</v>
      </c>
      <c r="B2319" s="28" t="s">
        <v>3164</v>
      </c>
      <c r="C2319" s="28" t="s">
        <v>3165</v>
      </c>
      <c r="D2319" s="28" t="s">
        <v>3131</v>
      </c>
      <c r="E2319" s="28" t="s">
        <v>211</v>
      </c>
      <c r="F2319" s="28" t="s">
        <v>348</v>
      </c>
      <c r="G2319" s="28" t="s">
        <v>3131</v>
      </c>
      <c r="H2319" s="28">
        <v>7669658</v>
      </c>
      <c r="I2319" s="28">
        <v>233482</v>
      </c>
      <c r="J2319" s="28">
        <v>0.99</v>
      </c>
      <c r="K2319" s="28">
        <v>14</v>
      </c>
      <c r="L2319" s="28">
        <v>1</v>
      </c>
    </row>
    <row r="2320" spans="1:12" ht="14.25" customHeight="1" x14ac:dyDescent="0.2">
      <c r="A2320" s="28">
        <v>2319</v>
      </c>
      <c r="B2320" s="28" t="s">
        <v>3166</v>
      </c>
      <c r="C2320" s="28" t="s">
        <v>3165</v>
      </c>
      <c r="D2320" s="28" t="s">
        <v>3131</v>
      </c>
      <c r="E2320" s="28" t="s">
        <v>211</v>
      </c>
      <c r="F2320" s="28" t="s">
        <v>348</v>
      </c>
      <c r="G2320" s="28" t="s">
        <v>3131</v>
      </c>
      <c r="H2320" s="28">
        <v>8163490</v>
      </c>
      <c r="I2320" s="28">
        <v>245315</v>
      </c>
      <c r="J2320" s="28">
        <v>0.99</v>
      </c>
      <c r="K2320" s="28">
        <v>73</v>
      </c>
      <c r="L2320" s="28">
        <v>1</v>
      </c>
    </row>
    <row r="2321" spans="1:12" ht="14.25" customHeight="1" x14ac:dyDescent="0.2">
      <c r="A2321" s="28">
        <v>2320</v>
      </c>
      <c r="B2321" s="28" t="s">
        <v>3167</v>
      </c>
      <c r="C2321" s="28" t="s">
        <v>3165</v>
      </c>
      <c r="D2321" s="28" t="s">
        <v>3131</v>
      </c>
      <c r="E2321" s="28" t="s">
        <v>211</v>
      </c>
      <c r="F2321" s="28" t="s">
        <v>348</v>
      </c>
      <c r="G2321" s="28" t="s">
        <v>3131</v>
      </c>
      <c r="H2321" s="28">
        <v>6898067</v>
      </c>
      <c r="I2321" s="28">
        <v>208509</v>
      </c>
      <c r="J2321" s="28">
        <v>0.99</v>
      </c>
      <c r="K2321" s="28">
        <v>27</v>
      </c>
      <c r="L2321" s="28">
        <v>1</v>
      </c>
    </row>
    <row r="2322" spans="1:12" ht="14.25" customHeight="1" x14ac:dyDescent="0.2">
      <c r="A2322" s="28">
        <v>2321</v>
      </c>
      <c r="B2322" s="28" t="s">
        <v>3168</v>
      </c>
      <c r="C2322" s="28" t="s">
        <v>3165</v>
      </c>
      <c r="D2322" s="28" t="s">
        <v>3131</v>
      </c>
      <c r="E2322" s="28" t="s">
        <v>211</v>
      </c>
      <c r="F2322" s="28" t="s">
        <v>348</v>
      </c>
      <c r="G2322" s="28" t="s">
        <v>3131</v>
      </c>
      <c r="H2322" s="28">
        <v>6725435</v>
      </c>
      <c r="I2322" s="28">
        <v>203206</v>
      </c>
      <c r="J2322" s="28">
        <v>0.99</v>
      </c>
      <c r="K2322" s="28">
        <v>24</v>
      </c>
      <c r="L2322" s="28">
        <v>1</v>
      </c>
    </row>
    <row r="2323" spans="1:12" ht="14.25" customHeight="1" x14ac:dyDescent="0.2">
      <c r="A2323" s="28">
        <v>2322</v>
      </c>
      <c r="B2323" s="28" t="s">
        <v>3169</v>
      </c>
      <c r="C2323" s="28" t="s">
        <v>3165</v>
      </c>
      <c r="D2323" s="28" t="s">
        <v>3131</v>
      </c>
      <c r="E2323" s="28" t="s">
        <v>211</v>
      </c>
      <c r="F2323" s="28" t="s">
        <v>348</v>
      </c>
      <c r="G2323" s="28" t="s">
        <v>3131</v>
      </c>
      <c r="H2323" s="28">
        <v>6414550</v>
      </c>
      <c r="I2323" s="28">
        <v>194768</v>
      </c>
      <c r="J2323" s="28">
        <v>0.99</v>
      </c>
      <c r="K2323" s="28">
        <v>10</v>
      </c>
      <c r="L2323" s="28">
        <v>2</v>
      </c>
    </row>
    <row r="2324" spans="1:12" ht="14.25" customHeight="1" x14ac:dyDescent="0.2">
      <c r="A2324" s="28">
        <v>2323</v>
      </c>
      <c r="B2324" s="28" t="s">
        <v>3170</v>
      </c>
      <c r="C2324" s="28" t="s">
        <v>3165</v>
      </c>
      <c r="D2324" s="28" t="s">
        <v>3131</v>
      </c>
      <c r="E2324" s="28" t="s">
        <v>211</v>
      </c>
      <c r="F2324" s="28" t="s">
        <v>348</v>
      </c>
      <c r="G2324" s="28" t="s">
        <v>3131</v>
      </c>
      <c r="H2324" s="28">
        <v>9010715</v>
      </c>
      <c r="I2324" s="28">
        <v>272352</v>
      </c>
      <c r="J2324" s="28">
        <v>0.99</v>
      </c>
      <c r="K2324" s="28">
        <v>82</v>
      </c>
      <c r="L2324" s="28">
        <v>1</v>
      </c>
    </row>
    <row r="2325" spans="1:12" ht="14.25" customHeight="1" x14ac:dyDescent="0.2">
      <c r="A2325" s="28">
        <v>2324</v>
      </c>
      <c r="B2325" s="28" t="s">
        <v>3171</v>
      </c>
      <c r="C2325" s="28" t="s">
        <v>3165</v>
      </c>
      <c r="D2325" s="28" t="s">
        <v>3131</v>
      </c>
      <c r="E2325" s="28" t="s">
        <v>211</v>
      </c>
      <c r="F2325" s="28" t="s">
        <v>348</v>
      </c>
      <c r="G2325" s="28" t="s">
        <v>3131</v>
      </c>
      <c r="H2325" s="28">
        <v>7577754</v>
      </c>
      <c r="I2325" s="28">
        <v>229929</v>
      </c>
      <c r="J2325" s="28">
        <v>0.99</v>
      </c>
      <c r="K2325" s="28">
        <v>21</v>
      </c>
      <c r="L2325" s="28">
        <v>1</v>
      </c>
    </row>
    <row r="2326" spans="1:12" ht="14.25" customHeight="1" x14ac:dyDescent="0.2">
      <c r="A2326" s="28">
        <v>2325</v>
      </c>
      <c r="B2326" s="28" t="s">
        <v>3172</v>
      </c>
      <c r="C2326" s="28" t="s">
        <v>3165</v>
      </c>
      <c r="D2326" s="28" t="s">
        <v>3131</v>
      </c>
      <c r="E2326" s="28" t="s">
        <v>211</v>
      </c>
      <c r="F2326" s="28" t="s">
        <v>348</v>
      </c>
      <c r="G2326" s="28" t="s">
        <v>3131</v>
      </c>
      <c r="H2326" s="28">
        <v>7422425</v>
      </c>
      <c r="I2326" s="28">
        <v>225671</v>
      </c>
      <c r="J2326" s="28">
        <v>0.99</v>
      </c>
      <c r="K2326" s="28">
        <v>48</v>
      </c>
      <c r="L2326" s="28">
        <v>1</v>
      </c>
    </row>
    <row r="2327" spans="1:12" ht="14.25" customHeight="1" x14ac:dyDescent="0.2">
      <c r="A2327" s="28">
        <v>2326</v>
      </c>
      <c r="B2327" s="28" t="s">
        <v>3173</v>
      </c>
      <c r="C2327" s="28" t="s">
        <v>3165</v>
      </c>
      <c r="D2327" s="28" t="s">
        <v>3131</v>
      </c>
      <c r="E2327" s="28" t="s">
        <v>211</v>
      </c>
      <c r="F2327" s="28" t="s">
        <v>348</v>
      </c>
      <c r="G2327" s="28" t="s">
        <v>3131</v>
      </c>
      <c r="H2327" s="28">
        <v>7285936</v>
      </c>
      <c r="I2327" s="28">
        <v>220630</v>
      </c>
      <c r="J2327" s="28">
        <v>0.99</v>
      </c>
      <c r="K2327" s="28">
        <v>33</v>
      </c>
      <c r="L2327" s="28">
        <v>1</v>
      </c>
    </row>
    <row r="2328" spans="1:12" ht="14.25" customHeight="1" x14ac:dyDescent="0.2">
      <c r="A2328" s="28">
        <v>2327</v>
      </c>
      <c r="B2328" s="28" t="s">
        <v>3174</v>
      </c>
      <c r="C2328" s="28" t="s">
        <v>3165</v>
      </c>
      <c r="D2328" s="28" t="s">
        <v>3131</v>
      </c>
      <c r="E2328" s="28" t="s">
        <v>211</v>
      </c>
      <c r="F2328" s="28" t="s">
        <v>348</v>
      </c>
      <c r="G2328" s="28" t="s">
        <v>3131</v>
      </c>
      <c r="H2328" s="28">
        <v>6779076</v>
      </c>
      <c r="I2328" s="28">
        <v>204747</v>
      </c>
      <c r="J2328" s="28">
        <v>0.99</v>
      </c>
      <c r="K2328" s="28">
        <v>43</v>
      </c>
      <c r="L2328" s="28">
        <v>0</v>
      </c>
    </row>
    <row r="2329" spans="1:12" ht="14.25" customHeight="1" x14ac:dyDescent="0.2">
      <c r="A2329" s="28">
        <v>2328</v>
      </c>
      <c r="B2329" s="28" t="s">
        <v>3175</v>
      </c>
      <c r="C2329" s="28" t="s">
        <v>3165</v>
      </c>
      <c r="D2329" s="28" t="s">
        <v>3131</v>
      </c>
      <c r="E2329" s="28" t="s">
        <v>211</v>
      </c>
      <c r="F2329" s="28" t="s">
        <v>348</v>
      </c>
      <c r="G2329" s="28" t="s">
        <v>3131</v>
      </c>
      <c r="H2329" s="28">
        <v>5676811</v>
      </c>
      <c r="I2329" s="28">
        <v>172016</v>
      </c>
      <c r="J2329" s="28">
        <v>0.99</v>
      </c>
      <c r="K2329" s="28">
        <v>33</v>
      </c>
      <c r="L2329" s="28">
        <v>2</v>
      </c>
    </row>
    <row r="2330" spans="1:12" ht="14.25" customHeight="1" x14ac:dyDescent="0.2">
      <c r="A2330" s="28">
        <v>2329</v>
      </c>
      <c r="B2330" s="28" t="s">
        <v>3176</v>
      </c>
      <c r="C2330" s="28" t="s">
        <v>3165</v>
      </c>
      <c r="D2330" s="28" t="s">
        <v>3131</v>
      </c>
      <c r="E2330" s="28" t="s">
        <v>211</v>
      </c>
      <c r="F2330" s="28" t="s">
        <v>348</v>
      </c>
      <c r="G2330" s="28" t="s">
        <v>3131</v>
      </c>
      <c r="H2330" s="28">
        <v>7542929</v>
      </c>
      <c r="I2330" s="28">
        <v>227709</v>
      </c>
      <c r="J2330" s="28">
        <v>0.99</v>
      </c>
      <c r="K2330" s="28">
        <v>75</v>
      </c>
      <c r="L2330" s="28">
        <v>2</v>
      </c>
    </row>
    <row r="2331" spans="1:12" ht="14.25" customHeight="1" x14ac:dyDescent="0.2">
      <c r="A2331" s="28">
        <v>2330</v>
      </c>
      <c r="B2331" s="28" t="s">
        <v>3177</v>
      </c>
      <c r="C2331" s="28" t="s">
        <v>3165</v>
      </c>
      <c r="D2331" s="28" t="s">
        <v>3131</v>
      </c>
      <c r="E2331" s="28" t="s">
        <v>211</v>
      </c>
      <c r="F2331" s="28" t="s">
        <v>348</v>
      </c>
      <c r="G2331" s="28" t="s">
        <v>3131</v>
      </c>
      <c r="H2331" s="28">
        <v>8591057</v>
      </c>
      <c r="I2331" s="28">
        <v>260623</v>
      </c>
      <c r="J2331" s="28">
        <v>0.99</v>
      </c>
      <c r="K2331" s="28">
        <v>56</v>
      </c>
      <c r="L2331" s="28">
        <v>1</v>
      </c>
    </row>
    <row r="2332" spans="1:12" ht="14.25" customHeight="1" x14ac:dyDescent="0.2">
      <c r="A2332" s="28">
        <v>2331</v>
      </c>
      <c r="B2332" s="28" t="s">
        <v>3178</v>
      </c>
      <c r="C2332" s="28" t="s">
        <v>3165</v>
      </c>
      <c r="D2332" s="28" t="s">
        <v>3131</v>
      </c>
      <c r="E2332" s="28" t="s">
        <v>211</v>
      </c>
      <c r="F2332" s="28" t="s">
        <v>348</v>
      </c>
      <c r="G2332" s="28" t="s">
        <v>3131</v>
      </c>
      <c r="H2332" s="28">
        <v>6495125</v>
      </c>
      <c r="I2332" s="28">
        <v>197355</v>
      </c>
      <c r="J2332" s="28">
        <v>0.99</v>
      </c>
      <c r="K2332" s="28">
        <v>41</v>
      </c>
      <c r="L2332" s="28">
        <v>0</v>
      </c>
    </row>
    <row r="2333" spans="1:12" ht="14.25" customHeight="1" x14ac:dyDescent="0.2">
      <c r="A2333" s="28">
        <v>2332</v>
      </c>
      <c r="B2333" s="28" t="s">
        <v>3179</v>
      </c>
      <c r="C2333" s="28" t="s">
        <v>3165</v>
      </c>
      <c r="D2333" s="28" t="s">
        <v>3131</v>
      </c>
      <c r="E2333" s="28" t="s">
        <v>211</v>
      </c>
      <c r="F2333" s="28" t="s">
        <v>348</v>
      </c>
      <c r="G2333" s="28" t="s">
        <v>3131</v>
      </c>
      <c r="H2333" s="28">
        <v>7574856</v>
      </c>
      <c r="I2333" s="28">
        <v>229276</v>
      </c>
      <c r="J2333" s="28">
        <v>0.99</v>
      </c>
      <c r="K2333" s="28">
        <v>61</v>
      </c>
      <c r="L2333" s="28">
        <v>1</v>
      </c>
    </row>
    <row r="2334" spans="1:12" ht="14.25" customHeight="1" x14ac:dyDescent="0.2">
      <c r="A2334" s="28">
        <v>2333</v>
      </c>
      <c r="B2334" s="28" t="s">
        <v>3180</v>
      </c>
      <c r="C2334" s="28" t="s">
        <v>3165</v>
      </c>
      <c r="D2334" s="28" t="s">
        <v>3131</v>
      </c>
      <c r="E2334" s="28" t="s">
        <v>211</v>
      </c>
      <c r="F2334" s="28" t="s">
        <v>348</v>
      </c>
      <c r="G2334" s="28" t="s">
        <v>3131</v>
      </c>
      <c r="H2334" s="28">
        <v>7998987</v>
      </c>
      <c r="I2334" s="28">
        <v>244819</v>
      </c>
      <c r="J2334" s="28">
        <v>0.99</v>
      </c>
      <c r="K2334" s="28">
        <v>3</v>
      </c>
      <c r="L2334" s="28">
        <v>1</v>
      </c>
    </row>
    <row r="2335" spans="1:12" ht="14.25" customHeight="1" x14ac:dyDescent="0.2">
      <c r="A2335" s="28">
        <v>2334</v>
      </c>
      <c r="B2335" s="28" t="s">
        <v>3181</v>
      </c>
      <c r="C2335" s="28" t="s">
        <v>3182</v>
      </c>
      <c r="D2335" s="28" t="s">
        <v>3183</v>
      </c>
      <c r="E2335" s="28" t="s">
        <v>211</v>
      </c>
      <c r="F2335" s="28" t="s">
        <v>348</v>
      </c>
      <c r="G2335" s="28" t="s">
        <v>3184</v>
      </c>
      <c r="H2335" s="28">
        <v>4503299</v>
      </c>
      <c r="I2335" s="28">
        <v>138266</v>
      </c>
      <c r="J2335" s="28">
        <v>0.99</v>
      </c>
      <c r="K2335" s="28">
        <v>29</v>
      </c>
      <c r="L2335" s="28">
        <v>1</v>
      </c>
    </row>
    <row r="2336" spans="1:12" ht="14.25" customHeight="1" x14ac:dyDescent="0.2">
      <c r="A2336" s="28">
        <v>2335</v>
      </c>
      <c r="B2336" s="28" t="s">
        <v>3185</v>
      </c>
      <c r="C2336" s="28" t="s">
        <v>3182</v>
      </c>
      <c r="D2336" s="28" t="s">
        <v>3183</v>
      </c>
      <c r="E2336" s="28" t="s">
        <v>211</v>
      </c>
      <c r="F2336" s="28" t="s">
        <v>348</v>
      </c>
      <c r="G2336" s="28" t="s">
        <v>3184</v>
      </c>
      <c r="H2336" s="28">
        <v>4622064</v>
      </c>
      <c r="I2336" s="28">
        <v>142132</v>
      </c>
      <c r="J2336" s="28">
        <v>0.99</v>
      </c>
      <c r="K2336" s="28">
        <v>55</v>
      </c>
      <c r="L2336" s="28">
        <v>1</v>
      </c>
    </row>
    <row r="2337" spans="1:12" ht="14.25" customHeight="1" x14ac:dyDescent="0.2">
      <c r="A2337" s="28">
        <v>2336</v>
      </c>
      <c r="B2337" s="28" t="s">
        <v>3186</v>
      </c>
      <c r="C2337" s="28" t="s">
        <v>3182</v>
      </c>
      <c r="D2337" s="28" t="s">
        <v>3183</v>
      </c>
      <c r="E2337" s="28" t="s">
        <v>211</v>
      </c>
      <c r="F2337" s="28" t="s">
        <v>348</v>
      </c>
      <c r="G2337" s="28" t="s">
        <v>3184</v>
      </c>
      <c r="H2337" s="28">
        <v>3995022</v>
      </c>
      <c r="I2337" s="28">
        <v>121652</v>
      </c>
      <c r="J2337" s="28">
        <v>0.99</v>
      </c>
      <c r="K2337" s="28">
        <v>44</v>
      </c>
      <c r="L2337" s="28">
        <v>1</v>
      </c>
    </row>
    <row r="2338" spans="1:12" ht="14.25" customHeight="1" x14ac:dyDescent="0.2">
      <c r="A2338" s="28">
        <v>2337</v>
      </c>
      <c r="B2338" s="28" t="s">
        <v>3187</v>
      </c>
      <c r="C2338" s="28" t="s">
        <v>3182</v>
      </c>
      <c r="D2338" s="28" t="s">
        <v>3183</v>
      </c>
      <c r="E2338" s="28" t="s">
        <v>211</v>
      </c>
      <c r="F2338" s="28" t="s">
        <v>348</v>
      </c>
      <c r="G2338" s="28" t="s">
        <v>3184</v>
      </c>
      <c r="H2338" s="28">
        <v>4166652</v>
      </c>
      <c r="I2338" s="28">
        <v>126040</v>
      </c>
      <c r="J2338" s="28">
        <v>0.99</v>
      </c>
      <c r="K2338" s="28">
        <v>3</v>
      </c>
      <c r="L2338" s="28">
        <v>0</v>
      </c>
    </row>
    <row r="2339" spans="1:12" ht="14.25" customHeight="1" x14ac:dyDescent="0.2">
      <c r="A2339" s="28">
        <v>2338</v>
      </c>
      <c r="B2339" s="28" t="s">
        <v>3188</v>
      </c>
      <c r="C2339" s="28" t="s">
        <v>3182</v>
      </c>
      <c r="D2339" s="28" t="s">
        <v>3183</v>
      </c>
      <c r="E2339" s="28" t="s">
        <v>211</v>
      </c>
      <c r="F2339" s="28" t="s">
        <v>348</v>
      </c>
      <c r="G2339" s="28" t="s">
        <v>3184</v>
      </c>
      <c r="H2339" s="28">
        <v>5873778</v>
      </c>
      <c r="I2339" s="28">
        <v>180035</v>
      </c>
      <c r="J2339" s="28">
        <v>0.99</v>
      </c>
      <c r="K2339" s="28">
        <v>31</v>
      </c>
      <c r="L2339" s="28">
        <v>0</v>
      </c>
    </row>
    <row r="2340" spans="1:12" ht="14.25" customHeight="1" x14ac:dyDescent="0.2">
      <c r="A2340" s="28">
        <v>2339</v>
      </c>
      <c r="B2340" s="28" t="s">
        <v>3189</v>
      </c>
      <c r="C2340" s="28" t="s">
        <v>3182</v>
      </c>
      <c r="D2340" s="28" t="s">
        <v>3183</v>
      </c>
      <c r="E2340" s="28" t="s">
        <v>211</v>
      </c>
      <c r="F2340" s="28" t="s">
        <v>348</v>
      </c>
      <c r="G2340" s="28" t="s">
        <v>3184</v>
      </c>
      <c r="H2340" s="28">
        <v>6395490</v>
      </c>
      <c r="I2340" s="28">
        <v>195578</v>
      </c>
      <c r="J2340" s="28">
        <v>0.99</v>
      </c>
      <c r="K2340" s="28">
        <v>31</v>
      </c>
      <c r="L2340" s="28">
        <v>1</v>
      </c>
    </row>
    <row r="2341" spans="1:12" ht="14.25" customHeight="1" x14ac:dyDescent="0.2">
      <c r="A2341" s="28">
        <v>2340</v>
      </c>
      <c r="B2341" s="28" t="s">
        <v>3190</v>
      </c>
      <c r="C2341" s="28" t="s">
        <v>3182</v>
      </c>
      <c r="D2341" s="28" t="s">
        <v>3183</v>
      </c>
      <c r="E2341" s="28" t="s">
        <v>211</v>
      </c>
      <c r="F2341" s="28" t="s">
        <v>348</v>
      </c>
      <c r="G2341" s="28" t="s">
        <v>3184</v>
      </c>
      <c r="H2341" s="28">
        <v>9618499</v>
      </c>
      <c r="I2341" s="28">
        <v>293276</v>
      </c>
      <c r="J2341" s="28">
        <v>0.99</v>
      </c>
      <c r="K2341" s="28">
        <v>67</v>
      </c>
      <c r="L2341" s="28">
        <v>2</v>
      </c>
    </row>
    <row r="2342" spans="1:12" ht="14.25" customHeight="1" x14ac:dyDescent="0.2">
      <c r="A2342" s="28">
        <v>2341</v>
      </c>
      <c r="B2342" s="28" t="s">
        <v>3191</v>
      </c>
      <c r="C2342" s="28" t="s">
        <v>3182</v>
      </c>
      <c r="D2342" s="28" t="s">
        <v>3183</v>
      </c>
      <c r="E2342" s="28" t="s">
        <v>211</v>
      </c>
      <c r="F2342" s="28" t="s">
        <v>348</v>
      </c>
      <c r="G2342" s="28" t="s">
        <v>3184</v>
      </c>
      <c r="H2342" s="28">
        <v>8130636</v>
      </c>
      <c r="I2342" s="28">
        <v>249051</v>
      </c>
      <c r="J2342" s="28">
        <v>0.99</v>
      </c>
      <c r="K2342" s="28">
        <v>3</v>
      </c>
      <c r="L2342" s="28">
        <v>1</v>
      </c>
    </row>
    <row r="2343" spans="1:12" ht="14.25" customHeight="1" x14ac:dyDescent="0.2">
      <c r="A2343" s="28">
        <v>2342</v>
      </c>
      <c r="B2343" s="28" t="s">
        <v>3192</v>
      </c>
      <c r="C2343" s="28" t="s">
        <v>3182</v>
      </c>
      <c r="D2343" s="28" t="s">
        <v>3183</v>
      </c>
      <c r="E2343" s="28" t="s">
        <v>211</v>
      </c>
      <c r="F2343" s="28" t="s">
        <v>348</v>
      </c>
      <c r="G2343" s="28" t="s">
        <v>3184</v>
      </c>
      <c r="H2343" s="28">
        <v>5164837</v>
      </c>
      <c r="I2343" s="28">
        <v>158589</v>
      </c>
      <c r="J2343" s="28">
        <v>0.99</v>
      </c>
      <c r="K2343" s="28">
        <v>62</v>
      </c>
      <c r="L2343" s="28">
        <v>0</v>
      </c>
    </row>
    <row r="2344" spans="1:12" ht="14.25" customHeight="1" x14ac:dyDescent="0.2">
      <c r="A2344" s="28">
        <v>2343</v>
      </c>
      <c r="B2344" s="28" t="s">
        <v>3193</v>
      </c>
      <c r="C2344" s="28" t="s">
        <v>3182</v>
      </c>
      <c r="D2344" s="28" t="s">
        <v>3183</v>
      </c>
      <c r="E2344" s="28" t="s">
        <v>211</v>
      </c>
      <c r="F2344" s="28" t="s">
        <v>348</v>
      </c>
      <c r="G2344" s="28" t="s">
        <v>3184</v>
      </c>
      <c r="H2344" s="28">
        <v>4396466</v>
      </c>
      <c r="I2344" s="28">
        <v>133851</v>
      </c>
      <c r="J2344" s="28">
        <v>0.99</v>
      </c>
      <c r="K2344" s="28">
        <v>81</v>
      </c>
      <c r="L2344" s="28">
        <v>0</v>
      </c>
    </row>
    <row r="2345" spans="1:12" ht="14.25" customHeight="1" x14ac:dyDescent="0.2">
      <c r="A2345" s="28">
        <v>2344</v>
      </c>
      <c r="B2345" s="28" t="s">
        <v>3194</v>
      </c>
      <c r="C2345" s="28" t="s">
        <v>3195</v>
      </c>
      <c r="D2345" s="28" t="s">
        <v>3195</v>
      </c>
      <c r="E2345" s="28" t="s">
        <v>211</v>
      </c>
      <c r="F2345" s="28" t="s">
        <v>212</v>
      </c>
      <c r="G2345" s="28"/>
      <c r="H2345" s="28">
        <v>6628067</v>
      </c>
      <c r="I2345" s="28">
        <v>203206</v>
      </c>
      <c r="J2345" s="28">
        <v>0.99</v>
      </c>
      <c r="K2345" s="28">
        <v>37</v>
      </c>
      <c r="L2345" s="28">
        <v>1</v>
      </c>
    </row>
    <row r="2346" spans="1:12" ht="14.25" customHeight="1" x14ac:dyDescent="0.2">
      <c r="A2346" s="28">
        <v>2345</v>
      </c>
      <c r="B2346" s="28" t="s">
        <v>3196</v>
      </c>
      <c r="C2346" s="28" t="s">
        <v>3195</v>
      </c>
      <c r="D2346" s="28" t="s">
        <v>3195</v>
      </c>
      <c r="E2346" s="28" t="s">
        <v>211</v>
      </c>
      <c r="F2346" s="28" t="s">
        <v>212</v>
      </c>
      <c r="G2346" s="28"/>
      <c r="H2346" s="28">
        <v>8586678</v>
      </c>
      <c r="I2346" s="28">
        <v>261720</v>
      </c>
      <c r="J2346" s="28">
        <v>0.99</v>
      </c>
      <c r="K2346" s="28">
        <v>5</v>
      </c>
      <c r="L2346" s="28">
        <v>1</v>
      </c>
    </row>
    <row r="2347" spans="1:12" ht="14.25" customHeight="1" x14ac:dyDescent="0.2">
      <c r="A2347" s="28">
        <v>2346</v>
      </c>
      <c r="B2347" s="28" t="s">
        <v>3197</v>
      </c>
      <c r="C2347" s="28" t="s">
        <v>3195</v>
      </c>
      <c r="D2347" s="28" t="s">
        <v>3195</v>
      </c>
      <c r="E2347" s="28" t="s">
        <v>211</v>
      </c>
      <c r="F2347" s="28" t="s">
        <v>212</v>
      </c>
      <c r="G2347" s="28"/>
      <c r="H2347" s="28">
        <v>5836953</v>
      </c>
      <c r="I2347" s="28">
        <v>177606</v>
      </c>
      <c r="J2347" s="28">
        <v>0.99</v>
      </c>
      <c r="K2347" s="28">
        <v>90</v>
      </c>
      <c r="L2347" s="28">
        <v>1</v>
      </c>
    </row>
    <row r="2348" spans="1:12" ht="14.25" customHeight="1" x14ac:dyDescent="0.2">
      <c r="A2348" s="28">
        <v>2347</v>
      </c>
      <c r="B2348" s="28" t="s">
        <v>3198</v>
      </c>
      <c r="C2348" s="28" t="s">
        <v>3195</v>
      </c>
      <c r="D2348" s="28" t="s">
        <v>3195</v>
      </c>
      <c r="E2348" s="28" t="s">
        <v>211</v>
      </c>
      <c r="F2348" s="28" t="s">
        <v>212</v>
      </c>
      <c r="G2348" s="28"/>
      <c r="H2348" s="28">
        <v>6315187</v>
      </c>
      <c r="I2348" s="28">
        <v>192679</v>
      </c>
      <c r="J2348" s="28">
        <v>0.99</v>
      </c>
      <c r="K2348" s="28">
        <v>45</v>
      </c>
      <c r="L2348" s="28">
        <v>0</v>
      </c>
    </row>
    <row r="2349" spans="1:12" ht="14.25" customHeight="1" x14ac:dyDescent="0.2">
      <c r="A2349" s="28">
        <v>2348</v>
      </c>
      <c r="B2349" s="28" t="s">
        <v>3199</v>
      </c>
      <c r="C2349" s="28" t="s">
        <v>3195</v>
      </c>
      <c r="D2349" s="28" t="s">
        <v>3195</v>
      </c>
      <c r="E2349" s="28" t="s">
        <v>211</v>
      </c>
      <c r="F2349" s="28" t="s">
        <v>212</v>
      </c>
      <c r="G2349" s="28"/>
      <c r="H2349" s="28">
        <v>7657732</v>
      </c>
      <c r="I2349" s="28">
        <v>232515</v>
      </c>
      <c r="J2349" s="28">
        <v>0.99</v>
      </c>
      <c r="K2349" s="28">
        <v>71</v>
      </c>
      <c r="L2349" s="28">
        <v>1</v>
      </c>
    </row>
    <row r="2350" spans="1:12" ht="14.25" customHeight="1" x14ac:dyDescent="0.2">
      <c r="A2350" s="28">
        <v>2349</v>
      </c>
      <c r="B2350" s="28" t="s">
        <v>3200</v>
      </c>
      <c r="C2350" s="28" t="s">
        <v>3195</v>
      </c>
      <c r="D2350" s="28" t="s">
        <v>3195</v>
      </c>
      <c r="E2350" s="28" t="s">
        <v>211</v>
      </c>
      <c r="F2350" s="28" t="s">
        <v>212</v>
      </c>
      <c r="G2350" s="28"/>
      <c r="H2350" s="28">
        <v>4690029</v>
      </c>
      <c r="I2350" s="28">
        <v>142602</v>
      </c>
      <c r="J2350" s="28">
        <v>0.99</v>
      </c>
      <c r="K2350" s="28">
        <v>62</v>
      </c>
      <c r="L2350" s="28">
        <v>0</v>
      </c>
    </row>
    <row r="2351" spans="1:12" ht="14.25" customHeight="1" x14ac:dyDescent="0.2">
      <c r="A2351" s="28">
        <v>2350</v>
      </c>
      <c r="B2351" s="28" t="s">
        <v>3201</v>
      </c>
      <c r="C2351" s="28" t="s">
        <v>3195</v>
      </c>
      <c r="D2351" s="28" t="s">
        <v>3195</v>
      </c>
      <c r="E2351" s="28" t="s">
        <v>211</v>
      </c>
      <c r="F2351" s="28" t="s">
        <v>212</v>
      </c>
      <c r="G2351" s="28"/>
      <c r="H2351" s="28">
        <v>6507301</v>
      </c>
      <c r="I2351" s="28">
        <v>196702</v>
      </c>
      <c r="J2351" s="28">
        <v>0.99</v>
      </c>
      <c r="K2351" s="28">
        <v>70</v>
      </c>
      <c r="L2351" s="28">
        <v>1</v>
      </c>
    </row>
    <row r="2352" spans="1:12" ht="14.25" customHeight="1" x14ac:dyDescent="0.2">
      <c r="A2352" s="28">
        <v>2351</v>
      </c>
      <c r="B2352" s="28" t="s">
        <v>3202</v>
      </c>
      <c r="C2352" s="28" t="s">
        <v>3195</v>
      </c>
      <c r="D2352" s="28" t="s">
        <v>3195</v>
      </c>
      <c r="E2352" s="28" t="s">
        <v>211</v>
      </c>
      <c r="F2352" s="28" t="s">
        <v>212</v>
      </c>
      <c r="G2352" s="28"/>
      <c r="H2352" s="28">
        <v>4449772</v>
      </c>
      <c r="I2352" s="28">
        <v>134896</v>
      </c>
      <c r="J2352" s="28">
        <v>0.99</v>
      </c>
      <c r="K2352" s="28">
        <v>84</v>
      </c>
      <c r="L2352" s="28">
        <v>1</v>
      </c>
    </row>
    <row r="2353" spans="1:12" ht="14.25" customHeight="1" x14ac:dyDescent="0.2">
      <c r="A2353" s="28">
        <v>2352</v>
      </c>
      <c r="B2353" s="28" t="s">
        <v>3203</v>
      </c>
      <c r="C2353" s="28" t="s">
        <v>3195</v>
      </c>
      <c r="D2353" s="28" t="s">
        <v>3195</v>
      </c>
      <c r="E2353" s="28" t="s">
        <v>211</v>
      </c>
      <c r="F2353" s="28" t="s">
        <v>212</v>
      </c>
      <c r="G2353" s="28"/>
      <c r="H2353" s="28">
        <v>5620058</v>
      </c>
      <c r="I2353" s="28">
        <v>165067</v>
      </c>
      <c r="J2353" s="28">
        <v>0.99</v>
      </c>
      <c r="K2353" s="28">
        <v>18</v>
      </c>
      <c r="L2353" s="28">
        <v>2</v>
      </c>
    </row>
    <row r="2354" spans="1:12" ht="14.25" customHeight="1" x14ac:dyDescent="0.2">
      <c r="A2354" s="28">
        <v>2353</v>
      </c>
      <c r="B2354" s="28" t="s">
        <v>3204</v>
      </c>
      <c r="C2354" s="28" t="s">
        <v>3195</v>
      </c>
      <c r="D2354" s="28" t="s">
        <v>3195</v>
      </c>
      <c r="E2354" s="28" t="s">
        <v>211</v>
      </c>
      <c r="F2354" s="28" t="s">
        <v>212</v>
      </c>
      <c r="G2354" s="28"/>
      <c r="H2354" s="28">
        <v>6775101</v>
      </c>
      <c r="I2354" s="28">
        <v>206053</v>
      </c>
      <c r="J2354" s="28">
        <v>0.99</v>
      </c>
      <c r="K2354" s="28">
        <v>58</v>
      </c>
      <c r="L2354" s="28">
        <v>0</v>
      </c>
    </row>
    <row r="2355" spans="1:12" ht="14.25" customHeight="1" x14ac:dyDescent="0.2">
      <c r="A2355" s="28">
        <v>2354</v>
      </c>
      <c r="B2355" s="28" t="s">
        <v>3205</v>
      </c>
      <c r="C2355" s="28" t="s">
        <v>3195</v>
      </c>
      <c r="D2355" s="28" t="s">
        <v>3195</v>
      </c>
      <c r="E2355" s="28" t="s">
        <v>211</v>
      </c>
      <c r="F2355" s="28" t="s">
        <v>212</v>
      </c>
      <c r="G2355" s="28"/>
      <c r="H2355" s="28">
        <v>5826775</v>
      </c>
      <c r="I2355" s="28">
        <v>175464</v>
      </c>
      <c r="J2355" s="28">
        <v>0.99</v>
      </c>
      <c r="K2355" s="28">
        <v>86</v>
      </c>
      <c r="L2355" s="28">
        <v>0</v>
      </c>
    </row>
    <row r="2356" spans="1:12" ht="14.25" customHeight="1" x14ac:dyDescent="0.2">
      <c r="A2356" s="28">
        <v>2355</v>
      </c>
      <c r="B2356" s="28" t="s">
        <v>3206</v>
      </c>
      <c r="C2356" s="28" t="s">
        <v>3195</v>
      </c>
      <c r="D2356" s="28" t="s">
        <v>3195</v>
      </c>
      <c r="E2356" s="28" t="s">
        <v>211</v>
      </c>
      <c r="F2356" s="28" t="s">
        <v>212</v>
      </c>
      <c r="G2356" s="28"/>
      <c r="H2356" s="28">
        <v>8781021</v>
      </c>
      <c r="I2356" s="28">
        <v>268068</v>
      </c>
      <c r="J2356" s="28">
        <v>0.99</v>
      </c>
      <c r="K2356" s="28">
        <v>73</v>
      </c>
      <c r="L2356" s="28">
        <v>0</v>
      </c>
    </row>
    <row r="2357" spans="1:12" ht="14.25" customHeight="1" x14ac:dyDescent="0.2">
      <c r="A2357" s="28">
        <v>2356</v>
      </c>
      <c r="B2357" s="28" t="s">
        <v>3207</v>
      </c>
      <c r="C2357" s="28" t="s">
        <v>3195</v>
      </c>
      <c r="D2357" s="28" t="s">
        <v>3195</v>
      </c>
      <c r="E2357" s="28" t="s">
        <v>211</v>
      </c>
      <c r="F2357" s="28" t="s">
        <v>212</v>
      </c>
      <c r="G2357" s="28"/>
      <c r="H2357" s="28">
        <v>8040563</v>
      </c>
      <c r="I2357" s="28">
        <v>244897</v>
      </c>
      <c r="J2357" s="28">
        <v>0.99</v>
      </c>
      <c r="K2357" s="28">
        <v>50</v>
      </c>
      <c r="L2357" s="28">
        <v>1</v>
      </c>
    </row>
    <row r="2358" spans="1:12" ht="14.25" customHeight="1" x14ac:dyDescent="0.2">
      <c r="A2358" s="28">
        <v>2357</v>
      </c>
      <c r="B2358" s="28" t="s">
        <v>3208</v>
      </c>
      <c r="C2358" s="28" t="s">
        <v>3195</v>
      </c>
      <c r="D2358" s="28" t="s">
        <v>3195</v>
      </c>
      <c r="E2358" s="28" t="s">
        <v>211</v>
      </c>
      <c r="F2358" s="28" t="s">
        <v>212</v>
      </c>
      <c r="G2358" s="28"/>
      <c r="H2358" s="28">
        <v>7591945</v>
      </c>
      <c r="I2358" s="28">
        <v>231836</v>
      </c>
      <c r="J2358" s="28">
        <v>0.99</v>
      </c>
      <c r="K2358" s="28">
        <v>44</v>
      </c>
      <c r="L2358" s="28">
        <v>1</v>
      </c>
    </row>
    <row r="2359" spans="1:12" ht="14.25" customHeight="1" x14ac:dyDescent="0.2">
      <c r="A2359" s="28">
        <v>2358</v>
      </c>
      <c r="B2359" s="28" t="s">
        <v>3209</v>
      </c>
      <c r="C2359" s="28" t="s">
        <v>3210</v>
      </c>
      <c r="D2359" s="28" t="s">
        <v>3211</v>
      </c>
      <c r="E2359" s="28" t="s">
        <v>211</v>
      </c>
      <c r="F2359" s="28" t="s">
        <v>348</v>
      </c>
      <c r="G2359" s="28" t="s">
        <v>3212</v>
      </c>
      <c r="H2359" s="28">
        <v>8148266</v>
      </c>
      <c r="I2359" s="28">
        <v>243591</v>
      </c>
      <c r="J2359" s="28">
        <v>0.99</v>
      </c>
      <c r="K2359" s="28">
        <v>23</v>
      </c>
      <c r="L2359" s="28">
        <v>1</v>
      </c>
    </row>
    <row r="2360" spans="1:12" ht="14.25" customHeight="1" x14ac:dyDescent="0.2">
      <c r="A2360" s="28">
        <v>2359</v>
      </c>
      <c r="B2360" s="28" t="s">
        <v>3213</v>
      </c>
      <c r="C2360" s="28" t="s">
        <v>3210</v>
      </c>
      <c r="D2360" s="28" t="s">
        <v>3211</v>
      </c>
      <c r="E2360" s="28" t="s">
        <v>211</v>
      </c>
      <c r="F2360" s="28" t="s">
        <v>348</v>
      </c>
      <c r="G2360" s="28" t="s">
        <v>3212</v>
      </c>
      <c r="H2360" s="28">
        <v>7199175</v>
      </c>
      <c r="I2360" s="28">
        <v>216790</v>
      </c>
      <c r="J2360" s="28">
        <v>0.99</v>
      </c>
      <c r="K2360" s="28">
        <v>92</v>
      </c>
      <c r="L2360" s="28">
        <v>1</v>
      </c>
    </row>
    <row r="2361" spans="1:12" ht="14.25" customHeight="1" x14ac:dyDescent="0.2">
      <c r="A2361" s="28">
        <v>2360</v>
      </c>
      <c r="B2361" s="28" t="s">
        <v>3214</v>
      </c>
      <c r="C2361" s="28" t="s">
        <v>3210</v>
      </c>
      <c r="D2361" s="28" t="s">
        <v>3211</v>
      </c>
      <c r="E2361" s="28" t="s">
        <v>211</v>
      </c>
      <c r="F2361" s="28" t="s">
        <v>348</v>
      </c>
      <c r="G2361" s="28" t="s">
        <v>3212</v>
      </c>
      <c r="H2361" s="28">
        <v>9805526</v>
      </c>
      <c r="I2361" s="28">
        <v>295497</v>
      </c>
      <c r="J2361" s="28">
        <v>0.99</v>
      </c>
      <c r="K2361" s="28">
        <v>92</v>
      </c>
      <c r="L2361" s="28">
        <v>0</v>
      </c>
    </row>
    <row r="2362" spans="1:12" ht="14.25" customHeight="1" x14ac:dyDescent="0.2">
      <c r="A2362" s="28">
        <v>2361</v>
      </c>
      <c r="B2362" s="28" t="s">
        <v>3215</v>
      </c>
      <c r="C2362" s="28" t="s">
        <v>3210</v>
      </c>
      <c r="D2362" s="28" t="s">
        <v>3211</v>
      </c>
      <c r="E2362" s="28" t="s">
        <v>211</v>
      </c>
      <c r="F2362" s="28" t="s">
        <v>348</v>
      </c>
      <c r="G2362" s="28" t="s">
        <v>3212</v>
      </c>
      <c r="H2362" s="28">
        <v>10708168</v>
      </c>
      <c r="I2362" s="28">
        <v>323395</v>
      </c>
      <c r="J2362" s="28">
        <v>0.99</v>
      </c>
      <c r="K2362" s="28">
        <v>70</v>
      </c>
      <c r="L2362" s="28">
        <v>0</v>
      </c>
    </row>
    <row r="2363" spans="1:12" ht="14.25" customHeight="1" x14ac:dyDescent="0.2">
      <c r="A2363" s="28">
        <v>2362</v>
      </c>
      <c r="B2363" s="28" t="s">
        <v>3216</v>
      </c>
      <c r="C2363" s="28" t="s">
        <v>3210</v>
      </c>
      <c r="D2363" s="28" t="s">
        <v>3211</v>
      </c>
      <c r="E2363" s="28" t="s">
        <v>211</v>
      </c>
      <c r="F2363" s="28" t="s">
        <v>348</v>
      </c>
      <c r="G2363" s="28" t="s">
        <v>3212</v>
      </c>
      <c r="H2363" s="28">
        <v>7129137</v>
      </c>
      <c r="I2363" s="28">
        <v>217234</v>
      </c>
      <c r="J2363" s="28">
        <v>0.99</v>
      </c>
      <c r="K2363" s="28">
        <v>26</v>
      </c>
      <c r="L2363" s="28">
        <v>1</v>
      </c>
    </row>
    <row r="2364" spans="1:12" ht="14.25" customHeight="1" x14ac:dyDescent="0.2">
      <c r="A2364" s="28">
        <v>2363</v>
      </c>
      <c r="B2364" s="28" t="s">
        <v>3217</v>
      </c>
      <c r="C2364" s="28" t="s">
        <v>3210</v>
      </c>
      <c r="D2364" s="28" t="s">
        <v>3211</v>
      </c>
      <c r="E2364" s="28" t="s">
        <v>211</v>
      </c>
      <c r="F2364" s="28" t="s">
        <v>348</v>
      </c>
      <c r="G2364" s="28" t="s">
        <v>3212</v>
      </c>
      <c r="H2364" s="28">
        <v>8088244</v>
      </c>
      <c r="I2364" s="28">
        <v>244506</v>
      </c>
      <c r="J2364" s="28">
        <v>0.99</v>
      </c>
      <c r="K2364" s="28">
        <v>49</v>
      </c>
      <c r="L2364" s="28">
        <v>1</v>
      </c>
    </row>
    <row r="2365" spans="1:12" ht="14.25" customHeight="1" x14ac:dyDescent="0.2">
      <c r="A2365" s="28">
        <v>2364</v>
      </c>
      <c r="B2365" s="28" t="s">
        <v>3218</v>
      </c>
      <c r="C2365" s="28" t="s">
        <v>3210</v>
      </c>
      <c r="D2365" s="28" t="s">
        <v>3211</v>
      </c>
      <c r="E2365" s="28" t="s">
        <v>211</v>
      </c>
      <c r="F2365" s="28" t="s">
        <v>348</v>
      </c>
      <c r="G2365" s="28" t="s">
        <v>3212</v>
      </c>
      <c r="H2365" s="28">
        <v>7971384</v>
      </c>
      <c r="I2365" s="28">
        <v>240091</v>
      </c>
      <c r="J2365" s="28">
        <v>0.99</v>
      </c>
      <c r="K2365" s="28">
        <v>85</v>
      </c>
      <c r="L2365" s="28">
        <v>1</v>
      </c>
    </row>
    <row r="2366" spans="1:12" ht="14.25" customHeight="1" x14ac:dyDescent="0.2">
      <c r="A2366" s="28">
        <v>2365</v>
      </c>
      <c r="B2366" s="28" t="s">
        <v>3219</v>
      </c>
      <c r="C2366" s="28" t="s">
        <v>3210</v>
      </c>
      <c r="D2366" s="28" t="s">
        <v>3211</v>
      </c>
      <c r="E2366" s="28" t="s">
        <v>211</v>
      </c>
      <c r="F2366" s="28" t="s">
        <v>348</v>
      </c>
      <c r="G2366" s="28" t="s">
        <v>3212</v>
      </c>
      <c r="H2366" s="28">
        <v>8134096</v>
      </c>
      <c r="I2366" s="28">
        <v>248084</v>
      </c>
      <c r="J2366" s="28">
        <v>0.99</v>
      </c>
      <c r="K2366" s="28">
        <v>34</v>
      </c>
      <c r="L2366" s="28">
        <v>0</v>
      </c>
    </row>
    <row r="2367" spans="1:12" ht="14.25" customHeight="1" x14ac:dyDescent="0.2">
      <c r="A2367" s="28">
        <v>2366</v>
      </c>
      <c r="B2367" s="28" t="s">
        <v>3220</v>
      </c>
      <c r="C2367" s="28" t="s">
        <v>3210</v>
      </c>
      <c r="D2367" s="28" t="s">
        <v>3211</v>
      </c>
      <c r="E2367" s="28" t="s">
        <v>211</v>
      </c>
      <c r="F2367" s="28" t="s">
        <v>348</v>
      </c>
      <c r="G2367" s="28" t="s">
        <v>3212</v>
      </c>
      <c r="H2367" s="28">
        <v>9308997</v>
      </c>
      <c r="I2367" s="28">
        <v>283010</v>
      </c>
      <c r="J2367" s="28">
        <v>0.99</v>
      </c>
      <c r="K2367" s="28">
        <v>18</v>
      </c>
      <c r="L2367" s="28">
        <v>0</v>
      </c>
    </row>
    <row r="2368" spans="1:12" ht="14.25" customHeight="1" x14ac:dyDescent="0.2">
      <c r="A2368" s="28">
        <v>2367</v>
      </c>
      <c r="B2368" s="28" t="s">
        <v>3210</v>
      </c>
      <c r="C2368" s="28" t="s">
        <v>3210</v>
      </c>
      <c r="D2368" s="28" t="s">
        <v>3211</v>
      </c>
      <c r="E2368" s="28" t="s">
        <v>211</v>
      </c>
      <c r="F2368" s="28" t="s">
        <v>348</v>
      </c>
      <c r="G2368" s="28" t="s">
        <v>3212</v>
      </c>
      <c r="H2368" s="28">
        <v>8940573</v>
      </c>
      <c r="I2368" s="28">
        <v>271229</v>
      </c>
      <c r="J2368" s="28">
        <v>0.99</v>
      </c>
      <c r="K2368" s="28">
        <v>4</v>
      </c>
      <c r="L2368" s="28">
        <v>0</v>
      </c>
    </row>
    <row r="2369" spans="1:12" ht="14.25" customHeight="1" x14ac:dyDescent="0.2">
      <c r="A2369" s="28">
        <v>2368</v>
      </c>
      <c r="B2369" s="28" t="s">
        <v>3221</v>
      </c>
      <c r="C2369" s="28" t="s">
        <v>3210</v>
      </c>
      <c r="D2369" s="28" t="s">
        <v>3211</v>
      </c>
      <c r="E2369" s="28" t="s">
        <v>211</v>
      </c>
      <c r="F2369" s="28" t="s">
        <v>348</v>
      </c>
      <c r="G2369" s="28" t="s">
        <v>3212</v>
      </c>
      <c r="H2369" s="28">
        <v>8682716</v>
      </c>
      <c r="I2369" s="28">
        <v>264359</v>
      </c>
      <c r="J2369" s="28">
        <v>0.99</v>
      </c>
      <c r="K2369" s="28">
        <v>70</v>
      </c>
      <c r="L2369" s="28">
        <v>2</v>
      </c>
    </row>
    <row r="2370" spans="1:12" ht="14.25" customHeight="1" x14ac:dyDescent="0.2">
      <c r="A2370" s="28">
        <v>2369</v>
      </c>
      <c r="B2370" s="28" t="s">
        <v>3222</v>
      </c>
      <c r="C2370" s="28" t="s">
        <v>3210</v>
      </c>
      <c r="D2370" s="28" t="s">
        <v>3211</v>
      </c>
      <c r="E2370" s="28" t="s">
        <v>211</v>
      </c>
      <c r="F2370" s="28" t="s">
        <v>348</v>
      </c>
      <c r="G2370" s="28" t="s">
        <v>3212</v>
      </c>
      <c r="H2370" s="28">
        <v>8724674</v>
      </c>
      <c r="I2370" s="28">
        <v>265717</v>
      </c>
      <c r="J2370" s="28">
        <v>0.99</v>
      </c>
      <c r="K2370" s="28">
        <v>36</v>
      </c>
      <c r="L2370" s="28">
        <v>1</v>
      </c>
    </row>
    <row r="2371" spans="1:12" ht="14.25" customHeight="1" x14ac:dyDescent="0.2">
      <c r="A2371" s="28">
        <v>2370</v>
      </c>
      <c r="B2371" s="28" t="s">
        <v>3223</v>
      </c>
      <c r="C2371" s="28" t="s">
        <v>3210</v>
      </c>
      <c r="D2371" s="28" t="s">
        <v>3211</v>
      </c>
      <c r="E2371" s="28" t="s">
        <v>211</v>
      </c>
      <c r="F2371" s="28" t="s">
        <v>348</v>
      </c>
      <c r="G2371" s="28" t="s">
        <v>3212</v>
      </c>
      <c r="H2371" s="28">
        <v>9312588</v>
      </c>
      <c r="I2371" s="28">
        <v>282226</v>
      </c>
      <c r="J2371" s="28">
        <v>0.99</v>
      </c>
      <c r="K2371" s="28">
        <v>18</v>
      </c>
      <c r="L2371" s="28">
        <v>0</v>
      </c>
    </row>
    <row r="2372" spans="1:12" ht="14.25" customHeight="1" x14ac:dyDescent="0.2">
      <c r="A2372" s="28">
        <v>2371</v>
      </c>
      <c r="B2372" s="28" t="s">
        <v>3224</v>
      </c>
      <c r="C2372" s="28" t="s">
        <v>3210</v>
      </c>
      <c r="D2372" s="28" t="s">
        <v>3211</v>
      </c>
      <c r="E2372" s="28" t="s">
        <v>211</v>
      </c>
      <c r="F2372" s="28" t="s">
        <v>348</v>
      </c>
      <c r="G2372" s="28" t="s">
        <v>3212</v>
      </c>
      <c r="H2372" s="28">
        <v>6346507</v>
      </c>
      <c r="I2372" s="28">
        <v>193593</v>
      </c>
      <c r="J2372" s="28">
        <v>0.99</v>
      </c>
      <c r="K2372" s="28">
        <v>8</v>
      </c>
      <c r="L2372" s="28">
        <v>0</v>
      </c>
    </row>
    <row r="2373" spans="1:12" ht="14.25" customHeight="1" x14ac:dyDescent="0.2">
      <c r="A2373" s="28">
        <v>2372</v>
      </c>
      <c r="B2373" s="28" t="s">
        <v>3225</v>
      </c>
      <c r="C2373" s="28" t="s">
        <v>3210</v>
      </c>
      <c r="D2373" s="28" t="s">
        <v>3211</v>
      </c>
      <c r="E2373" s="28" t="s">
        <v>211</v>
      </c>
      <c r="F2373" s="28" t="s">
        <v>348</v>
      </c>
      <c r="G2373" s="28" t="s">
        <v>3212</v>
      </c>
      <c r="H2373" s="28">
        <v>9220114</v>
      </c>
      <c r="I2373" s="28">
        <v>279118</v>
      </c>
      <c r="J2373" s="28">
        <v>0.99</v>
      </c>
      <c r="K2373" s="28">
        <v>91</v>
      </c>
      <c r="L2373" s="28">
        <v>0</v>
      </c>
    </row>
    <row r="2374" spans="1:12" ht="14.25" customHeight="1" x14ac:dyDescent="0.2">
      <c r="A2374" s="28">
        <v>2373</v>
      </c>
      <c r="B2374" s="28" t="s">
        <v>3226</v>
      </c>
      <c r="C2374" s="28" t="s">
        <v>3210</v>
      </c>
      <c r="D2374" s="28" t="s">
        <v>3211</v>
      </c>
      <c r="E2374" s="28" t="s">
        <v>211</v>
      </c>
      <c r="F2374" s="28" t="s">
        <v>348</v>
      </c>
      <c r="G2374" s="28" t="s">
        <v>3212</v>
      </c>
      <c r="H2374" s="28">
        <v>16354362</v>
      </c>
      <c r="I2374" s="28">
        <v>496692</v>
      </c>
      <c r="J2374" s="28">
        <v>0.99</v>
      </c>
      <c r="K2374" s="28">
        <v>42</v>
      </c>
      <c r="L2374" s="28">
        <v>1</v>
      </c>
    </row>
    <row r="2375" spans="1:12" ht="14.25" customHeight="1" x14ac:dyDescent="0.2">
      <c r="A2375" s="28">
        <v>2374</v>
      </c>
      <c r="B2375" s="28" t="s">
        <v>3227</v>
      </c>
      <c r="C2375" s="28" t="s">
        <v>3210</v>
      </c>
      <c r="D2375" s="28" t="s">
        <v>3211</v>
      </c>
      <c r="E2375" s="28" t="s">
        <v>211</v>
      </c>
      <c r="F2375" s="28" t="s">
        <v>348</v>
      </c>
      <c r="G2375" s="28" t="s">
        <v>1464</v>
      </c>
      <c r="H2375" s="28">
        <v>2382220</v>
      </c>
      <c r="I2375" s="28">
        <v>71941</v>
      </c>
      <c r="J2375" s="28">
        <v>0.99</v>
      </c>
      <c r="K2375" s="28">
        <v>68</v>
      </c>
      <c r="L2375" s="28">
        <v>1</v>
      </c>
    </row>
    <row r="2376" spans="1:12" ht="14.25" customHeight="1" x14ac:dyDescent="0.2">
      <c r="A2376" s="28">
        <v>2375</v>
      </c>
      <c r="B2376" s="28" t="s">
        <v>3228</v>
      </c>
      <c r="C2376" s="28" t="s">
        <v>3228</v>
      </c>
      <c r="D2376" s="28" t="s">
        <v>3211</v>
      </c>
      <c r="E2376" s="28" t="s">
        <v>211</v>
      </c>
      <c r="F2376" s="28" t="s">
        <v>212</v>
      </c>
      <c r="G2376" s="28" t="s">
        <v>3229</v>
      </c>
      <c r="H2376" s="28">
        <v>7197430</v>
      </c>
      <c r="I2376" s="28">
        <v>218017</v>
      </c>
      <c r="J2376" s="28">
        <v>0.99</v>
      </c>
      <c r="K2376" s="28">
        <v>13</v>
      </c>
      <c r="L2376" s="28">
        <v>1</v>
      </c>
    </row>
    <row r="2377" spans="1:12" ht="14.25" customHeight="1" x14ac:dyDescent="0.2">
      <c r="A2377" s="28">
        <v>2376</v>
      </c>
      <c r="B2377" s="28" t="s">
        <v>3230</v>
      </c>
      <c r="C2377" s="28" t="s">
        <v>3228</v>
      </c>
      <c r="D2377" s="28" t="s">
        <v>3211</v>
      </c>
      <c r="E2377" s="28" t="s">
        <v>211</v>
      </c>
      <c r="F2377" s="28" t="s">
        <v>212</v>
      </c>
      <c r="G2377" s="28" t="s">
        <v>3229</v>
      </c>
      <c r="H2377" s="28">
        <v>8501904</v>
      </c>
      <c r="I2377" s="28">
        <v>259213</v>
      </c>
      <c r="J2377" s="28">
        <v>0.99</v>
      </c>
      <c r="K2377" s="28">
        <v>60</v>
      </c>
      <c r="L2377" s="28">
        <v>0</v>
      </c>
    </row>
    <row r="2378" spans="1:12" ht="14.25" customHeight="1" x14ac:dyDescent="0.2">
      <c r="A2378" s="28">
        <v>2377</v>
      </c>
      <c r="B2378" s="28" t="s">
        <v>3231</v>
      </c>
      <c r="C2378" s="28" t="s">
        <v>3228</v>
      </c>
      <c r="D2378" s="28" t="s">
        <v>3211</v>
      </c>
      <c r="E2378" s="28" t="s">
        <v>211</v>
      </c>
      <c r="F2378" s="28" t="s">
        <v>212</v>
      </c>
      <c r="G2378" s="28" t="s">
        <v>3229</v>
      </c>
      <c r="H2378" s="28">
        <v>8469765</v>
      </c>
      <c r="I2378" s="28">
        <v>257906</v>
      </c>
      <c r="J2378" s="28">
        <v>0.99</v>
      </c>
      <c r="K2378" s="28">
        <v>20</v>
      </c>
      <c r="L2378" s="28">
        <v>1</v>
      </c>
    </row>
    <row r="2379" spans="1:12" ht="14.25" customHeight="1" x14ac:dyDescent="0.2">
      <c r="A2379" s="28">
        <v>2378</v>
      </c>
      <c r="B2379" s="28" t="s">
        <v>3232</v>
      </c>
      <c r="C2379" s="28" t="s">
        <v>3228</v>
      </c>
      <c r="D2379" s="28" t="s">
        <v>3211</v>
      </c>
      <c r="E2379" s="28" t="s">
        <v>211</v>
      </c>
      <c r="F2379" s="28" t="s">
        <v>212</v>
      </c>
      <c r="G2379" s="28" t="s">
        <v>3229</v>
      </c>
      <c r="H2379" s="28">
        <v>10235611</v>
      </c>
      <c r="I2379" s="28">
        <v>312058</v>
      </c>
      <c r="J2379" s="28">
        <v>0.99</v>
      </c>
      <c r="K2379" s="28">
        <v>48</v>
      </c>
      <c r="L2379" s="28">
        <v>0</v>
      </c>
    </row>
    <row r="2380" spans="1:12" ht="14.25" customHeight="1" x14ac:dyDescent="0.2">
      <c r="A2380" s="28">
        <v>2379</v>
      </c>
      <c r="B2380" s="28" t="s">
        <v>3233</v>
      </c>
      <c r="C2380" s="28" t="s">
        <v>3228</v>
      </c>
      <c r="D2380" s="28" t="s">
        <v>3211</v>
      </c>
      <c r="E2380" s="28" t="s">
        <v>211</v>
      </c>
      <c r="F2380" s="28" t="s">
        <v>212</v>
      </c>
      <c r="G2380" s="28" t="s">
        <v>3229</v>
      </c>
      <c r="H2380" s="28">
        <v>9107071</v>
      </c>
      <c r="I2380" s="28">
        <v>277995</v>
      </c>
      <c r="J2380" s="28">
        <v>0.99</v>
      </c>
      <c r="K2380" s="28">
        <v>51</v>
      </c>
      <c r="L2380" s="28">
        <v>0</v>
      </c>
    </row>
    <row r="2381" spans="1:12" ht="14.25" customHeight="1" x14ac:dyDescent="0.2">
      <c r="A2381" s="28">
        <v>2380</v>
      </c>
      <c r="B2381" s="28" t="s">
        <v>3234</v>
      </c>
      <c r="C2381" s="28" t="s">
        <v>3228</v>
      </c>
      <c r="D2381" s="28" t="s">
        <v>3211</v>
      </c>
      <c r="E2381" s="28" t="s">
        <v>211</v>
      </c>
      <c r="F2381" s="28" t="s">
        <v>212</v>
      </c>
      <c r="G2381" s="28" t="s">
        <v>3229</v>
      </c>
      <c r="H2381" s="28">
        <v>7690312</v>
      </c>
      <c r="I2381" s="28">
        <v>232960</v>
      </c>
      <c r="J2381" s="28">
        <v>0.99</v>
      </c>
      <c r="K2381" s="28">
        <v>53</v>
      </c>
      <c r="L2381" s="28">
        <v>1</v>
      </c>
    </row>
    <row r="2382" spans="1:12" ht="14.25" customHeight="1" x14ac:dyDescent="0.2">
      <c r="A2382" s="28">
        <v>2381</v>
      </c>
      <c r="B2382" s="28" t="s">
        <v>3235</v>
      </c>
      <c r="C2382" s="28" t="s">
        <v>3228</v>
      </c>
      <c r="D2382" s="28" t="s">
        <v>3211</v>
      </c>
      <c r="E2382" s="28" t="s">
        <v>211</v>
      </c>
      <c r="F2382" s="28" t="s">
        <v>212</v>
      </c>
      <c r="G2382" s="28" t="s">
        <v>3229</v>
      </c>
      <c r="H2382" s="28">
        <v>8872479</v>
      </c>
      <c r="I2382" s="28">
        <v>269400</v>
      </c>
      <c r="J2382" s="28">
        <v>0.99</v>
      </c>
      <c r="K2382" s="28">
        <v>16</v>
      </c>
      <c r="L2382" s="28">
        <v>1</v>
      </c>
    </row>
    <row r="2383" spans="1:12" ht="14.25" customHeight="1" x14ac:dyDescent="0.2">
      <c r="A2383" s="28">
        <v>2382</v>
      </c>
      <c r="B2383" s="28" t="s">
        <v>3236</v>
      </c>
      <c r="C2383" s="28" t="s">
        <v>3228</v>
      </c>
      <c r="D2383" s="28" t="s">
        <v>3211</v>
      </c>
      <c r="E2383" s="28" t="s">
        <v>211</v>
      </c>
      <c r="F2383" s="28" t="s">
        <v>212</v>
      </c>
      <c r="G2383" s="28" t="s">
        <v>3229</v>
      </c>
      <c r="H2383" s="28">
        <v>6333311</v>
      </c>
      <c r="I2383" s="28">
        <v>193906</v>
      </c>
      <c r="J2383" s="28">
        <v>0.99</v>
      </c>
      <c r="K2383" s="28">
        <v>50</v>
      </c>
      <c r="L2383" s="28">
        <v>1</v>
      </c>
    </row>
    <row r="2384" spans="1:12" ht="14.25" customHeight="1" x14ac:dyDescent="0.2">
      <c r="A2384" s="28">
        <v>2383</v>
      </c>
      <c r="B2384" s="28" t="s">
        <v>857</v>
      </c>
      <c r="C2384" s="28" t="s">
        <v>3228</v>
      </c>
      <c r="D2384" s="28" t="s">
        <v>3211</v>
      </c>
      <c r="E2384" s="28" t="s">
        <v>211</v>
      </c>
      <c r="F2384" s="28" t="s">
        <v>212</v>
      </c>
      <c r="G2384" s="28" t="s">
        <v>3229</v>
      </c>
      <c r="H2384" s="28">
        <v>9702450</v>
      </c>
      <c r="I2384" s="28">
        <v>295810</v>
      </c>
      <c r="J2384" s="28">
        <v>0.99</v>
      </c>
      <c r="K2384" s="28">
        <v>61</v>
      </c>
      <c r="L2384" s="28">
        <v>0</v>
      </c>
    </row>
    <row r="2385" spans="1:12" ht="14.25" customHeight="1" x14ac:dyDescent="0.2">
      <c r="A2385" s="28">
        <v>2384</v>
      </c>
      <c r="B2385" s="28" t="s">
        <v>3237</v>
      </c>
      <c r="C2385" s="28" t="s">
        <v>3228</v>
      </c>
      <c r="D2385" s="28" t="s">
        <v>3211</v>
      </c>
      <c r="E2385" s="28" t="s">
        <v>211</v>
      </c>
      <c r="F2385" s="28" t="s">
        <v>212</v>
      </c>
      <c r="G2385" s="28" t="s">
        <v>3229</v>
      </c>
      <c r="H2385" s="28">
        <v>7483526</v>
      </c>
      <c r="I2385" s="28">
        <v>224574</v>
      </c>
      <c r="J2385" s="28">
        <v>0.99</v>
      </c>
      <c r="K2385" s="28">
        <v>51</v>
      </c>
      <c r="L2385" s="28">
        <v>0</v>
      </c>
    </row>
    <row r="2386" spans="1:12" ht="14.25" customHeight="1" x14ac:dyDescent="0.2">
      <c r="A2386" s="28">
        <v>2385</v>
      </c>
      <c r="B2386" s="28" t="s">
        <v>3238</v>
      </c>
      <c r="C2386" s="28" t="s">
        <v>3228</v>
      </c>
      <c r="D2386" s="28" t="s">
        <v>3211</v>
      </c>
      <c r="E2386" s="28" t="s">
        <v>211</v>
      </c>
      <c r="F2386" s="28" t="s">
        <v>212</v>
      </c>
      <c r="G2386" s="28" t="s">
        <v>3229</v>
      </c>
      <c r="H2386" s="28">
        <v>7458864</v>
      </c>
      <c r="I2386" s="28">
        <v>218592</v>
      </c>
      <c r="J2386" s="28">
        <v>0.99</v>
      </c>
      <c r="K2386" s="28">
        <v>68</v>
      </c>
      <c r="L2386" s="28">
        <v>0</v>
      </c>
    </row>
    <row r="2387" spans="1:12" ht="14.25" customHeight="1" x14ac:dyDescent="0.2">
      <c r="A2387" s="28">
        <v>2386</v>
      </c>
      <c r="B2387" s="28" t="s">
        <v>3239</v>
      </c>
      <c r="C2387" s="28" t="s">
        <v>3228</v>
      </c>
      <c r="D2387" s="28" t="s">
        <v>3211</v>
      </c>
      <c r="E2387" s="28" t="s">
        <v>211</v>
      </c>
      <c r="F2387" s="28" t="s">
        <v>212</v>
      </c>
      <c r="G2387" s="28" t="s">
        <v>3229</v>
      </c>
      <c r="H2387" s="28">
        <v>10395500</v>
      </c>
      <c r="I2387" s="28">
        <v>317413</v>
      </c>
      <c r="J2387" s="28">
        <v>0.99</v>
      </c>
      <c r="K2387" s="28">
        <v>78</v>
      </c>
      <c r="L2387" s="28">
        <v>2</v>
      </c>
    </row>
    <row r="2388" spans="1:12" ht="14.25" customHeight="1" x14ac:dyDescent="0.2">
      <c r="A2388" s="28">
        <v>2387</v>
      </c>
      <c r="B2388" s="28" t="s">
        <v>3240</v>
      </c>
      <c r="C2388" s="28" t="s">
        <v>3228</v>
      </c>
      <c r="D2388" s="28" t="s">
        <v>3211</v>
      </c>
      <c r="E2388" s="28" t="s">
        <v>211</v>
      </c>
      <c r="F2388" s="28" t="s">
        <v>212</v>
      </c>
      <c r="G2388" s="28" t="s">
        <v>3229</v>
      </c>
      <c r="H2388" s="28">
        <v>6834762</v>
      </c>
      <c r="I2388" s="28">
        <v>208509</v>
      </c>
      <c r="J2388" s="28">
        <v>0.99</v>
      </c>
      <c r="K2388" s="28">
        <v>58</v>
      </c>
      <c r="L2388" s="28">
        <v>1</v>
      </c>
    </row>
    <row r="2389" spans="1:12" ht="14.25" customHeight="1" x14ac:dyDescent="0.2">
      <c r="A2389" s="28">
        <v>2388</v>
      </c>
      <c r="B2389" s="28" t="s">
        <v>3241</v>
      </c>
      <c r="C2389" s="28" t="s">
        <v>3228</v>
      </c>
      <c r="D2389" s="28" t="s">
        <v>3211</v>
      </c>
      <c r="E2389" s="28" t="s">
        <v>211</v>
      </c>
      <c r="F2389" s="28" t="s">
        <v>212</v>
      </c>
      <c r="G2389" s="28" t="s">
        <v>3229</v>
      </c>
      <c r="H2389" s="28">
        <v>7148115</v>
      </c>
      <c r="I2389" s="28">
        <v>217835</v>
      </c>
      <c r="J2389" s="28">
        <v>0.99</v>
      </c>
      <c r="K2389" s="28">
        <v>99</v>
      </c>
      <c r="L2389" s="28">
        <v>0</v>
      </c>
    </row>
    <row r="2390" spans="1:12" ht="14.25" customHeight="1" x14ac:dyDescent="0.2">
      <c r="A2390" s="28">
        <v>2389</v>
      </c>
      <c r="B2390" s="28" t="s">
        <v>3242</v>
      </c>
      <c r="C2390" s="28" t="s">
        <v>3228</v>
      </c>
      <c r="D2390" s="28" t="s">
        <v>3211</v>
      </c>
      <c r="E2390" s="28" t="s">
        <v>211</v>
      </c>
      <c r="F2390" s="28" t="s">
        <v>212</v>
      </c>
      <c r="G2390" s="28" t="s">
        <v>3229</v>
      </c>
      <c r="H2390" s="28">
        <v>8358200</v>
      </c>
      <c r="I2390" s="28">
        <v>256653</v>
      </c>
      <c r="J2390" s="28">
        <v>0.99</v>
      </c>
      <c r="K2390" s="28">
        <v>14</v>
      </c>
      <c r="L2390" s="28">
        <v>0</v>
      </c>
    </row>
    <row r="2391" spans="1:12" ht="14.25" customHeight="1" x14ac:dyDescent="0.2">
      <c r="A2391" s="28">
        <v>2390</v>
      </c>
      <c r="B2391" s="28" t="s">
        <v>3243</v>
      </c>
      <c r="C2391" s="28" t="s">
        <v>3228</v>
      </c>
      <c r="D2391" s="28" t="s">
        <v>3211</v>
      </c>
      <c r="E2391" s="28" t="s">
        <v>211</v>
      </c>
      <c r="F2391" s="28" t="s">
        <v>212</v>
      </c>
      <c r="G2391" s="28" t="s">
        <v>3229</v>
      </c>
      <c r="H2391" s="28">
        <v>12280381</v>
      </c>
      <c r="I2391" s="28">
        <v>369110</v>
      </c>
      <c r="J2391" s="28">
        <v>0.99</v>
      </c>
      <c r="K2391" s="28">
        <v>68</v>
      </c>
      <c r="L2391" s="28">
        <v>0</v>
      </c>
    </row>
    <row r="2392" spans="1:12" ht="14.25" customHeight="1" x14ac:dyDescent="0.2">
      <c r="A2392" s="28">
        <v>2391</v>
      </c>
      <c r="B2392" s="28" t="s">
        <v>3244</v>
      </c>
      <c r="C2392" s="28" t="s">
        <v>3245</v>
      </c>
      <c r="D2392" s="28" t="s">
        <v>3211</v>
      </c>
      <c r="E2392" s="28" t="s">
        <v>211</v>
      </c>
      <c r="F2392" s="28" t="s">
        <v>212</v>
      </c>
      <c r="G2392" s="28" t="s">
        <v>3212</v>
      </c>
      <c r="H2392" s="28">
        <v>7859167</v>
      </c>
      <c r="I2392" s="28">
        <v>238837</v>
      </c>
      <c r="J2392" s="28">
        <v>0.99</v>
      </c>
      <c r="K2392" s="28">
        <v>73</v>
      </c>
      <c r="L2392" s="28">
        <v>1</v>
      </c>
    </row>
    <row r="2393" spans="1:12" ht="14.25" customHeight="1" x14ac:dyDescent="0.2">
      <c r="A2393" s="28">
        <v>2392</v>
      </c>
      <c r="B2393" s="28" t="s">
        <v>3246</v>
      </c>
      <c r="C2393" s="28" t="s">
        <v>3245</v>
      </c>
      <c r="D2393" s="28" t="s">
        <v>3211</v>
      </c>
      <c r="E2393" s="28" t="s">
        <v>211</v>
      </c>
      <c r="F2393" s="28" t="s">
        <v>212</v>
      </c>
      <c r="G2393" s="28" t="s">
        <v>3211</v>
      </c>
      <c r="H2393" s="28">
        <v>8958519</v>
      </c>
      <c r="I2393" s="28">
        <v>270654</v>
      </c>
      <c r="J2393" s="28">
        <v>0.99</v>
      </c>
      <c r="K2393" s="28">
        <v>91</v>
      </c>
      <c r="L2393" s="28">
        <v>1</v>
      </c>
    </row>
    <row r="2394" spans="1:12" ht="14.25" customHeight="1" x14ac:dyDescent="0.2">
      <c r="A2394" s="28">
        <v>2393</v>
      </c>
      <c r="B2394" s="28" t="s">
        <v>3247</v>
      </c>
      <c r="C2394" s="28" t="s">
        <v>3245</v>
      </c>
      <c r="D2394" s="28" t="s">
        <v>3211</v>
      </c>
      <c r="E2394" s="28" t="s">
        <v>211</v>
      </c>
      <c r="F2394" s="28" t="s">
        <v>212</v>
      </c>
      <c r="G2394" s="28" t="s">
        <v>3211</v>
      </c>
      <c r="H2394" s="28">
        <v>7153744</v>
      </c>
      <c r="I2394" s="28">
        <v>217469</v>
      </c>
      <c r="J2394" s="28">
        <v>0.99</v>
      </c>
      <c r="K2394" s="28">
        <v>50</v>
      </c>
      <c r="L2394" s="28">
        <v>0</v>
      </c>
    </row>
    <row r="2395" spans="1:12" ht="14.25" customHeight="1" x14ac:dyDescent="0.2">
      <c r="A2395" s="28">
        <v>2394</v>
      </c>
      <c r="B2395" s="28" t="s">
        <v>3248</v>
      </c>
      <c r="C2395" s="28" t="s">
        <v>3245</v>
      </c>
      <c r="D2395" s="28" t="s">
        <v>3211</v>
      </c>
      <c r="E2395" s="28" t="s">
        <v>211</v>
      </c>
      <c r="F2395" s="28" t="s">
        <v>212</v>
      </c>
      <c r="G2395" s="28" t="s">
        <v>3211</v>
      </c>
      <c r="H2395" s="28">
        <v>8357989</v>
      </c>
      <c r="I2395" s="28">
        <v>255973</v>
      </c>
      <c r="J2395" s="28">
        <v>0.99</v>
      </c>
      <c r="K2395" s="28">
        <v>89</v>
      </c>
      <c r="L2395" s="28">
        <v>0</v>
      </c>
    </row>
    <row r="2396" spans="1:12" ht="14.25" customHeight="1" x14ac:dyDescent="0.2">
      <c r="A2396" s="28">
        <v>2395</v>
      </c>
      <c r="B2396" s="28" t="s">
        <v>3249</v>
      </c>
      <c r="C2396" s="28" t="s">
        <v>3245</v>
      </c>
      <c r="D2396" s="28" t="s">
        <v>3211</v>
      </c>
      <c r="E2396" s="28" t="s">
        <v>211</v>
      </c>
      <c r="F2396" s="28" t="s">
        <v>212</v>
      </c>
      <c r="G2396" s="28" t="s">
        <v>3211</v>
      </c>
      <c r="H2396" s="28">
        <v>6587883</v>
      </c>
      <c r="I2396" s="28">
        <v>198164</v>
      </c>
      <c r="J2396" s="28">
        <v>0.99</v>
      </c>
      <c r="K2396" s="28">
        <v>37</v>
      </c>
      <c r="L2396" s="28">
        <v>1</v>
      </c>
    </row>
    <row r="2397" spans="1:12" ht="14.25" customHeight="1" x14ac:dyDescent="0.2">
      <c r="A2397" s="28">
        <v>2396</v>
      </c>
      <c r="B2397" s="28" t="s">
        <v>3245</v>
      </c>
      <c r="C2397" s="28" t="s">
        <v>3245</v>
      </c>
      <c r="D2397" s="28" t="s">
        <v>3211</v>
      </c>
      <c r="E2397" s="28" t="s">
        <v>211</v>
      </c>
      <c r="F2397" s="28" t="s">
        <v>212</v>
      </c>
      <c r="G2397" s="28" t="s">
        <v>3211</v>
      </c>
      <c r="H2397" s="28">
        <v>10568999</v>
      </c>
      <c r="I2397" s="28">
        <v>321671</v>
      </c>
      <c r="J2397" s="28">
        <v>0.99</v>
      </c>
      <c r="K2397" s="28">
        <v>72</v>
      </c>
      <c r="L2397" s="28">
        <v>1</v>
      </c>
    </row>
    <row r="2398" spans="1:12" ht="14.25" customHeight="1" x14ac:dyDescent="0.2">
      <c r="A2398" s="28">
        <v>2397</v>
      </c>
      <c r="B2398" s="28" t="s">
        <v>3250</v>
      </c>
      <c r="C2398" s="28" t="s">
        <v>3245</v>
      </c>
      <c r="D2398" s="28" t="s">
        <v>3211</v>
      </c>
      <c r="E2398" s="28" t="s">
        <v>211</v>
      </c>
      <c r="F2398" s="28" t="s">
        <v>212</v>
      </c>
      <c r="G2398" s="28" t="s">
        <v>3211</v>
      </c>
      <c r="H2398" s="28">
        <v>7504534</v>
      </c>
      <c r="I2398" s="28">
        <v>231418</v>
      </c>
      <c r="J2398" s="28">
        <v>0.99</v>
      </c>
      <c r="K2398" s="28">
        <v>8</v>
      </c>
      <c r="L2398" s="28">
        <v>0</v>
      </c>
    </row>
    <row r="2399" spans="1:12" ht="14.25" customHeight="1" x14ac:dyDescent="0.2">
      <c r="A2399" s="28">
        <v>2398</v>
      </c>
      <c r="B2399" s="28" t="s">
        <v>3251</v>
      </c>
      <c r="C2399" s="28" t="s">
        <v>3245</v>
      </c>
      <c r="D2399" s="28" t="s">
        <v>3211</v>
      </c>
      <c r="E2399" s="28" t="s">
        <v>211</v>
      </c>
      <c r="F2399" s="28" t="s">
        <v>212</v>
      </c>
      <c r="G2399" s="28" t="s">
        <v>3212</v>
      </c>
      <c r="H2399" s="28">
        <v>5278793</v>
      </c>
      <c r="I2399" s="28">
        <v>163787</v>
      </c>
      <c r="J2399" s="28">
        <v>0.99</v>
      </c>
      <c r="K2399" s="28">
        <v>87</v>
      </c>
      <c r="L2399" s="28">
        <v>1</v>
      </c>
    </row>
    <row r="2400" spans="1:12" ht="14.25" customHeight="1" x14ac:dyDescent="0.2">
      <c r="A2400" s="28">
        <v>2399</v>
      </c>
      <c r="B2400" s="28" t="s">
        <v>3252</v>
      </c>
      <c r="C2400" s="28" t="s">
        <v>3245</v>
      </c>
      <c r="D2400" s="28" t="s">
        <v>3211</v>
      </c>
      <c r="E2400" s="28" t="s">
        <v>211</v>
      </c>
      <c r="F2400" s="28" t="s">
        <v>212</v>
      </c>
      <c r="G2400" s="28" t="s">
        <v>3211</v>
      </c>
      <c r="H2400" s="28">
        <v>7901717</v>
      </c>
      <c r="I2400" s="28">
        <v>240300</v>
      </c>
      <c r="J2400" s="28">
        <v>0.99</v>
      </c>
      <c r="K2400" s="28">
        <v>47</v>
      </c>
      <c r="L2400" s="28">
        <v>0</v>
      </c>
    </row>
    <row r="2401" spans="1:12" ht="14.25" customHeight="1" x14ac:dyDescent="0.2">
      <c r="A2401" s="28">
        <v>2400</v>
      </c>
      <c r="B2401" s="28" t="s">
        <v>3253</v>
      </c>
      <c r="C2401" s="28" t="s">
        <v>3245</v>
      </c>
      <c r="D2401" s="28" t="s">
        <v>3211</v>
      </c>
      <c r="E2401" s="28" t="s">
        <v>211</v>
      </c>
      <c r="F2401" s="28" t="s">
        <v>212</v>
      </c>
      <c r="G2401" s="28" t="s">
        <v>3211</v>
      </c>
      <c r="H2401" s="28">
        <v>5225917</v>
      </c>
      <c r="I2401" s="28">
        <v>157727</v>
      </c>
      <c r="J2401" s="28">
        <v>0.99</v>
      </c>
      <c r="K2401" s="28">
        <v>7</v>
      </c>
      <c r="L2401" s="28">
        <v>1</v>
      </c>
    </row>
    <row r="2402" spans="1:12" ht="14.25" customHeight="1" x14ac:dyDescent="0.2">
      <c r="A2402" s="28">
        <v>2401</v>
      </c>
      <c r="B2402" s="28" t="s">
        <v>3254</v>
      </c>
      <c r="C2402" s="28" t="s">
        <v>3245</v>
      </c>
      <c r="D2402" s="28" t="s">
        <v>3211</v>
      </c>
      <c r="E2402" s="28" t="s">
        <v>211</v>
      </c>
      <c r="F2402" s="28" t="s">
        <v>212</v>
      </c>
      <c r="G2402" s="28" t="s">
        <v>3211</v>
      </c>
      <c r="H2402" s="28">
        <v>7480537</v>
      </c>
      <c r="I2402" s="28">
        <v>225280</v>
      </c>
      <c r="J2402" s="28">
        <v>0.99</v>
      </c>
      <c r="K2402" s="28">
        <v>37</v>
      </c>
      <c r="L2402" s="28">
        <v>0</v>
      </c>
    </row>
    <row r="2403" spans="1:12" ht="14.25" customHeight="1" x14ac:dyDescent="0.2">
      <c r="A2403" s="28">
        <v>2402</v>
      </c>
      <c r="B2403" s="28" t="s">
        <v>3255</v>
      </c>
      <c r="C2403" s="28" t="s">
        <v>3245</v>
      </c>
      <c r="D2403" s="28" t="s">
        <v>3211</v>
      </c>
      <c r="E2403" s="28" t="s">
        <v>211</v>
      </c>
      <c r="F2403" s="28" t="s">
        <v>212</v>
      </c>
      <c r="G2403" s="28" t="s">
        <v>3212</v>
      </c>
      <c r="H2403" s="28">
        <v>9551885</v>
      </c>
      <c r="I2403" s="28">
        <v>292493</v>
      </c>
      <c r="J2403" s="28">
        <v>0.99</v>
      </c>
      <c r="K2403" s="28">
        <v>42</v>
      </c>
      <c r="L2403" s="28">
        <v>0</v>
      </c>
    </row>
    <row r="2404" spans="1:12" ht="14.25" customHeight="1" x14ac:dyDescent="0.2">
      <c r="A2404" s="28">
        <v>2403</v>
      </c>
      <c r="B2404" s="28" t="s">
        <v>3256</v>
      </c>
      <c r="C2404" s="28" t="s">
        <v>3245</v>
      </c>
      <c r="D2404" s="28" t="s">
        <v>3211</v>
      </c>
      <c r="E2404" s="28" t="s">
        <v>211</v>
      </c>
      <c r="F2404" s="28" t="s">
        <v>212</v>
      </c>
      <c r="G2404" s="28" t="s">
        <v>3211</v>
      </c>
      <c r="H2404" s="28">
        <v>8359971</v>
      </c>
      <c r="I2404" s="28">
        <v>253440</v>
      </c>
      <c r="J2404" s="28">
        <v>0.99</v>
      </c>
      <c r="K2404" s="28">
        <v>48</v>
      </c>
      <c r="L2404" s="28">
        <v>0</v>
      </c>
    </row>
    <row r="2405" spans="1:12" ht="14.25" customHeight="1" x14ac:dyDescent="0.2">
      <c r="A2405" s="28">
        <v>2404</v>
      </c>
      <c r="B2405" s="28" t="s">
        <v>3257</v>
      </c>
      <c r="C2405" s="28" t="s">
        <v>3245</v>
      </c>
      <c r="D2405" s="28" t="s">
        <v>3211</v>
      </c>
      <c r="E2405" s="28" t="s">
        <v>211</v>
      </c>
      <c r="F2405" s="28" t="s">
        <v>212</v>
      </c>
      <c r="G2405" s="28" t="s">
        <v>3211</v>
      </c>
      <c r="H2405" s="28">
        <v>3722219</v>
      </c>
      <c r="I2405" s="28">
        <v>112613</v>
      </c>
      <c r="J2405" s="28">
        <v>0.99</v>
      </c>
      <c r="K2405" s="28">
        <v>73</v>
      </c>
      <c r="L2405" s="28">
        <v>2</v>
      </c>
    </row>
    <row r="2406" spans="1:12" ht="14.25" customHeight="1" x14ac:dyDescent="0.2">
      <c r="A2406" s="28">
        <v>2405</v>
      </c>
      <c r="B2406" s="28" t="s">
        <v>3258</v>
      </c>
      <c r="C2406" s="28" t="s">
        <v>3245</v>
      </c>
      <c r="D2406" s="28" t="s">
        <v>3211</v>
      </c>
      <c r="E2406" s="28" t="s">
        <v>211</v>
      </c>
      <c r="F2406" s="28" t="s">
        <v>212</v>
      </c>
      <c r="G2406" s="28" t="s">
        <v>3211</v>
      </c>
      <c r="H2406" s="28">
        <v>6685831</v>
      </c>
      <c r="I2406" s="28">
        <v>205635</v>
      </c>
      <c r="J2406" s="28">
        <v>0.99</v>
      </c>
      <c r="K2406" s="28">
        <v>69</v>
      </c>
      <c r="L2406" s="28">
        <v>1</v>
      </c>
    </row>
    <row r="2407" spans="1:12" ht="14.25" customHeight="1" x14ac:dyDescent="0.2">
      <c r="A2407" s="28">
        <v>2406</v>
      </c>
      <c r="B2407" s="28" t="s">
        <v>3259</v>
      </c>
      <c r="C2407" s="28" t="s">
        <v>3260</v>
      </c>
      <c r="D2407" s="28" t="s">
        <v>3261</v>
      </c>
      <c r="E2407" s="28" t="s">
        <v>211</v>
      </c>
      <c r="F2407" s="28" t="s">
        <v>212</v>
      </c>
      <c r="G2407" s="28" t="s">
        <v>3262</v>
      </c>
      <c r="H2407" s="28">
        <v>9862012</v>
      </c>
      <c r="I2407" s="28">
        <v>299154</v>
      </c>
      <c r="J2407" s="28">
        <v>0.99</v>
      </c>
      <c r="K2407" s="28">
        <v>67</v>
      </c>
      <c r="L2407" s="28">
        <v>0</v>
      </c>
    </row>
    <row r="2408" spans="1:12" ht="14.25" customHeight="1" x14ac:dyDescent="0.2">
      <c r="A2408" s="28">
        <v>2407</v>
      </c>
      <c r="B2408" s="28" t="s">
        <v>3263</v>
      </c>
      <c r="C2408" s="28" t="s">
        <v>3260</v>
      </c>
      <c r="D2408" s="28" t="s">
        <v>3261</v>
      </c>
      <c r="E2408" s="28" t="s">
        <v>211</v>
      </c>
      <c r="F2408" s="28" t="s">
        <v>212</v>
      </c>
      <c r="G2408" s="28" t="s">
        <v>3262</v>
      </c>
      <c r="H2408" s="28">
        <v>9345473</v>
      </c>
      <c r="I2408" s="28">
        <v>285126</v>
      </c>
      <c r="J2408" s="28">
        <v>0.99</v>
      </c>
      <c r="K2408" s="28">
        <v>17</v>
      </c>
      <c r="L2408" s="28">
        <v>0</v>
      </c>
    </row>
    <row r="2409" spans="1:12" ht="14.25" customHeight="1" x14ac:dyDescent="0.2">
      <c r="A2409" s="28">
        <v>2408</v>
      </c>
      <c r="B2409" s="28" t="s">
        <v>3264</v>
      </c>
      <c r="C2409" s="28" t="s">
        <v>3260</v>
      </c>
      <c r="D2409" s="28" t="s">
        <v>3261</v>
      </c>
      <c r="E2409" s="28" t="s">
        <v>211</v>
      </c>
      <c r="F2409" s="28" t="s">
        <v>212</v>
      </c>
      <c r="G2409" s="28" t="s">
        <v>3262</v>
      </c>
      <c r="H2409" s="28">
        <v>7898395</v>
      </c>
      <c r="I2409" s="28">
        <v>240770</v>
      </c>
      <c r="J2409" s="28">
        <v>0.99</v>
      </c>
      <c r="K2409" s="28">
        <v>70</v>
      </c>
      <c r="L2409" s="28">
        <v>0</v>
      </c>
    </row>
    <row r="2410" spans="1:12" ht="14.25" customHeight="1" x14ac:dyDescent="0.2">
      <c r="A2410" s="28">
        <v>2409</v>
      </c>
      <c r="B2410" s="28" t="s">
        <v>3265</v>
      </c>
      <c r="C2410" s="28" t="s">
        <v>3260</v>
      </c>
      <c r="D2410" s="28" t="s">
        <v>3261</v>
      </c>
      <c r="E2410" s="28" t="s">
        <v>211</v>
      </c>
      <c r="F2410" s="28" t="s">
        <v>212</v>
      </c>
      <c r="G2410" s="28" t="s">
        <v>3262</v>
      </c>
      <c r="H2410" s="28">
        <v>10694110</v>
      </c>
      <c r="I2410" s="28">
        <v>324362</v>
      </c>
      <c r="J2410" s="28">
        <v>0.99</v>
      </c>
      <c r="K2410" s="28">
        <v>59</v>
      </c>
      <c r="L2410" s="28">
        <v>1</v>
      </c>
    </row>
    <row r="2411" spans="1:12" ht="14.25" customHeight="1" x14ac:dyDescent="0.2">
      <c r="A2411" s="28">
        <v>2410</v>
      </c>
      <c r="B2411" s="28" t="s">
        <v>3266</v>
      </c>
      <c r="C2411" s="28" t="s">
        <v>3260</v>
      </c>
      <c r="D2411" s="28" t="s">
        <v>3261</v>
      </c>
      <c r="E2411" s="28" t="s">
        <v>211</v>
      </c>
      <c r="F2411" s="28" t="s">
        <v>212</v>
      </c>
      <c r="G2411" s="28" t="s">
        <v>3262</v>
      </c>
      <c r="H2411" s="28">
        <v>21753168</v>
      </c>
      <c r="I2411" s="28">
        <v>667428</v>
      </c>
      <c r="J2411" s="28">
        <v>0.99</v>
      </c>
      <c r="K2411" s="28">
        <v>19</v>
      </c>
      <c r="L2411" s="28">
        <v>1</v>
      </c>
    </row>
    <row r="2412" spans="1:12" ht="14.25" customHeight="1" x14ac:dyDescent="0.2">
      <c r="A2412" s="28">
        <v>2411</v>
      </c>
      <c r="B2412" s="28" t="s">
        <v>3267</v>
      </c>
      <c r="C2412" s="28" t="s">
        <v>3260</v>
      </c>
      <c r="D2412" s="28" t="s">
        <v>3261</v>
      </c>
      <c r="E2412" s="28" t="s">
        <v>211</v>
      </c>
      <c r="F2412" s="28" t="s">
        <v>212</v>
      </c>
      <c r="G2412" s="28" t="s">
        <v>3262</v>
      </c>
      <c r="H2412" s="28">
        <v>9264769</v>
      </c>
      <c r="I2412" s="28">
        <v>280528</v>
      </c>
      <c r="J2412" s="28">
        <v>0.99</v>
      </c>
      <c r="K2412" s="28">
        <v>8</v>
      </c>
      <c r="L2412" s="28">
        <v>0</v>
      </c>
    </row>
    <row r="2413" spans="1:12" ht="14.25" customHeight="1" x14ac:dyDescent="0.2">
      <c r="A2413" s="28">
        <v>2412</v>
      </c>
      <c r="B2413" s="28" t="s">
        <v>3268</v>
      </c>
      <c r="C2413" s="28" t="s">
        <v>3260</v>
      </c>
      <c r="D2413" s="28" t="s">
        <v>3261</v>
      </c>
      <c r="E2413" s="28" t="s">
        <v>211</v>
      </c>
      <c r="F2413" s="28" t="s">
        <v>212</v>
      </c>
      <c r="G2413" s="28" t="s">
        <v>3262</v>
      </c>
      <c r="H2413" s="28">
        <v>17076397</v>
      </c>
      <c r="I2413" s="28">
        <v>519888</v>
      </c>
      <c r="J2413" s="28">
        <v>0.99</v>
      </c>
      <c r="K2413" s="28">
        <v>43</v>
      </c>
      <c r="L2413" s="28">
        <v>0</v>
      </c>
    </row>
    <row r="2414" spans="1:12" ht="14.25" customHeight="1" x14ac:dyDescent="0.2">
      <c r="A2414" s="28">
        <v>2413</v>
      </c>
      <c r="B2414" s="28" t="s">
        <v>3269</v>
      </c>
      <c r="C2414" s="28" t="s">
        <v>3260</v>
      </c>
      <c r="D2414" s="28" t="s">
        <v>3261</v>
      </c>
      <c r="E2414" s="28" t="s">
        <v>211</v>
      </c>
      <c r="F2414" s="28" t="s">
        <v>212</v>
      </c>
      <c r="G2414" s="28" t="s">
        <v>3262</v>
      </c>
      <c r="H2414" s="28">
        <v>8693343</v>
      </c>
      <c r="I2414" s="28">
        <v>264515</v>
      </c>
      <c r="J2414" s="28">
        <v>0.99</v>
      </c>
      <c r="K2414" s="28">
        <v>57</v>
      </c>
      <c r="L2414" s="28">
        <v>1</v>
      </c>
    </row>
    <row r="2415" spans="1:12" ht="14.25" customHeight="1" x14ac:dyDescent="0.2">
      <c r="A2415" s="28">
        <v>2414</v>
      </c>
      <c r="B2415" s="28" t="s">
        <v>3270</v>
      </c>
      <c r="C2415" s="28" t="s">
        <v>3260</v>
      </c>
      <c r="D2415" s="28" t="s">
        <v>3261</v>
      </c>
      <c r="E2415" s="28" t="s">
        <v>211</v>
      </c>
      <c r="F2415" s="28" t="s">
        <v>212</v>
      </c>
      <c r="G2415" s="28" t="s">
        <v>3262</v>
      </c>
      <c r="H2415" s="28">
        <v>5767005</v>
      </c>
      <c r="I2415" s="28">
        <v>175412</v>
      </c>
      <c r="J2415" s="28">
        <v>0.99</v>
      </c>
      <c r="K2415" s="28">
        <v>72</v>
      </c>
      <c r="L2415" s="28">
        <v>1</v>
      </c>
    </row>
    <row r="2416" spans="1:12" ht="14.25" customHeight="1" x14ac:dyDescent="0.2">
      <c r="A2416" s="28">
        <v>2415</v>
      </c>
      <c r="B2416" s="28" t="s">
        <v>3271</v>
      </c>
      <c r="C2416" s="28" t="s">
        <v>3260</v>
      </c>
      <c r="D2416" s="28" t="s">
        <v>3261</v>
      </c>
      <c r="E2416" s="28" t="s">
        <v>211</v>
      </c>
      <c r="F2416" s="28" t="s">
        <v>212</v>
      </c>
      <c r="G2416" s="28" t="s">
        <v>3262</v>
      </c>
      <c r="H2416" s="28">
        <v>8898066</v>
      </c>
      <c r="I2416" s="28">
        <v>272718</v>
      </c>
      <c r="J2416" s="28">
        <v>0.99</v>
      </c>
      <c r="K2416" s="28">
        <v>67</v>
      </c>
      <c r="L2416" s="28">
        <v>0</v>
      </c>
    </row>
    <row r="2417" spans="1:12" ht="14.25" customHeight="1" x14ac:dyDescent="0.2">
      <c r="A2417" s="28">
        <v>2416</v>
      </c>
      <c r="B2417" s="28" t="s">
        <v>3272</v>
      </c>
      <c r="C2417" s="28" t="s">
        <v>3260</v>
      </c>
      <c r="D2417" s="28" t="s">
        <v>3261</v>
      </c>
      <c r="E2417" s="28" t="s">
        <v>211</v>
      </c>
      <c r="F2417" s="28" t="s">
        <v>212</v>
      </c>
      <c r="G2417" s="28" t="s">
        <v>3262</v>
      </c>
      <c r="H2417" s="28">
        <v>4360163</v>
      </c>
      <c r="I2417" s="28">
        <v>133459</v>
      </c>
      <c r="J2417" s="28">
        <v>0.99</v>
      </c>
      <c r="K2417" s="28">
        <v>19</v>
      </c>
      <c r="L2417" s="28">
        <v>0</v>
      </c>
    </row>
    <row r="2418" spans="1:12" ht="14.25" customHeight="1" x14ac:dyDescent="0.2">
      <c r="A2418" s="28">
        <v>2417</v>
      </c>
      <c r="B2418" s="28" t="s">
        <v>3273</v>
      </c>
      <c r="C2418" s="28" t="s">
        <v>3260</v>
      </c>
      <c r="D2418" s="28" t="s">
        <v>3261</v>
      </c>
      <c r="E2418" s="28" t="s">
        <v>211</v>
      </c>
      <c r="F2418" s="28" t="s">
        <v>212</v>
      </c>
      <c r="G2418" s="28" t="s">
        <v>3262</v>
      </c>
      <c r="H2418" s="28">
        <v>19137855</v>
      </c>
      <c r="I2418" s="28">
        <v>577488</v>
      </c>
      <c r="J2418" s="28">
        <v>0.99</v>
      </c>
      <c r="K2418" s="28">
        <v>4</v>
      </c>
      <c r="L2418" s="28">
        <v>0</v>
      </c>
    </row>
    <row r="2419" spans="1:12" ht="14.25" customHeight="1" x14ac:dyDescent="0.2">
      <c r="A2419" s="28">
        <v>2418</v>
      </c>
      <c r="B2419" s="28" t="s">
        <v>3274</v>
      </c>
      <c r="C2419" s="28" t="s">
        <v>3260</v>
      </c>
      <c r="D2419" s="28" t="s">
        <v>3261</v>
      </c>
      <c r="E2419" s="28" t="s">
        <v>211</v>
      </c>
      <c r="F2419" s="28" t="s">
        <v>212</v>
      </c>
      <c r="G2419" s="28" t="s">
        <v>3262</v>
      </c>
      <c r="H2419" s="28">
        <v>6683061</v>
      </c>
      <c r="I2419" s="28">
        <v>202318</v>
      </c>
      <c r="J2419" s="28">
        <v>0.99</v>
      </c>
      <c r="K2419" s="28">
        <v>74</v>
      </c>
      <c r="L2419" s="28">
        <v>1</v>
      </c>
    </row>
    <row r="2420" spans="1:12" ht="14.25" customHeight="1" x14ac:dyDescent="0.2">
      <c r="A2420" s="28">
        <v>2419</v>
      </c>
      <c r="B2420" s="28" t="s">
        <v>3275</v>
      </c>
      <c r="C2420" s="28" t="s">
        <v>3260</v>
      </c>
      <c r="D2420" s="28" t="s">
        <v>3261</v>
      </c>
      <c r="E2420" s="28" t="s">
        <v>211</v>
      </c>
      <c r="F2420" s="28" t="s">
        <v>212</v>
      </c>
      <c r="G2420" s="28" t="s">
        <v>3262</v>
      </c>
      <c r="H2420" s="28">
        <v>9985701</v>
      </c>
      <c r="I2420" s="28">
        <v>305528</v>
      </c>
      <c r="J2420" s="28">
        <v>0.99</v>
      </c>
      <c r="K2420" s="28">
        <v>21</v>
      </c>
      <c r="L2420" s="28">
        <v>1</v>
      </c>
    </row>
    <row r="2421" spans="1:12" ht="14.25" customHeight="1" x14ac:dyDescent="0.2">
      <c r="A2421" s="28">
        <v>2420</v>
      </c>
      <c r="B2421" s="28" t="s">
        <v>3276</v>
      </c>
      <c r="C2421" s="28" t="s">
        <v>3277</v>
      </c>
      <c r="D2421" s="28" t="s">
        <v>1018</v>
      </c>
      <c r="E2421" s="28" t="s">
        <v>211</v>
      </c>
      <c r="F2421" s="28" t="s">
        <v>212</v>
      </c>
      <c r="G2421" s="28" t="s">
        <v>3278</v>
      </c>
      <c r="H2421" s="28">
        <v>19736495</v>
      </c>
      <c r="I2421" s="28">
        <v>592953</v>
      </c>
      <c r="J2421" s="28">
        <v>0.99</v>
      </c>
      <c r="K2421" s="28">
        <v>64</v>
      </c>
      <c r="L2421" s="28">
        <v>0</v>
      </c>
    </row>
    <row r="2422" spans="1:12" ht="14.25" customHeight="1" x14ac:dyDescent="0.2">
      <c r="A2422" s="28">
        <v>2421</v>
      </c>
      <c r="B2422" s="28" t="s">
        <v>3279</v>
      </c>
      <c r="C2422" s="28" t="s">
        <v>3277</v>
      </c>
      <c r="D2422" s="28" t="s">
        <v>1018</v>
      </c>
      <c r="E2422" s="28" t="s">
        <v>211</v>
      </c>
      <c r="F2422" s="28" t="s">
        <v>212</v>
      </c>
      <c r="G2422" s="28" t="s">
        <v>3280</v>
      </c>
      <c r="H2422" s="28">
        <v>23519583</v>
      </c>
      <c r="I2422" s="28">
        <v>713534</v>
      </c>
      <c r="J2422" s="28">
        <v>0.99</v>
      </c>
      <c r="K2422" s="28">
        <v>60</v>
      </c>
      <c r="L2422" s="28">
        <v>0</v>
      </c>
    </row>
    <row r="2423" spans="1:12" ht="14.25" customHeight="1" x14ac:dyDescent="0.2">
      <c r="A2423" s="28">
        <v>2422</v>
      </c>
      <c r="B2423" s="28" t="s">
        <v>3281</v>
      </c>
      <c r="C2423" s="28" t="s">
        <v>3277</v>
      </c>
      <c r="D2423" s="28" t="s">
        <v>1018</v>
      </c>
      <c r="E2423" s="28" t="s">
        <v>211</v>
      </c>
      <c r="F2423" s="28" t="s">
        <v>212</v>
      </c>
      <c r="G2423" s="28" t="s">
        <v>3280</v>
      </c>
      <c r="H2423" s="28">
        <v>20614621</v>
      </c>
      <c r="I2423" s="28">
        <v>628062</v>
      </c>
      <c r="J2423" s="28">
        <v>0.99</v>
      </c>
      <c r="K2423" s="28">
        <v>35</v>
      </c>
      <c r="L2423" s="28">
        <v>1</v>
      </c>
    </row>
    <row r="2424" spans="1:12" ht="14.25" customHeight="1" x14ac:dyDescent="0.2">
      <c r="A2424" s="28">
        <v>2423</v>
      </c>
      <c r="B2424" s="28" t="s">
        <v>3282</v>
      </c>
      <c r="C2424" s="28" t="s">
        <v>3277</v>
      </c>
      <c r="D2424" s="28" t="s">
        <v>1018</v>
      </c>
      <c r="E2424" s="28" t="s">
        <v>211</v>
      </c>
      <c r="F2424" s="28" t="s">
        <v>212</v>
      </c>
      <c r="G2424" s="28" t="s">
        <v>3283</v>
      </c>
      <c r="H2424" s="28">
        <v>10354751</v>
      </c>
      <c r="I2424" s="28">
        <v>318432</v>
      </c>
      <c r="J2424" s="28">
        <v>0.99</v>
      </c>
      <c r="K2424" s="28">
        <v>49</v>
      </c>
      <c r="L2424" s="28">
        <v>1</v>
      </c>
    </row>
    <row r="2425" spans="1:12" ht="14.25" customHeight="1" x14ac:dyDescent="0.2">
      <c r="A2425" s="28">
        <v>2424</v>
      </c>
      <c r="B2425" s="28" t="s">
        <v>3284</v>
      </c>
      <c r="C2425" s="28" t="s">
        <v>3277</v>
      </c>
      <c r="D2425" s="28" t="s">
        <v>1018</v>
      </c>
      <c r="E2425" s="28" t="s">
        <v>211</v>
      </c>
      <c r="F2425" s="28" t="s">
        <v>212</v>
      </c>
      <c r="G2425" s="28" t="s">
        <v>3285</v>
      </c>
      <c r="H2425" s="28">
        <v>7566829</v>
      </c>
      <c r="I2425" s="28">
        <v>233064</v>
      </c>
      <c r="J2425" s="28">
        <v>0.99</v>
      </c>
      <c r="K2425" s="28">
        <v>7</v>
      </c>
      <c r="L2425" s="28">
        <v>0</v>
      </c>
    </row>
    <row r="2426" spans="1:12" ht="14.25" customHeight="1" x14ac:dyDescent="0.2">
      <c r="A2426" s="28">
        <v>2425</v>
      </c>
      <c r="B2426" s="28" t="s">
        <v>3286</v>
      </c>
      <c r="C2426" s="28" t="s">
        <v>3277</v>
      </c>
      <c r="D2426" s="28" t="s">
        <v>1018</v>
      </c>
      <c r="E2426" s="28" t="s">
        <v>211</v>
      </c>
      <c r="F2426" s="28" t="s">
        <v>212</v>
      </c>
      <c r="G2426" s="28" t="s">
        <v>3283</v>
      </c>
      <c r="H2426" s="28">
        <v>9801120</v>
      </c>
      <c r="I2426" s="28">
        <v>296437</v>
      </c>
      <c r="J2426" s="28">
        <v>0.99</v>
      </c>
      <c r="K2426" s="28">
        <v>92</v>
      </c>
      <c r="L2426" s="28">
        <v>0</v>
      </c>
    </row>
    <row r="2427" spans="1:12" ht="14.25" customHeight="1" x14ac:dyDescent="0.2">
      <c r="A2427" s="28">
        <v>2426</v>
      </c>
      <c r="B2427" s="28" t="s">
        <v>3287</v>
      </c>
      <c r="C2427" s="28" t="s">
        <v>3277</v>
      </c>
      <c r="D2427" s="28" t="s">
        <v>1018</v>
      </c>
      <c r="E2427" s="28" t="s">
        <v>211</v>
      </c>
      <c r="F2427" s="28" t="s">
        <v>212</v>
      </c>
      <c r="G2427" s="28" t="s">
        <v>3288</v>
      </c>
      <c r="H2427" s="28">
        <v>20939646</v>
      </c>
      <c r="I2427" s="28">
        <v>638563</v>
      </c>
      <c r="J2427" s="28">
        <v>0.99</v>
      </c>
      <c r="K2427" s="28">
        <v>59</v>
      </c>
      <c r="L2427" s="28">
        <v>0</v>
      </c>
    </row>
    <row r="2428" spans="1:12" ht="14.25" customHeight="1" x14ac:dyDescent="0.2">
      <c r="A2428" s="28">
        <v>2427</v>
      </c>
      <c r="B2428" s="28" t="s">
        <v>3289</v>
      </c>
      <c r="C2428" s="28" t="s">
        <v>3277</v>
      </c>
      <c r="D2428" s="28" t="s">
        <v>1018</v>
      </c>
      <c r="E2428" s="28" t="s">
        <v>211</v>
      </c>
      <c r="F2428" s="28" t="s">
        <v>212</v>
      </c>
      <c r="G2428" s="28" t="s">
        <v>3283</v>
      </c>
      <c r="H2428" s="28">
        <v>29207100</v>
      </c>
      <c r="I2428" s="28">
        <v>882834</v>
      </c>
      <c r="J2428" s="28">
        <v>0.99</v>
      </c>
      <c r="K2428" s="28">
        <v>14</v>
      </c>
      <c r="L2428" s="28">
        <v>1</v>
      </c>
    </row>
    <row r="2429" spans="1:12" ht="14.25" customHeight="1" x14ac:dyDescent="0.2">
      <c r="A2429" s="28">
        <v>2428</v>
      </c>
      <c r="B2429" s="28" t="s">
        <v>3290</v>
      </c>
      <c r="C2429" s="28" t="s">
        <v>3291</v>
      </c>
      <c r="D2429" s="28" t="s">
        <v>1018</v>
      </c>
      <c r="E2429" s="28" t="s">
        <v>211</v>
      </c>
      <c r="F2429" s="28" t="s">
        <v>212</v>
      </c>
      <c r="G2429" s="28"/>
      <c r="H2429" s="28">
        <v>15289235</v>
      </c>
      <c r="I2429" s="28">
        <v>475402</v>
      </c>
      <c r="J2429" s="28">
        <v>0.99</v>
      </c>
      <c r="K2429" s="28">
        <v>83</v>
      </c>
      <c r="L2429" s="28">
        <v>1</v>
      </c>
    </row>
    <row r="2430" spans="1:12" ht="14.25" customHeight="1" x14ac:dyDescent="0.2">
      <c r="A2430" s="28">
        <v>2429</v>
      </c>
      <c r="B2430" s="28" t="s">
        <v>3292</v>
      </c>
      <c r="C2430" s="28" t="s">
        <v>3291</v>
      </c>
      <c r="D2430" s="28" t="s">
        <v>1018</v>
      </c>
      <c r="E2430" s="28" t="s">
        <v>211</v>
      </c>
      <c r="F2430" s="28" t="s">
        <v>212</v>
      </c>
      <c r="G2430" s="28"/>
      <c r="H2430" s="28">
        <v>34618222</v>
      </c>
      <c r="I2430" s="28">
        <v>1070027</v>
      </c>
      <c r="J2430" s="28">
        <v>0.99</v>
      </c>
      <c r="K2430" s="28">
        <v>73</v>
      </c>
      <c r="L2430" s="28">
        <v>0</v>
      </c>
    </row>
    <row r="2431" spans="1:12" ht="14.25" customHeight="1" x14ac:dyDescent="0.2">
      <c r="A2431" s="28">
        <v>2430</v>
      </c>
      <c r="B2431" s="28" t="s">
        <v>3293</v>
      </c>
      <c r="C2431" s="28" t="s">
        <v>3291</v>
      </c>
      <c r="D2431" s="28" t="s">
        <v>1018</v>
      </c>
      <c r="E2431" s="28" t="s">
        <v>211</v>
      </c>
      <c r="F2431" s="28" t="s">
        <v>212</v>
      </c>
      <c r="G2431" s="28"/>
      <c r="H2431" s="28">
        <v>3037596</v>
      </c>
      <c r="I2431" s="28">
        <v>94720</v>
      </c>
      <c r="J2431" s="28">
        <v>0.99</v>
      </c>
      <c r="K2431" s="28">
        <v>55</v>
      </c>
      <c r="L2431" s="28">
        <v>0</v>
      </c>
    </row>
    <row r="2432" spans="1:12" ht="14.25" customHeight="1" x14ac:dyDescent="0.2">
      <c r="A2432" s="28">
        <v>2431</v>
      </c>
      <c r="B2432" s="28" t="s">
        <v>3294</v>
      </c>
      <c r="C2432" s="28" t="s">
        <v>3291</v>
      </c>
      <c r="D2432" s="28" t="s">
        <v>1018</v>
      </c>
      <c r="E2432" s="28" t="s">
        <v>211</v>
      </c>
      <c r="F2432" s="28" t="s">
        <v>212</v>
      </c>
      <c r="G2432" s="28"/>
      <c r="H2432" s="28">
        <v>27489067</v>
      </c>
      <c r="I2432" s="28">
        <v>850259</v>
      </c>
      <c r="J2432" s="28">
        <v>0.99</v>
      </c>
      <c r="K2432" s="28">
        <v>34</v>
      </c>
      <c r="L2432" s="28">
        <v>1</v>
      </c>
    </row>
    <row r="2433" spans="1:12" ht="14.25" customHeight="1" x14ac:dyDescent="0.2">
      <c r="A2433" s="28">
        <v>2432</v>
      </c>
      <c r="B2433" s="28" t="s">
        <v>3295</v>
      </c>
      <c r="C2433" s="28" t="s">
        <v>3291</v>
      </c>
      <c r="D2433" s="28" t="s">
        <v>1018</v>
      </c>
      <c r="E2433" s="28" t="s">
        <v>211</v>
      </c>
      <c r="F2433" s="28" t="s">
        <v>212</v>
      </c>
      <c r="G2433" s="28"/>
      <c r="H2433" s="28">
        <v>30200730</v>
      </c>
      <c r="I2433" s="28">
        <v>934791</v>
      </c>
      <c r="J2433" s="28">
        <v>0.99</v>
      </c>
      <c r="K2433" s="28">
        <v>47</v>
      </c>
      <c r="L2433" s="28">
        <v>1</v>
      </c>
    </row>
    <row r="2434" spans="1:12" ht="14.25" customHeight="1" x14ac:dyDescent="0.2">
      <c r="A2434" s="28">
        <v>2433</v>
      </c>
      <c r="B2434" s="28" t="s">
        <v>3296</v>
      </c>
      <c r="C2434" s="28" t="s">
        <v>3291</v>
      </c>
      <c r="D2434" s="28" t="s">
        <v>1018</v>
      </c>
      <c r="E2434" s="28" t="s">
        <v>211</v>
      </c>
      <c r="F2434" s="28" t="s">
        <v>212</v>
      </c>
      <c r="G2434" s="28"/>
      <c r="H2434" s="28">
        <v>20028702</v>
      </c>
      <c r="I2434" s="28">
        <v>618344</v>
      </c>
      <c r="J2434" s="28">
        <v>0.99</v>
      </c>
      <c r="K2434" s="28">
        <v>25</v>
      </c>
      <c r="L2434" s="28">
        <v>0</v>
      </c>
    </row>
    <row r="2435" spans="1:12" ht="14.25" customHeight="1" x14ac:dyDescent="0.2">
      <c r="A2435" s="28">
        <v>2434</v>
      </c>
      <c r="B2435" s="28" t="s">
        <v>3297</v>
      </c>
      <c r="C2435" s="28" t="s">
        <v>2393</v>
      </c>
      <c r="D2435" s="28" t="s">
        <v>2394</v>
      </c>
      <c r="E2435" s="28" t="s">
        <v>211</v>
      </c>
      <c r="F2435" s="28" t="s">
        <v>212</v>
      </c>
      <c r="G2435" s="28" t="s">
        <v>3298</v>
      </c>
      <c r="H2435" s="28">
        <v>8833220</v>
      </c>
      <c r="I2435" s="28">
        <v>270053</v>
      </c>
      <c r="J2435" s="28">
        <v>0.99</v>
      </c>
      <c r="K2435" s="28">
        <v>33</v>
      </c>
      <c r="L2435" s="28">
        <v>0</v>
      </c>
    </row>
    <row r="2436" spans="1:12" ht="14.25" customHeight="1" x14ac:dyDescent="0.2">
      <c r="A2436" s="28">
        <v>2435</v>
      </c>
      <c r="B2436" s="28" t="s">
        <v>3299</v>
      </c>
      <c r="C2436" s="28" t="s">
        <v>2393</v>
      </c>
      <c r="D2436" s="28" t="s">
        <v>2394</v>
      </c>
      <c r="E2436" s="28" t="s">
        <v>211</v>
      </c>
      <c r="F2436" s="28" t="s">
        <v>212</v>
      </c>
      <c r="G2436" s="28" t="s">
        <v>3300</v>
      </c>
      <c r="H2436" s="28">
        <v>8861921</v>
      </c>
      <c r="I2436" s="28">
        <v>268408</v>
      </c>
      <c r="J2436" s="28">
        <v>0.99</v>
      </c>
      <c r="K2436" s="28">
        <v>10</v>
      </c>
      <c r="L2436" s="28">
        <v>0</v>
      </c>
    </row>
    <row r="2437" spans="1:12" ht="14.25" customHeight="1" x14ac:dyDescent="0.2">
      <c r="A2437" s="28">
        <v>2436</v>
      </c>
      <c r="B2437" s="28" t="s">
        <v>3301</v>
      </c>
      <c r="C2437" s="28" t="s">
        <v>2393</v>
      </c>
      <c r="D2437" s="28" t="s">
        <v>2394</v>
      </c>
      <c r="E2437" s="28" t="s">
        <v>211</v>
      </c>
      <c r="F2437" s="28" t="s">
        <v>212</v>
      </c>
      <c r="G2437" s="28" t="s">
        <v>3302</v>
      </c>
      <c r="H2437" s="28">
        <v>8624063</v>
      </c>
      <c r="I2437" s="28">
        <v>262687</v>
      </c>
      <c r="J2437" s="28">
        <v>0.99</v>
      </c>
      <c r="K2437" s="28">
        <v>91</v>
      </c>
      <c r="L2437" s="28">
        <v>1</v>
      </c>
    </row>
    <row r="2438" spans="1:12" ht="14.25" customHeight="1" x14ac:dyDescent="0.2">
      <c r="A2438" s="28">
        <v>2437</v>
      </c>
      <c r="B2438" s="28" t="s">
        <v>3303</v>
      </c>
      <c r="C2438" s="28" t="s">
        <v>2393</v>
      </c>
      <c r="D2438" s="28" t="s">
        <v>2394</v>
      </c>
      <c r="E2438" s="28" t="s">
        <v>211</v>
      </c>
      <c r="F2438" s="28" t="s">
        <v>212</v>
      </c>
      <c r="G2438" s="28" t="s">
        <v>3304</v>
      </c>
      <c r="H2438" s="28">
        <v>7659017</v>
      </c>
      <c r="I2438" s="28">
        <v>232594</v>
      </c>
      <c r="J2438" s="28">
        <v>0.99</v>
      </c>
      <c r="K2438" s="28">
        <v>3</v>
      </c>
      <c r="L2438" s="28">
        <v>1</v>
      </c>
    </row>
    <row r="2439" spans="1:12" ht="14.25" customHeight="1" x14ac:dyDescent="0.2">
      <c r="A2439" s="28">
        <v>2438</v>
      </c>
      <c r="B2439" s="28" t="s">
        <v>3305</v>
      </c>
      <c r="C2439" s="28" t="s">
        <v>2393</v>
      </c>
      <c r="D2439" s="28" t="s">
        <v>2394</v>
      </c>
      <c r="E2439" s="28" t="s">
        <v>211</v>
      </c>
      <c r="F2439" s="28" t="s">
        <v>212</v>
      </c>
      <c r="G2439" s="28" t="s">
        <v>3302</v>
      </c>
      <c r="H2439" s="28">
        <v>7822875</v>
      </c>
      <c r="I2439" s="28">
        <v>237662</v>
      </c>
      <c r="J2439" s="28">
        <v>0.99</v>
      </c>
      <c r="K2439" s="28">
        <v>99</v>
      </c>
      <c r="L2439" s="28">
        <v>0</v>
      </c>
    </row>
    <row r="2440" spans="1:12" ht="14.25" customHeight="1" x14ac:dyDescent="0.2">
      <c r="A2440" s="28">
        <v>2439</v>
      </c>
      <c r="B2440" s="28" t="s">
        <v>3306</v>
      </c>
      <c r="C2440" s="28" t="s">
        <v>2393</v>
      </c>
      <c r="D2440" s="28" t="s">
        <v>2394</v>
      </c>
      <c r="E2440" s="28" t="s">
        <v>211</v>
      </c>
      <c r="F2440" s="28" t="s">
        <v>212</v>
      </c>
      <c r="G2440" s="28" t="s">
        <v>3307</v>
      </c>
      <c r="H2440" s="28">
        <v>7712845</v>
      </c>
      <c r="I2440" s="28">
        <v>235232</v>
      </c>
      <c r="J2440" s="28">
        <v>0.99</v>
      </c>
      <c r="K2440" s="28">
        <v>12</v>
      </c>
      <c r="L2440" s="28">
        <v>0</v>
      </c>
    </row>
    <row r="2441" spans="1:12" ht="14.25" customHeight="1" x14ac:dyDescent="0.2">
      <c r="A2441" s="28">
        <v>2440</v>
      </c>
      <c r="B2441" s="28" t="s">
        <v>3308</v>
      </c>
      <c r="C2441" s="28" t="s">
        <v>2393</v>
      </c>
      <c r="D2441" s="28" t="s">
        <v>2394</v>
      </c>
      <c r="E2441" s="28" t="s">
        <v>211</v>
      </c>
      <c r="F2441" s="28" t="s">
        <v>212</v>
      </c>
      <c r="G2441" s="28" t="s">
        <v>3309</v>
      </c>
      <c r="H2441" s="28">
        <v>6712634</v>
      </c>
      <c r="I2441" s="28">
        <v>206524</v>
      </c>
      <c r="J2441" s="28">
        <v>0.99</v>
      </c>
      <c r="K2441" s="28">
        <v>94</v>
      </c>
      <c r="L2441" s="28">
        <v>1</v>
      </c>
    </row>
    <row r="2442" spans="1:12" ht="14.25" customHeight="1" x14ac:dyDescent="0.2">
      <c r="A2442" s="28">
        <v>2441</v>
      </c>
      <c r="B2442" s="28" t="s">
        <v>3310</v>
      </c>
      <c r="C2442" s="28" t="s">
        <v>2393</v>
      </c>
      <c r="D2442" s="28" t="s">
        <v>2394</v>
      </c>
      <c r="E2442" s="28" t="s">
        <v>211</v>
      </c>
      <c r="F2442" s="28" t="s">
        <v>212</v>
      </c>
      <c r="G2442" s="28" t="s">
        <v>3302</v>
      </c>
      <c r="H2442" s="28">
        <v>8194906</v>
      </c>
      <c r="I2442" s="28">
        <v>248137</v>
      </c>
      <c r="J2442" s="28">
        <v>0.99</v>
      </c>
      <c r="K2442" s="28">
        <v>25</v>
      </c>
      <c r="L2442" s="28">
        <v>1</v>
      </c>
    </row>
    <row r="2443" spans="1:12" ht="14.25" customHeight="1" x14ac:dyDescent="0.2">
      <c r="A2443" s="28">
        <v>2442</v>
      </c>
      <c r="B2443" s="28" t="s">
        <v>3311</v>
      </c>
      <c r="C2443" s="28" t="s">
        <v>2393</v>
      </c>
      <c r="D2443" s="28" t="s">
        <v>2394</v>
      </c>
      <c r="E2443" s="28" t="s">
        <v>211</v>
      </c>
      <c r="F2443" s="28" t="s">
        <v>212</v>
      </c>
      <c r="G2443" s="28" t="s">
        <v>3312</v>
      </c>
      <c r="H2443" s="28">
        <v>7997139</v>
      </c>
      <c r="I2443" s="28">
        <v>239595</v>
      </c>
      <c r="J2443" s="28">
        <v>0.99</v>
      </c>
      <c r="K2443" s="28">
        <v>91</v>
      </c>
      <c r="L2443" s="28">
        <v>0</v>
      </c>
    </row>
    <row r="2444" spans="1:12" ht="14.25" customHeight="1" x14ac:dyDescent="0.2">
      <c r="A2444" s="28">
        <v>2443</v>
      </c>
      <c r="B2444" s="28" t="s">
        <v>3313</v>
      </c>
      <c r="C2444" s="28" t="s">
        <v>2393</v>
      </c>
      <c r="D2444" s="28" t="s">
        <v>2394</v>
      </c>
      <c r="E2444" s="28" t="s">
        <v>211</v>
      </c>
      <c r="F2444" s="28" t="s">
        <v>212</v>
      </c>
      <c r="G2444" s="28" t="s">
        <v>3312</v>
      </c>
      <c r="H2444" s="28">
        <v>10034711</v>
      </c>
      <c r="I2444" s="28">
        <v>303934</v>
      </c>
      <c r="J2444" s="28">
        <v>0.99</v>
      </c>
      <c r="K2444" s="28">
        <v>68</v>
      </c>
      <c r="L2444" s="28">
        <v>0</v>
      </c>
    </row>
    <row r="2445" spans="1:12" ht="14.25" customHeight="1" x14ac:dyDescent="0.2">
      <c r="A2445" s="28">
        <v>2444</v>
      </c>
      <c r="B2445" s="28" t="s">
        <v>3314</v>
      </c>
      <c r="C2445" s="28" t="s">
        <v>2393</v>
      </c>
      <c r="D2445" s="28" t="s">
        <v>2394</v>
      </c>
      <c r="E2445" s="28" t="s">
        <v>211</v>
      </c>
      <c r="F2445" s="28" t="s">
        <v>212</v>
      </c>
      <c r="G2445" s="28" t="s">
        <v>3302</v>
      </c>
      <c r="H2445" s="28">
        <v>7893821</v>
      </c>
      <c r="I2445" s="28">
        <v>240666</v>
      </c>
      <c r="J2445" s="28">
        <v>0.99</v>
      </c>
      <c r="K2445" s="28">
        <v>51</v>
      </c>
      <c r="L2445" s="28">
        <v>0</v>
      </c>
    </row>
    <row r="2446" spans="1:12" ht="14.25" customHeight="1" x14ac:dyDescent="0.2">
      <c r="A2446" s="28">
        <v>2445</v>
      </c>
      <c r="B2446" s="28" t="s">
        <v>3315</v>
      </c>
      <c r="C2446" s="28" t="s">
        <v>2393</v>
      </c>
      <c r="D2446" s="28" t="s">
        <v>2394</v>
      </c>
      <c r="E2446" s="28" t="s">
        <v>211</v>
      </c>
      <c r="F2446" s="28" t="s">
        <v>212</v>
      </c>
      <c r="G2446" s="28" t="s">
        <v>3302</v>
      </c>
      <c r="H2446" s="28">
        <v>8408803</v>
      </c>
      <c r="I2446" s="28">
        <v>256992</v>
      </c>
      <c r="J2446" s="28">
        <v>0.99</v>
      </c>
      <c r="K2446" s="28">
        <v>51</v>
      </c>
      <c r="L2446" s="28">
        <v>1</v>
      </c>
    </row>
    <row r="2447" spans="1:12" ht="14.25" customHeight="1" x14ac:dyDescent="0.2">
      <c r="A2447" s="28">
        <v>2446</v>
      </c>
      <c r="B2447" s="28" t="s">
        <v>3316</v>
      </c>
      <c r="C2447" s="28" t="s">
        <v>2393</v>
      </c>
      <c r="D2447" s="28" t="s">
        <v>2394</v>
      </c>
      <c r="E2447" s="28" t="s">
        <v>211</v>
      </c>
      <c r="F2447" s="28" t="s">
        <v>212</v>
      </c>
      <c r="G2447" s="28" t="s">
        <v>3302</v>
      </c>
      <c r="H2447" s="28">
        <v>9837832</v>
      </c>
      <c r="I2447" s="28">
        <v>298083</v>
      </c>
      <c r="J2447" s="28">
        <v>0.99</v>
      </c>
      <c r="K2447" s="28">
        <v>46</v>
      </c>
      <c r="L2447" s="28">
        <v>1</v>
      </c>
    </row>
    <row r="2448" spans="1:12" ht="14.25" customHeight="1" x14ac:dyDescent="0.2">
      <c r="A2448" s="28">
        <v>2447</v>
      </c>
      <c r="B2448" s="28" t="s">
        <v>264</v>
      </c>
      <c r="C2448" s="28" t="s">
        <v>2393</v>
      </c>
      <c r="D2448" s="28" t="s">
        <v>2394</v>
      </c>
      <c r="E2448" s="28" t="s">
        <v>211</v>
      </c>
      <c r="F2448" s="28" t="s">
        <v>212</v>
      </c>
      <c r="G2448" s="28" t="s">
        <v>3317</v>
      </c>
      <c r="H2448" s="28">
        <v>7880256</v>
      </c>
      <c r="I2448" s="28">
        <v>240561</v>
      </c>
      <c r="J2448" s="28">
        <v>0.99</v>
      </c>
      <c r="K2448" s="28">
        <v>71</v>
      </c>
      <c r="L2448" s="28">
        <v>0</v>
      </c>
    </row>
    <row r="2449" spans="1:12" ht="14.25" customHeight="1" x14ac:dyDescent="0.2">
      <c r="A2449" s="28">
        <v>2448</v>
      </c>
      <c r="B2449" s="28" t="s">
        <v>3318</v>
      </c>
      <c r="C2449" s="28" t="s">
        <v>2393</v>
      </c>
      <c r="D2449" s="28" t="s">
        <v>2394</v>
      </c>
      <c r="E2449" s="28" t="s">
        <v>211</v>
      </c>
      <c r="F2449" s="28" t="s">
        <v>212</v>
      </c>
      <c r="G2449" s="28" t="s">
        <v>3302</v>
      </c>
      <c r="H2449" s="28">
        <v>8793094</v>
      </c>
      <c r="I2449" s="28">
        <v>263888</v>
      </c>
      <c r="J2449" s="28">
        <v>0.99</v>
      </c>
      <c r="K2449" s="28">
        <v>5</v>
      </c>
      <c r="L2449" s="28">
        <v>0</v>
      </c>
    </row>
    <row r="2450" spans="1:12" ht="14.25" customHeight="1" x14ac:dyDescent="0.2">
      <c r="A2450" s="28">
        <v>2449</v>
      </c>
      <c r="B2450" s="28" t="s">
        <v>3319</v>
      </c>
      <c r="C2450" s="28" t="s">
        <v>3320</v>
      </c>
      <c r="D2450" s="28" t="s">
        <v>3321</v>
      </c>
      <c r="E2450" s="28" t="s">
        <v>211</v>
      </c>
      <c r="F2450" s="28" t="s">
        <v>212</v>
      </c>
      <c r="G2450" s="28" t="s">
        <v>3322</v>
      </c>
      <c r="H2450" s="28">
        <v>9272272</v>
      </c>
      <c r="I2450" s="28">
        <v>278987</v>
      </c>
      <c r="J2450" s="28">
        <v>0.99</v>
      </c>
      <c r="K2450" s="28">
        <v>32</v>
      </c>
      <c r="L2450" s="28">
        <v>1</v>
      </c>
    </row>
    <row r="2451" spans="1:12" ht="14.25" customHeight="1" x14ac:dyDescent="0.2">
      <c r="A2451" s="28">
        <v>2450</v>
      </c>
      <c r="B2451" s="28" t="s">
        <v>3323</v>
      </c>
      <c r="C2451" s="28" t="s">
        <v>3320</v>
      </c>
      <c r="D2451" s="28" t="s">
        <v>3321</v>
      </c>
      <c r="E2451" s="28" t="s">
        <v>211</v>
      </c>
      <c r="F2451" s="28" t="s">
        <v>212</v>
      </c>
      <c r="G2451" s="28" t="s">
        <v>3324</v>
      </c>
      <c r="H2451" s="28">
        <v>7699609</v>
      </c>
      <c r="I2451" s="28">
        <v>233665</v>
      </c>
      <c r="J2451" s="28">
        <v>0.99</v>
      </c>
      <c r="K2451" s="28">
        <v>70</v>
      </c>
      <c r="L2451" s="28">
        <v>1</v>
      </c>
    </row>
    <row r="2452" spans="1:12" ht="14.25" customHeight="1" x14ac:dyDescent="0.2">
      <c r="A2452" s="28">
        <v>2451</v>
      </c>
      <c r="B2452" s="28" t="s">
        <v>3325</v>
      </c>
      <c r="C2452" s="28" t="s">
        <v>3320</v>
      </c>
      <c r="D2452" s="28" t="s">
        <v>3321</v>
      </c>
      <c r="E2452" s="28" t="s">
        <v>211</v>
      </c>
      <c r="F2452" s="28" t="s">
        <v>212</v>
      </c>
      <c r="G2452" s="28" t="s">
        <v>3324</v>
      </c>
      <c r="H2452" s="28">
        <v>8289200</v>
      </c>
      <c r="I2452" s="28">
        <v>250122</v>
      </c>
      <c r="J2452" s="28">
        <v>0.99</v>
      </c>
      <c r="K2452" s="28">
        <v>71</v>
      </c>
      <c r="L2452" s="28">
        <v>0</v>
      </c>
    </row>
    <row r="2453" spans="1:12" ht="14.25" customHeight="1" x14ac:dyDescent="0.2">
      <c r="A2453" s="28">
        <v>2452</v>
      </c>
      <c r="B2453" s="28" t="s">
        <v>3326</v>
      </c>
      <c r="C2453" s="28" t="s">
        <v>3320</v>
      </c>
      <c r="D2453" s="28" t="s">
        <v>3321</v>
      </c>
      <c r="E2453" s="28" t="s">
        <v>211</v>
      </c>
      <c r="F2453" s="28" t="s">
        <v>212</v>
      </c>
      <c r="G2453" s="28" t="s">
        <v>3327</v>
      </c>
      <c r="H2453" s="28">
        <v>8025816</v>
      </c>
      <c r="I2453" s="28">
        <v>240613</v>
      </c>
      <c r="J2453" s="28">
        <v>0.99</v>
      </c>
      <c r="K2453" s="28">
        <v>20</v>
      </c>
      <c r="L2453" s="28">
        <v>0</v>
      </c>
    </row>
    <row r="2454" spans="1:12" ht="14.25" customHeight="1" x14ac:dyDescent="0.2">
      <c r="A2454" s="28">
        <v>2453</v>
      </c>
      <c r="B2454" s="28" t="s">
        <v>3328</v>
      </c>
      <c r="C2454" s="28" t="s">
        <v>3320</v>
      </c>
      <c r="D2454" s="28" t="s">
        <v>3321</v>
      </c>
      <c r="E2454" s="28" t="s">
        <v>211</v>
      </c>
      <c r="F2454" s="28" t="s">
        <v>212</v>
      </c>
      <c r="G2454" s="28" t="s">
        <v>3329</v>
      </c>
      <c r="H2454" s="28">
        <v>7874774</v>
      </c>
      <c r="I2454" s="28">
        <v>238628</v>
      </c>
      <c r="J2454" s="28">
        <v>0.99</v>
      </c>
      <c r="K2454" s="28">
        <v>93</v>
      </c>
      <c r="L2454" s="28">
        <v>0</v>
      </c>
    </row>
    <row r="2455" spans="1:12" ht="14.25" customHeight="1" x14ac:dyDescent="0.2">
      <c r="A2455" s="28">
        <v>2454</v>
      </c>
      <c r="B2455" s="28" t="s">
        <v>3330</v>
      </c>
      <c r="C2455" s="28" t="s">
        <v>3320</v>
      </c>
      <c r="D2455" s="28" t="s">
        <v>3321</v>
      </c>
      <c r="E2455" s="28" t="s">
        <v>211</v>
      </c>
      <c r="F2455" s="28" t="s">
        <v>212</v>
      </c>
      <c r="G2455" s="28" t="s">
        <v>3331</v>
      </c>
      <c r="H2455" s="28">
        <v>8270613</v>
      </c>
      <c r="I2455" s="28">
        <v>249600</v>
      </c>
      <c r="J2455" s="28">
        <v>0.99</v>
      </c>
      <c r="K2455" s="28">
        <v>76</v>
      </c>
      <c r="L2455" s="28">
        <v>1</v>
      </c>
    </row>
    <row r="2456" spans="1:12" ht="14.25" customHeight="1" x14ac:dyDescent="0.2">
      <c r="A2456" s="28">
        <v>2455</v>
      </c>
      <c r="B2456" s="28" t="s">
        <v>3320</v>
      </c>
      <c r="C2456" s="28" t="s">
        <v>3320</v>
      </c>
      <c r="D2456" s="28" t="s">
        <v>3321</v>
      </c>
      <c r="E2456" s="28" t="s">
        <v>211</v>
      </c>
      <c r="F2456" s="28" t="s">
        <v>212</v>
      </c>
      <c r="G2456" s="28" t="s">
        <v>3324</v>
      </c>
      <c r="H2456" s="28">
        <v>8213710</v>
      </c>
      <c r="I2456" s="28">
        <v>245629</v>
      </c>
      <c r="J2456" s="28">
        <v>0.99</v>
      </c>
      <c r="K2456" s="28">
        <v>3</v>
      </c>
      <c r="L2456" s="28">
        <v>1</v>
      </c>
    </row>
    <row r="2457" spans="1:12" ht="14.25" customHeight="1" x14ac:dyDescent="0.2">
      <c r="A2457" s="28">
        <v>2456</v>
      </c>
      <c r="B2457" s="28" t="s">
        <v>3332</v>
      </c>
      <c r="C2457" s="28" t="s">
        <v>3320</v>
      </c>
      <c r="D2457" s="28" t="s">
        <v>3321</v>
      </c>
      <c r="E2457" s="28" t="s">
        <v>211</v>
      </c>
      <c r="F2457" s="28" t="s">
        <v>212</v>
      </c>
      <c r="G2457" s="28" t="s">
        <v>3324</v>
      </c>
      <c r="H2457" s="28">
        <v>9817847</v>
      </c>
      <c r="I2457" s="28">
        <v>298527</v>
      </c>
      <c r="J2457" s="28">
        <v>0.99</v>
      </c>
      <c r="K2457" s="28">
        <v>17</v>
      </c>
      <c r="L2457" s="28">
        <v>0</v>
      </c>
    </row>
    <row r="2458" spans="1:12" ht="14.25" customHeight="1" x14ac:dyDescent="0.2">
      <c r="A2458" s="28">
        <v>2457</v>
      </c>
      <c r="B2458" s="28" t="s">
        <v>3333</v>
      </c>
      <c r="C2458" s="28" t="s">
        <v>3320</v>
      </c>
      <c r="D2458" s="28" t="s">
        <v>3321</v>
      </c>
      <c r="E2458" s="28" t="s">
        <v>211</v>
      </c>
      <c r="F2458" s="28" t="s">
        <v>212</v>
      </c>
      <c r="G2458" s="28" t="s">
        <v>3334</v>
      </c>
      <c r="H2458" s="28">
        <v>10480391</v>
      </c>
      <c r="I2458" s="28">
        <v>314723</v>
      </c>
      <c r="J2458" s="28">
        <v>0.99</v>
      </c>
      <c r="K2458" s="28">
        <v>25</v>
      </c>
      <c r="L2458" s="28">
        <v>0</v>
      </c>
    </row>
    <row r="2459" spans="1:12" ht="14.25" customHeight="1" x14ac:dyDescent="0.2">
      <c r="A2459" s="28">
        <v>2458</v>
      </c>
      <c r="B2459" s="28" t="s">
        <v>3335</v>
      </c>
      <c r="C2459" s="28" t="s">
        <v>3320</v>
      </c>
      <c r="D2459" s="28" t="s">
        <v>3321</v>
      </c>
      <c r="E2459" s="28" t="s">
        <v>211</v>
      </c>
      <c r="F2459" s="28" t="s">
        <v>212</v>
      </c>
      <c r="G2459" s="28" t="s">
        <v>3324</v>
      </c>
      <c r="H2459" s="28">
        <v>8980972</v>
      </c>
      <c r="I2459" s="28">
        <v>272169</v>
      </c>
      <c r="J2459" s="28">
        <v>0.99</v>
      </c>
      <c r="K2459" s="28">
        <v>47</v>
      </c>
      <c r="L2459" s="28">
        <v>1</v>
      </c>
    </row>
    <row r="2460" spans="1:12" ht="14.25" customHeight="1" x14ac:dyDescent="0.2">
      <c r="A2460" s="28">
        <v>2459</v>
      </c>
      <c r="B2460" s="28" t="s">
        <v>3336</v>
      </c>
      <c r="C2460" s="28" t="s">
        <v>3320</v>
      </c>
      <c r="D2460" s="28" t="s">
        <v>3321</v>
      </c>
      <c r="E2460" s="28" t="s">
        <v>211</v>
      </c>
      <c r="F2460" s="28" t="s">
        <v>212</v>
      </c>
      <c r="G2460" s="28" t="s">
        <v>3337</v>
      </c>
      <c r="H2460" s="28">
        <v>10110351</v>
      </c>
      <c r="I2460" s="28">
        <v>306390</v>
      </c>
      <c r="J2460" s="28">
        <v>0.99</v>
      </c>
      <c r="K2460" s="28">
        <v>68</v>
      </c>
      <c r="L2460" s="28">
        <v>1</v>
      </c>
    </row>
    <row r="2461" spans="1:12" ht="14.25" customHeight="1" x14ac:dyDescent="0.2">
      <c r="A2461" s="28">
        <v>2460</v>
      </c>
      <c r="B2461" s="28" t="s">
        <v>3338</v>
      </c>
      <c r="C2461" s="28" t="s">
        <v>3320</v>
      </c>
      <c r="D2461" s="28" t="s">
        <v>3321</v>
      </c>
      <c r="E2461" s="28" t="s">
        <v>211</v>
      </c>
      <c r="F2461" s="28" t="s">
        <v>212</v>
      </c>
      <c r="G2461" s="28" t="s">
        <v>3324</v>
      </c>
      <c r="H2461" s="28">
        <v>8697658</v>
      </c>
      <c r="I2461" s="28">
        <v>264568</v>
      </c>
      <c r="J2461" s="28">
        <v>0.99</v>
      </c>
      <c r="K2461" s="28">
        <v>70</v>
      </c>
      <c r="L2461" s="28">
        <v>0</v>
      </c>
    </row>
    <row r="2462" spans="1:12" ht="14.25" customHeight="1" x14ac:dyDescent="0.2">
      <c r="A2462" s="28">
        <v>2461</v>
      </c>
      <c r="B2462" s="28" t="s">
        <v>3339</v>
      </c>
      <c r="C2462" s="28" t="s">
        <v>3340</v>
      </c>
      <c r="D2462" s="28" t="s">
        <v>3321</v>
      </c>
      <c r="E2462" s="28" t="s">
        <v>211</v>
      </c>
      <c r="F2462" s="28" t="s">
        <v>212</v>
      </c>
      <c r="G2462" s="28" t="s">
        <v>3341</v>
      </c>
      <c r="H2462" s="28">
        <v>38747</v>
      </c>
      <c r="I2462" s="28">
        <v>1071</v>
      </c>
      <c r="J2462" s="28">
        <v>0.99</v>
      </c>
      <c r="K2462" s="28">
        <v>68</v>
      </c>
      <c r="L2462" s="28">
        <v>0</v>
      </c>
    </row>
    <row r="2463" spans="1:12" ht="14.25" customHeight="1" x14ac:dyDescent="0.2">
      <c r="A2463" s="28">
        <v>2462</v>
      </c>
      <c r="B2463" s="28" t="s">
        <v>3342</v>
      </c>
      <c r="C2463" s="28" t="s">
        <v>3340</v>
      </c>
      <c r="D2463" s="28" t="s">
        <v>3321</v>
      </c>
      <c r="E2463" s="28" t="s">
        <v>211</v>
      </c>
      <c r="F2463" s="28" t="s">
        <v>212</v>
      </c>
      <c r="G2463" s="28" t="s">
        <v>3341</v>
      </c>
      <c r="H2463" s="28">
        <v>8479463</v>
      </c>
      <c r="I2463" s="28">
        <v>254223</v>
      </c>
      <c r="J2463" s="28">
        <v>0.99</v>
      </c>
      <c r="K2463" s="28">
        <v>37</v>
      </c>
      <c r="L2463" s="28">
        <v>0</v>
      </c>
    </row>
    <row r="2464" spans="1:12" ht="14.25" customHeight="1" x14ac:dyDescent="0.2">
      <c r="A2464" s="28">
        <v>2463</v>
      </c>
      <c r="B2464" s="28" t="s">
        <v>3343</v>
      </c>
      <c r="C2464" s="28" t="s">
        <v>3340</v>
      </c>
      <c r="D2464" s="28" t="s">
        <v>3321</v>
      </c>
      <c r="E2464" s="28" t="s">
        <v>211</v>
      </c>
      <c r="F2464" s="28" t="s">
        <v>212</v>
      </c>
      <c r="G2464" s="28" t="s">
        <v>3341</v>
      </c>
      <c r="H2464" s="28">
        <v>8331310</v>
      </c>
      <c r="I2464" s="28">
        <v>247954</v>
      </c>
      <c r="J2464" s="28">
        <v>0.99</v>
      </c>
      <c r="K2464" s="28">
        <v>4</v>
      </c>
      <c r="L2464" s="28">
        <v>1</v>
      </c>
    </row>
    <row r="2465" spans="1:12" ht="14.25" customHeight="1" x14ac:dyDescent="0.2">
      <c r="A2465" s="28">
        <v>2464</v>
      </c>
      <c r="B2465" s="28" t="s">
        <v>3344</v>
      </c>
      <c r="C2465" s="28" t="s">
        <v>3340</v>
      </c>
      <c r="D2465" s="28" t="s">
        <v>3321</v>
      </c>
      <c r="E2465" s="28" t="s">
        <v>211</v>
      </c>
      <c r="F2465" s="28" t="s">
        <v>212</v>
      </c>
      <c r="G2465" s="28" t="s">
        <v>3341</v>
      </c>
      <c r="H2465" s="28">
        <v>10511239</v>
      </c>
      <c r="I2465" s="28">
        <v>317492</v>
      </c>
      <c r="J2465" s="28">
        <v>0.99</v>
      </c>
      <c r="K2465" s="28">
        <v>93</v>
      </c>
      <c r="L2465" s="28">
        <v>1</v>
      </c>
    </row>
    <row r="2466" spans="1:12" ht="14.25" customHeight="1" x14ac:dyDescent="0.2">
      <c r="A2466" s="28">
        <v>2465</v>
      </c>
      <c r="B2466" s="28" t="s">
        <v>3345</v>
      </c>
      <c r="C2466" s="28" t="s">
        <v>3340</v>
      </c>
      <c r="D2466" s="28" t="s">
        <v>3321</v>
      </c>
      <c r="E2466" s="28" t="s">
        <v>211</v>
      </c>
      <c r="F2466" s="28" t="s">
        <v>212</v>
      </c>
      <c r="G2466" s="28" t="s">
        <v>3341</v>
      </c>
      <c r="H2466" s="28">
        <v>8133126</v>
      </c>
      <c r="I2466" s="28">
        <v>243748</v>
      </c>
      <c r="J2466" s="28">
        <v>0.99</v>
      </c>
      <c r="K2466" s="28">
        <v>66</v>
      </c>
      <c r="L2466" s="28">
        <v>0</v>
      </c>
    </row>
    <row r="2467" spans="1:12" ht="14.25" customHeight="1" x14ac:dyDescent="0.2">
      <c r="A2467" s="28">
        <v>2466</v>
      </c>
      <c r="B2467" s="28" t="s">
        <v>3346</v>
      </c>
      <c r="C2467" s="28" t="s">
        <v>3340</v>
      </c>
      <c r="D2467" s="28" t="s">
        <v>3321</v>
      </c>
      <c r="E2467" s="28" t="s">
        <v>211</v>
      </c>
      <c r="F2467" s="28" t="s">
        <v>212</v>
      </c>
      <c r="G2467" s="28" t="s">
        <v>3341</v>
      </c>
      <c r="H2467" s="28">
        <v>9196411</v>
      </c>
      <c r="I2467" s="28">
        <v>279353</v>
      </c>
      <c r="J2467" s="28">
        <v>0.99</v>
      </c>
      <c r="K2467" s="28">
        <v>6</v>
      </c>
      <c r="L2467" s="28">
        <v>0</v>
      </c>
    </row>
    <row r="2468" spans="1:12" ht="14.25" customHeight="1" x14ac:dyDescent="0.2">
      <c r="A2468" s="28">
        <v>2467</v>
      </c>
      <c r="B2468" s="28" t="s">
        <v>3347</v>
      </c>
      <c r="C2468" s="28" t="s">
        <v>3340</v>
      </c>
      <c r="D2468" s="28" t="s">
        <v>3321</v>
      </c>
      <c r="E2468" s="28" t="s">
        <v>211</v>
      </c>
      <c r="F2468" s="28" t="s">
        <v>212</v>
      </c>
      <c r="G2468" s="28" t="s">
        <v>3341</v>
      </c>
      <c r="H2468" s="28">
        <v>8222095</v>
      </c>
      <c r="I2468" s="28">
        <v>245551</v>
      </c>
      <c r="J2468" s="28">
        <v>0.99</v>
      </c>
      <c r="K2468" s="28">
        <v>79</v>
      </c>
      <c r="L2468" s="28">
        <v>1</v>
      </c>
    </row>
    <row r="2469" spans="1:12" ht="14.25" customHeight="1" x14ac:dyDescent="0.2">
      <c r="A2469" s="28">
        <v>2468</v>
      </c>
      <c r="B2469" s="28" t="s">
        <v>3348</v>
      </c>
      <c r="C2469" s="28" t="s">
        <v>3340</v>
      </c>
      <c r="D2469" s="28" t="s">
        <v>3321</v>
      </c>
      <c r="E2469" s="28" t="s">
        <v>211</v>
      </c>
      <c r="F2469" s="28" t="s">
        <v>212</v>
      </c>
      <c r="G2469" s="28" t="s">
        <v>3341</v>
      </c>
      <c r="H2469" s="28">
        <v>9805570</v>
      </c>
      <c r="I2469" s="28">
        <v>292414</v>
      </c>
      <c r="J2469" s="28">
        <v>0.99</v>
      </c>
      <c r="K2469" s="28">
        <v>0</v>
      </c>
      <c r="L2469" s="28">
        <v>1</v>
      </c>
    </row>
    <row r="2470" spans="1:12" ht="14.25" customHeight="1" x14ac:dyDescent="0.2">
      <c r="A2470" s="28">
        <v>2469</v>
      </c>
      <c r="B2470" s="28" t="s">
        <v>3349</v>
      </c>
      <c r="C2470" s="28" t="s">
        <v>3340</v>
      </c>
      <c r="D2470" s="28" t="s">
        <v>3321</v>
      </c>
      <c r="E2470" s="28" t="s">
        <v>211</v>
      </c>
      <c r="F2470" s="28" t="s">
        <v>212</v>
      </c>
      <c r="G2470" s="28" t="s">
        <v>3341</v>
      </c>
      <c r="H2470" s="28">
        <v>8025667</v>
      </c>
      <c r="I2470" s="28">
        <v>239229</v>
      </c>
      <c r="J2470" s="28">
        <v>0.99</v>
      </c>
      <c r="K2470" s="28">
        <v>92</v>
      </c>
      <c r="L2470" s="28">
        <v>0</v>
      </c>
    </row>
    <row r="2471" spans="1:12" ht="14.25" customHeight="1" x14ac:dyDescent="0.2">
      <c r="A2471" s="28">
        <v>2470</v>
      </c>
      <c r="B2471" s="28" t="s">
        <v>3350</v>
      </c>
      <c r="C2471" s="28" t="s">
        <v>3340</v>
      </c>
      <c r="D2471" s="28" t="s">
        <v>3321</v>
      </c>
      <c r="E2471" s="28" t="s">
        <v>211</v>
      </c>
      <c r="F2471" s="28" t="s">
        <v>212</v>
      </c>
      <c r="G2471" s="28" t="s">
        <v>3341</v>
      </c>
      <c r="H2471" s="28">
        <v>8484871</v>
      </c>
      <c r="I2471" s="28">
        <v>254928</v>
      </c>
      <c r="J2471" s="28">
        <v>0.99</v>
      </c>
      <c r="K2471" s="28">
        <v>35</v>
      </c>
      <c r="L2471" s="28">
        <v>0</v>
      </c>
    </row>
    <row r="2472" spans="1:12" ht="14.25" customHeight="1" x14ac:dyDescent="0.2">
      <c r="A2472" s="28">
        <v>2471</v>
      </c>
      <c r="B2472" s="28" t="s">
        <v>3351</v>
      </c>
      <c r="C2472" s="28" t="s">
        <v>3340</v>
      </c>
      <c r="D2472" s="28" t="s">
        <v>3321</v>
      </c>
      <c r="E2472" s="28" t="s">
        <v>211</v>
      </c>
      <c r="F2472" s="28" t="s">
        <v>212</v>
      </c>
      <c r="G2472" s="28" t="s">
        <v>3341</v>
      </c>
      <c r="H2472" s="28">
        <v>10771610</v>
      </c>
      <c r="I2472" s="28">
        <v>318406</v>
      </c>
      <c r="J2472" s="28">
        <v>0.99</v>
      </c>
      <c r="K2472" s="28">
        <v>66</v>
      </c>
      <c r="L2472" s="28">
        <v>0</v>
      </c>
    </row>
    <row r="2473" spans="1:12" ht="14.25" customHeight="1" x14ac:dyDescent="0.2">
      <c r="A2473" s="28">
        <v>2472</v>
      </c>
      <c r="B2473" s="28" t="s">
        <v>3352</v>
      </c>
      <c r="C2473" s="28" t="s">
        <v>3353</v>
      </c>
      <c r="D2473" s="28" t="s">
        <v>3354</v>
      </c>
      <c r="E2473" s="28" t="s">
        <v>211</v>
      </c>
      <c r="F2473" s="28" t="s">
        <v>348</v>
      </c>
      <c r="G2473" s="28" t="s">
        <v>3355</v>
      </c>
      <c r="H2473" s="28">
        <v>6200617</v>
      </c>
      <c r="I2473" s="28">
        <v>189387</v>
      </c>
      <c r="J2473" s="28">
        <v>0.99</v>
      </c>
      <c r="K2473" s="28">
        <v>58</v>
      </c>
      <c r="L2473" s="28">
        <v>1</v>
      </c>
    </row>
    <row r="2474" spans="1:12" ht="14.25" customHeight="1" x14ac:dyDescent="0.2">
      <c r="A2474" s="28">
        <v>2473</v>
      </c>
      <c r="B2474" s="28" t="s">
        <v>3356</v>
      </c>
      <c r="C2474" s="28" t="s">
        <v>3353</v>
      </c>
      <c r="D2474" s="28" t="s">
        <v>3354</v>
      </c>
      <c r="E2474" s="28" t="s">
        <v>211</v>
      </c>
      <c r="F2474" s="28" t="s">
        <v>348</v>
      </c>
      <c r="G2474" s="28" t="s">
        <v>3355</v>
      </c>
      <c r="H2474" s="28">
        <v>15408329</v>
      </c>
      <c r="I2474" s="28">
        <v>473391</v>
      </c>
      <c r="J2474" s="28">
        <v>0.99</v>
      </c>
      <c r="K2474" s="28">
        <v>61</v>
      </c>
      <c r="L2474" s="28">
        <v>1</v>
      </c>
    </row>
    <row r="2475" spans="1:12" ht="14.25" customHeight="1" x14ac:dyDescent="0.2">
      <c r="A2475" s="28">
        <v>2474</v>
      </c>
      <c r="B2475" s="28" t="s">
        <v>3357</v>
      </c>
      <c r="C2475" s="28" t="s">
        <v>3353</v>
      </c>
      <c r="D2475" s="28" t="s">
        <v>3354</v>
      </c>
      <c r="E2475" s="28" t="s">
        <v>211</v>
      </c>
      <c r="F2475" s="28" t="s">
        <v>348</v>
      </c>
      <c r="G2475" s="28" t="s">
        <v>3355</v>
      </c>
      <c r="H2475" s="28">
        <v>7405137</v>
      </c>
      <c r="I2475" s="28">
        <v>226403</v>
      </c>
      <c r="J2475" s="28">
        <v>0.99</v>
      </c>
      <c r="K2475" s="28">
        <v>16</v>
      </c>
      <c r="L2475" s="28">
        <v>0</v>
      </c>
    </row>
    <row r="2476" spans="1:12" ht="14.25" customHeight="1" x14ac:dyDescent="0.2">
      <c r="A2476" s="28">
        <v>2475</v>
      </c>
      <c r="B2476" s="28" t="s">
        <v>3358</v>
      </c>
      <c r="C2476" s="28" t="s">
        <v>3353</v>
      </c>
      <c r="D2476" s="28" t="s">
        <v>3354</v>
      </c>
      <c r="E2476" s="28" t="s">
        <v>211</v>
      </c>
      <c r="F2476" s="28" t="s">
        <v>348</v>
      </c>
      <c r="G2476" s="28" t="s">
        <v>3355</v>
      </c>
      <c r="H2476" s="28">
        <v>6269057</v>
      </c>
      <c r="I2476" s="28">
        <v>192339</v>
      </c>
      <c r="J2476" s="28">
        <v>0.99</v>
      </c>
      <c r="K2476" s="28">
        <v>44</v>
      </c>
      <c r="L2476" s="28">
        <v>0</v>
      </c>
    </row>
    <row r="2477" spans="1:12" ht="14.25" customHeight="1" x14ac:dyDescent="0.2">
      <c r="A2477" s="28">
        <v>2476</v>
      </c>
      <c r="B2477" s="28" t="s">
        <v>861</v>
      </c>
      <c r="C2477" s="28" t="s">
        <v>3353</v>
      </c>
      <c r="D2477" s="28" t="s">
        <v>3354</v>
      </c>
      <c r="E2477" s="28" t="s">
        <v>211</v>
      </c>
      <c r="F2477" s="28" t="s">
        <v>348</v>
      </c>
      <c r="G2477" s="28" t="s">
        <v>3359</v>
      </c>
      <c r="H2477" s="28">
        <v>6320652</v>
      </c>
      <c r="I2477" s="28">
        <v>192940</v>
      </c>
      <c r="J2477" s="28">
        <v>0.99</v>
      </c>
      <c r="K2477" s="28">
        <v>86</v>
      </c>
      <c r="L2477" s="28">
        <v>0</v>
      </c>
    </row>
    <row r="2478" spans="1:12" ht="14.25" customHeight="1" x14ac:dyDescent="0.2">
      <c r="A2478" s="28">
        <v>2477</v>
      </c>
      <c r="B2478" s="28" t="s">
        <v>3360</v>
      </c>
      <c r="C2478" s="28" t="s">
        <v>3353</v>
      </c>
      <c r="D2478" s="28" t="s">
        <v>3354</v>
      </c>
      <c r="E2478" s="28" t="s">
        <v>211</v>
      </c>
      <c r="F2478" s="28" t="s">
        <v>348</v>
      </c>
      <c r="G2478" s="28" t="s">
        <v>3355</v>
      </c>
      <c r="H2478" s="28">
        <v>7843477</v>
      </c>
      <c r="I2478" s="28">
        <v>240901</v>
      </c>
      <c r="J2478" s="28">
        <v>0.99</v>
      </c>
      <c r="K2478" s="28">
        <v>89</v>
      </c>
      <c r="L2478" s="28">
        <v>1</v>
      </c>
    </row>
    <row r="2479" spans="1:12" ht="14.25" customHeight="1" x14ac:dyDescent="0.2">
      <c r="A2479" s="28">
        <v>2478</v>
      </c>
      <c r="B2479" s="28" t="s">
        <v>3361</v>
      </c>
      <c r="C2479" s="28" t="s">
        <v>3353</v>
      </c>
      <c r="D2479" s="28" t="s">
        <v>3354</v>
      </c>
      <c r="E2479" s="28" t="s">
        <v>211</v>
      </c>
      <c r="F2479" s="28" t="s">
        <v>348</v>
      </c>
      <c r="G2479" s="28" t="s">
        <v>3355</v>
      </c>
      <c r="H2479" s="28">
        <v>6304789</v>
      </c>
      <c r="I2479" s="28">
        <v>192731</v>
      </c>
      <c r="J2479" s="28">
        <v>0.99</v>
      </c>
      <c r="K2479" s="28">
        <v>96</v>
      </c>
      <c r="L2479" s="28">
        <v>0</v>
      </c>
    </row>
    <row r="2480" spans="1:12" ht="14.25" customHeight="1" x14ac:dyDescent="0.2">
      <c r="A2480" s="28">
        <v>2479</v>
      </c>
      <c r="B2480" s="28" t="s">
        <v>3362</v>
      </c>
      <c r="C2480" s="28" t="s">
        <v>3353</v>
      </c>
      <c r="D2480" s="28" t="s">
        <v>3354</v>
      </c>
      <c r="E2480" s="28" t="s">
        <v>211</v>
      </c>
      <c r="F2480" s="28" t="s">
        <v>348</v>
      </c>
      <c r="G2480" s="28" t="s">
        <v>3355</v>
      </c>
      <c r="H2480" s="28">
        <v>8763140</v>
      </c>
      <c r="I2480" s="28">
        <v>266893</v>
      </c>
      <c r="J2480" s="28">
        <v>0.99</v>
      </c>
      <c r="K2480" s="28">
        <v>55</v>
      </c>
      <c r="L2480" s="28">
        <v>0</v>
      </c>
    </row>
    <row r="2481" spans="1:12" ht="14.25" customHeight="1" x14ac:dyDescent="0.2">
      <c r="A2481" s="28">
        <v>2480</v>
      </c>
      <c r="B2481" s="28" t="s">
        <v>3363</v>
      </c>
      <c r="C2481" s="28" t="s">
        <v>3353</v>
      </c>
      <c r="D2481" s="28" t="s">
        <v>3354</v>
      </c>
      <c r="E2481" s="28" t="s">
        <v>211</v>
      </c>
      <c r="F2481" s="28" t="s">
        <v>348</v>
      </c>
      <c r="G2481" s="28" t="s">
        <v>3355</v>
      </c>
      <c r="H2481" s="28">
        <v>5696989</v>
      </c>
      <c r="I2481" s="28">
        <v>176822</v>
      </c>
      <c r="J2481" s="28">
        <v>0.99</v>
      </c>
      <c r="K2481" s="28">
        <v>50</v>
      </c>
      <c r="L2481" s="28">
        <v>0</v>
      </c>
    </row>
    <row r="2482" spans="1:12" ht="14.25" customHeight="1" x14ac:dyDescent="0.2">
      <c r="A2482" s="28">
        <v>2481</v>
      </c>
      <c r="B2482" s="28" t="s">
        <v>887</v>
      </c>
      <c r="C2482" s="28" t="s">
        <v>3353</v>
      </c>
      <c r="D2482" s="28" t="s">
        <v>3354</v>
      </c>
      <c r="E2482" s="28" t="s">
        <v>211</v>
      </c>
      <c r="F2482" s="28" t="s">
        <v>348</v>
      </c>
      <c r="G2482" s="28" t="s">
        <v>3355</v>
      </c>
      <c r="H2482" s="28">
        <v>7627641</v>
      </c>
      <c r="I2482" s="28">
        <v>228336</v>
      </c>
      <c r="J2482" s="28">
        <v>0.99</v>
      </c>
      <c r="K2482" s="28">
        <v>79</v>
      </c>
      <c r="L2482" s="28">
        <v>2</v>
      </c>
    </row>
    <row r="2483" spans="1:12" ht="14.25" customHeight="1" x14ac:dyDescent="0.2">
      <c r="A2483" s="28">
        <v>2482</v>
      </c>
      <c r="B2483" s="28" t="s">
        <v>3364</v>
      </c>
      <c r="C2483" s="28" t="s">
        <v>3353</v>
      </c>
      <c r="D2483" s="28" t="s">
        <v>3354</v>
      </c>
      <c r="E2483" s="28" t="s">
        <v>211</v>
      </c>
      <c r="F2483" s="28" t="s">
        <v>348</v>
      </c>
      <c r="G2483" s="28" t="s">
        <v>3355</v>
      </c>
      <c r="H2483" s="28">
        <v>7523502</v>
      </c>
      <c r="I2483" s="28">
        <v>229877</v>
      </c>
      <c r="J2483" s="28">
        <v>0.99</v>
      </c>
      <c r="K2483" s="28">
        <v>5</v>
      </c>
      <c r="L2483" s="28">
        <v>2</v>
      </c>
    </row>
    <row r="2484" spans="1:12" ht="14.25" customHeight="1" x14ac:dyDescent="0.2">
      <c r="A2484" s="28">
        <v>2483</v>
      </c>
      <c r="B2484" s="28" t="s">
        <v>3365</v>
      </c>
      <c r="C2484" s="28" t="s">
        <v>3353</v>
      </c>
      <c r="D2484" s="28" t="s">
        <v>3354</v>
      </c>
      <c r="E2484" s="28" t="s">
        <v>211</v>
      </c>
      <c r="F2484" s="28" t="s">
        <v>348</v>
      </c>
      <c r="G2484" s="28" t="s">
        <v>3366</v>
      </c>
      <c r="H2484" s="28">
        <v>12133825</v>
      </c>
      <c r="I2484" s="28">
        <v>366471</v>
      </c>
      <c r="J2484" s="28">
        <v>0.99</v>
      </c>
      <c r="K2484" s="28">
        <v>95</v>
      </c>
      <c r="L2484" s="28">
        <v>1</v>
      </c>
    </row>
    <row r="2485" spans="1:12" ht="14.25" customHeight="1" x14ac:dyDescent="0.2">
      <c r="A2485" s="28">
        <v>2484</v>
      </c>
      <c r="B2485" s="28" t="s">
        <v>3367</v>
      </c>
      <c r="C2485" s="28" t="s">
        <v>3353</v>
      </c>
      <c r="D2485" s="28" t="s">
        <v>3354</v>
      </c>
      <c r="E2485" s="28" t="s">
        <v>211</v>
      </c>
      <c r="F2485" s="28" t="s">
        <v>348</v>
      </c>
      <c r="G2485" s="28" t="s">
        <v>3355</v>
      </c>
      <c r="H2485" s="28">
        <v>8215184</v>
      </c>
      <c r="I2485" s="28">
        <v>249364</v>
      </c>
      <c r="J2485" s="28">
        <v>0.99</v>
      </c>
      <c r="K2485" s="28">
        <v>96</v>
      </c>
      <c r="L2485" s="28">
        <v>0</v>
      </c>
    </row>
    <row r="2486" spans="1:12" ht="14.25" customHeight="1" x14ac:dyDescent="0.2">
      <c r="A2486" s="28">
        <v>2485</v>
      </c>
      <c r="B2486" s="28" t="s">
        <v>3368</v>
      </c>
      <c r="C2486" s="28" t="s">
        <v>3353</v>
      </c>
      <c r="D2486" s="28" t="s">
        <v>3354</v>
      </c>
      <c r="E2486" s="28" t="s">
        <v>211</v>
      </c>
      <c r="F2486" s="28" t="s">
        <v>348</v>
      </c>
      <c r="G2486" s="28" t="s">
        <v>3355</v>
      </c>
      <c r="H2486" s="28">
        <v>9670616</v>
      </c>
      <c r="I2486" s="28">
        <v>299389</v>
      </c>
      <c r="J2486" s="28">
        <v>0.99</v>
      </c>
      <c r="K2486" s="28">
        <v>70</v>
      </c>
      <c r="L2486" s="28">
        <v>1</v>
      </c>
    </row>
    <row r="2487" spans="1:12" ht="14.25" customHeight="1" x14ac:dyDescent="0.2">
      <c r="A2487" s="28">
        <v>2486</v>
      </c>
      <c r="B2487" s="28" t="s">
        <v>3369</v>
      </c>
      <c r="C2487" s="28" t="s">
        <v>3353</v>
      </c>
      <c r="D2487" s="28" t="s">
        <v>3354</v>
      </c>
      <c r="E2487" s="28" t="s">
        <v>211</v>
      </c>
      <c r="F2487" s="28" t="s">
        <v>348</v>
      </c>
      <c r="G2487" s="28" t="s">
        <v>3355</v>
      </c>
      <c r="H2487" s="28">
        <v>12866557</v>
      </c>
      <c r="I2487" s="28">
        <v>399986</v>
      </c>
      <c r="J2487" s="28">
        <v>0.99</v>
      </c>
      <c r="K2487" s="28">
        <v>24</v>
      </c>
      <c r="L2487" s="28">
        <v>1</v>
      </c>
    </row>
    <row r="2488" spans="1:12" ht="14.25" customHeight="1" x14ac:dyDescent="0.2">
      <c r="A2488" s="28">
        <v>2487</v>
      </c>
      <c r="B2488" s="28" t="s">
        <v>3370</v>
      </c>
      <c r="C2488" s="28" t="s">
        <v>3353</v>
      </c>
      <c r="D2488" s="28" t="s">
        <v>3354</v>
      </c>
      <c r="E2488" s="28" t="s">
        <v>211</v>
      </c>
      <c r="F2488" s="28" t="s">
        <v>348</v>
      </c>
      <c r="G2488" s="28" t="s">
        <v>3355</v>
      </c>
      <c r="H2488" s="28">
        <v>9305998</v>
      </c>
      <c r="I2488" s="28">
        <v>286302</v>
      </c>
      <c r="J2488" s="28">
        <v>0.99</v>
      </c>
      <c r="K2488" s="28">
        <v>82</v>
      </c>
      <c r="L2488" s="28">
        <v>1</v>
      </c>
    </row>
    <row r="2489" spans="1:12" ht="14.25" customHeight="1" x14ac:dyDescent="0.2">
      <c r="A2489" s="28">
        <v>2488</v>
      </c>
      <c r="B2489" s="28" t="s">
        <v>3371</v>
      </c>
      <c r="C2489" s="28" t="s">
        <v>3372</v>
      </c>
      <c r="D2489" s="28" t="s">
        <v>3354</v>
      </c>
      <c r="E2489" s="28" t="s">
        <v>211</v>
      </c>
      <c r="F2489" s="28" t="s">
        <v>348</v>
      </c>
      <c r="G2489" s="28" t="s">
        <v>3355</v>
      </c>
      <c r="H2489" s="28">
        <v>8576622</v>
      </c>
      <c r="I2489" s="28">
        <v>261172</v>
      </c>
      <c r="J2489" s="28">
        <v>0.99</v>
      </c>
      <c r="K2489" s="28">
        <v>57</v>
      </c>
      <c r="L2489" s="28">
        <v>0</v>
      </c>
    </row>
    <row r="2490" spans="1:12" ht="14.25" customHeight="1" x14ac:dyDescent="0.2">
      <c r="A2490" s="28">
        <v>2489</v>
      </c>
      <c r="B2490" s="28" t="s">
        <v>3373</v>
      </c>
      <c r="C2490" s="28" t="s">
        <v>3372</v>
      </c>
      <c r="D2490" s="28" t="s">
        <v>3354</v>
      </c>
      <c r="E2490" s="28" t="s">
        <v>211</v>
      </c>
      <c r="F2490" s="28" t="s">
        <v>348</v>
      </c>
      <c r="G2490" s="28" t="s">
        <v>3355</v>
      </c>
      <c r="H2490" s="28">
        <v>11526684</v>
      </c>
      <c r="I2490" s="28">
        <v>353462</v>
      </c>
      <c r="J2490" s="28">
        <v>0.99</v>
      </c>
      <c r="K2490" s="28">
        <v>46</v>
      </c>
      <c r="L2490" s="28">
        <v>1</v>
      </c>
    </row>
    <row r="2491" spans="1:12" ht="14.25" customHeight="1" x14ac:dyDescent="0.2">
      <c r="A2491" s="28">
        <v>2490</v>
      </c>
      <c r="B2491" s="28" t="s">
        <v>3374</v>
      </c>
      <c r="C2491" s="28" t="s">
        <v>3372</v>
      </c>
      <c r="D2491" s="28" t="s">
        <v>3354</v>
      </c>
      <c r="E2491" s="28" t="s">
        <v>211</v>
      </c>
      <c r="F2491" s="28" t="s">
        <v>348</v>
      </c>
      <c r="G2491" s="28" t="s">
        <v>3355</v>
      </c>
      <c r="H2491" s="28">
        <v>8883496</v>
      </c>
      <c r="I2491" s="28">
        <v>270497</v>
      </c>
      <c r="J2491" s="28">
        <v>0.99</v>
      </c>
      <c r="K2491" s="28">
        <v>76</v>
      </c>
      <c r="L2491" s="28">
        <v>1</v>
      </c>
    </row>
    <row r="2492" spans="1:12" ht="14.25" customHeight="1" x14ac:dyDescent="0.2">
      <c r="A2492" s="28">
        <v>2491</v>
      </c>
      <c r="B2492" s="28" t="s">
        <v>3375</v>
      </c>
      <c r="C2492" s="28" t="s">
        <v>3372</v>
      </c>
      <c r="D2492" s="28" t="s">
        <v>3354</v>
      </c>
      <c r="E2492" s="28" t="s">
        <v>211</v>
      </c>
      <c r="F2492" s="28" t="s">
        <v>348</v>
      </c>
      <c r="G2492" s="28" t="s">
        <v>3355</v>
      </c>
      <c r="H2492" s="28">
        <v>9786739</v>
      </c>
      <c r="I2492" s="28">
        <v>299389</v>
      </c>
      <c r="J2492" s="28">
        <v>0.99</v>
      </c>
      <c r="K2492" s="28">
        <v>45</v>
      </c>
      <c r="L2492" s="28">
        <v>2</v>
      </c>
    </row>
    <row r="2493" spans="1:12" ht="14.25" customHeight="1" x14ac:dyDescent="0.2">
      <c r="A2493" s="28">
        <v>2492</v>
      </c>
      <c r="B2493" s="28" t="s">
        <v>3376</v>
      </c>
      <c r="C2493" s="28" t="s">
        <v>3372</v>
      </c>
      <c r="D2493" s="28" t="s">
        <v>3354</v>
      </c>
      <c r="E2493" s="28" t="s">
        <v>211</v>
      </c>
      <c r="F2493" s="28" t="s">
        <v>348</v>
      </c>
      <c r="G2493" s="28" t="s">
        <v>3355</v>
      </c>
      <c r="H2493" s="28">
        <v>6596933</v>
      </c>
      <c r="I2493" s="28">
        <v>202213</v>
      </c>
      <c r="J2493" s="28">
        <v>0.99</v>
      </c>
      <c r="K2493" s="28">
        <v>19</v>
      </c>
      <c r="L2493" s="28">
        <v>0</v>
      </c>
    </row>
    <row r="2494" spans="1:12" ht="14.25" customHeight="1" x14ac:dyDescent="0.2">
      <c r="A2494" s="28">
        <v>2493</v>
      </c>
      <c r="B2494" s="28" t="s">
        <v>3377</v>
      </c>
      <c r="C2494" s="28" t="s">
        <v>3372</v>
      </c>
      <c r="D2494" s="28" t="s">
        <v>3354</v>
      </c>
      <c r="E2494" s="28" t="s">
        <v>211</v>
      </c>
      <c r="F2494" s="28" t="s">
        <v>348</v>
      </c>
      <c r="G2494" s="28" t="s">
        <v>3355</v>
      </c>
      <c r="H2494" s="28">
        <v>6508249</v>
      </c>
      <c r="I2494" s="28">
        <v>198556</v>
      </c>
      <c r="J2494" s="28">
        <v>0.99</v>
      </c>
      <c r="K2494" s="28">
        <v>49</v>
      </c>
      <c r="L2494" s="28">
        <v>1</v>
      </c>
    </row>
    <row r="2495" spans="1:12" ht="14.25" customHeight="1" x14ac:dyDescent="0.2">
      <c r="A2495" s="28">
        <v>2494</v>
      </c>
      <c r="B2495" s="28" t="s">
        <v>3378</v>
      </c>
      <c r="C2495" s="28" t="s">
        <v>3372</v>
      </c>
      <c r="D2495" s="28" t="s">
        <v>3354</v>
      </c>
      <c r="E2495" s="28" t="s">
        <v>211</v>
      </c>
      <c r="F2495" s="28" t="s">
        <v>348</v>
      </c>
      <c r="G2495" s="28" t="s">
        <v>3379</v>
      </c>
      <c r="H2495" s="28">
        <v>6187754</v>
      </c>
      <c r="I2495" s="28">
        <v>190275</v>
      </c>
      <c r="J2495" s="28">
        <v>0.99</v>
      </c>
      <c r="K2495" s="28">
        <v>28</v>
      </c>
      <c r="L2495" s="28">
        <v>0</v>
      </c>
    </row>
    <row r="2496" spans="1:12" ht="14.25" customHeight="1" x14ac:dyDescent="0.2">
      <c r="A2496" s="28">
        <v>2495</v>
      </c>
      <c r="B2496" s="28" t="s">
        <v>3380</v>
      </c>
      <c r="C2496" s="28" t="s">
        <v>3372</v>
      </c>
      <c r="D2496" s="28" t="s">
        <v>3354</v>
      </c>
      <c r="E2496" s="28" t="s">
        <v>211</v>
      </c>
      <c r="F2496" s="28" t="s">
        <v>348</v>
      </c>
      <c r="G2496" s="28" t="s">
        <v>3355</v>
      </c>
      <c r="H2496" s="28">
        <v>8431747</v>
      </c>
      <c r="I2496" s="28">
        <v>257306</v>
      </c>
      <c r="J2496" s="28">
        <v>0.99</v>
      </c>
      <c r="K2496" s="28">
        <v>15</v>
      </c>
      <c r="L2496" s="28">
        <v>2</v>
      </c>
    </row>
    <row r="2497" spans="1:12" ht="14.25" customHeight="1" x14ac:dyDescent="0.2">
      <c r="A2497" s="28">
        <v>2496</v>
      </c>
      <c r="B2497" s="28">
        <v>1979</v>
      </c>
      <c r="C2497" s="28" t="s">
        <v>3372</v>
      </c>
      <c r="D2497" s="28" t="s">
        <v>3354</v>
      </c>
      <c r="E2497" s="28" t="s">
        <v>211</v>
      </c>
      <c r="F2497" s="28" t="s">
        <v>348</v>
      </c>
      <c r="G2497" s="28" t="s">
        <v>3355</v>
      </c>
      <c r="H2497" s="28">
        <v>8728470</v>
      </c>
      <c r="I2497" s="28">
        <v>263653</v>
      </c>
      <c r="J2497" s="28">
        <v>0.99</v>
      </c>
      <c r="K2497" s="28">
        <v>59</v>
      </c>
      <c r="L2497" s="28">
        <v>0</v>
      </c>
    </row>
    <row r="2498" spans="1:12" ht="14.25" customHeight="1" x14ac:dyDescent="0.2">
      <c r="A2498" s="28">
        <v>2497</v>
      </c>
      <c r="B2498" s="28" t="s">
        <v>3381</v>
      </c>
      <c r="C2498" s="28" t="s">
        <v>3372</v>
      </c>
      <c r="D2498" s="28" t="s">
        <v>3354</v>
      </c>
      <c r="E2498" s="28" t="s">
        <v>211</v>
      </c>
      <c r="F2498" s="28" t="s">
        <v>348</v>
      </c>
      <c r="G2498" s="28" t="s">
        <v>3355</v>
      </c>
      <c r="H2498" s="28">
        <v>5267176</v>
      </c>
      <c r="I2498" s="28">
        <v>161123</v>
      </c>
      <c r="J2498" s="28">
        <v>0.99</v>
      </c>
      <c r="K2498" s="28">
        <v>12</v>
      </c>
      <c r="L2498" s="28">
        <v>0</v>
      </c>
    </row>
    <row r="2499" spans="1:12" ht="14.25" customHeight="1" x14ac:dyDescent="0.2">
      <c r="A2499" s="28">
        <v>2498</v>
      </c>
      <c r="B2499" s="28" t="s">
        <v>3382</v>
      </c>
      <c r="C2499" s="28" t="s">
        <v>3372</v>
      </c>
      <c r="D2499" s="28" t="s">
        <v>3354</v>
      </c>
      <c r="E2499" s="28" t="s">
        <v>211</v>
      </c>
      <c r="F2499" s="28" t="s">
        <v>348</v>
      </c>
      <c r="G2499" s="28" t="s">
        <v>3355</v>
      </c>
      <c r="H2499" s="28">
        <v>8351543</v>
      </c>
      <c r="I2499" s="28">
        <v>255686</v>
      </c>
      <c r="J2499" s="28">
        <v>0.99</v>
      </c>
      <c r="K2499" s="28">
        <v>57</v>
      </c>
      <c r="L2499" s="28">
        <v>0</v>
      </c>
    </row>
    <row r="2500" spans="1:12" ht="14.25" customHeight="1" x14ac:dyDescent="0.2">
      <c r="A2500" s="28">
        <v>2499</v>
      </c>
      <c r="B2500" s="28" t="s">
        <v>3383</v>
      </c>
      <c r="C2500" s="28" t="s">
        <v>3372</v>
      </c>
      <c r="D2500" s="28" t="s">
        <v>3354</v>
      </c>
      <c r="E2500" s="28" t="s">
        <v>211</v>
      </c>
      <c r="F2500" s="28" t="s">
        <v>348</v>
      </c>
      <c r="G2500" s="28" t="s">
        <v>3355</v>
      </c>
      <c r="H2500" s="28">
        <v>9784201</v>
      </c>
      <c r="I2500" s="28">
        <v>294530</v>
      </c>
      <c r="J2500" s="28">
        <v>0.99</v>
      </c>
      <c r="K2500" s="28">
        <v>37</v>
      </c>
      <c r="L2500" s="28">
        <v>1</v>
      </c>
    </row>
    <row r="2501" spans="1:12" ht="14.25" customHeight="1" x14ac:dyDescent="0.2">
      <c r="A2501" s="28">
        <v>2500</v>
      </c>
      <c r="B2501" s="28" t="s">
        <v>3384</v>
      </c>
      <c r="C2501" s="28" t="s">
        <v>3372</v>
      </c>
      <c r="D2501" s="28" t="s">
        <v>3354</v>
      </c>
      <c r="E2501" s="28" t="s">
        <v>211</v>
      </c>
      <c r="F2501" s="28" t="s">
        <v>348</v>
      </c>
      <c r="G2501" s="28" t="s">
        <v>3355</v>
      </c>
      <c r="H2501" s="28">
        <v>8590412</v>
      </c>
      <c r="I2501" s="28">
        <v>261433</v>
      </c>
      <c r="J2501" s="28">
        <v>0.99</v>
      </c>
      <c r="K2501" s="28">
        <v>72</v>
      </c>
      <c r="L2501" s="28">
        <v>1</v>
      </c>
    </row>
    <row r="2502" spans="1:12" ht="14.25" customHeight="1" x14ac:dyDescent="0.2">
      <c r="A2502" s="28">
        <v>2501</v>
      </c>
      <c r="B2502" s="28" t="s">
        <v>273</v>
      </c>
      <c r="C2502" s="28" t="s">
        <v>3372</v>
      </c>
      <c r="D2502" s="28" t="s">
        <v>3354</v>
      </c>
      <c r="E2502" s="28" t="s">
        <v>211</v>
      </c>
      <c r="F2502" s="28" t="s">
        <v>348</v>
      </c>
      <c r="G2502" s="28" t="s">
        <v>3355</v>
      </c>
      <c r="H2502" s="28">
        <v>6734636</v>
      </c>
      <c r="I2502" s="28">
        <v>203023</v>
      </c>
      <c r="J2502" s="28">
        <v>0.99</v>
      </c>
      <c r="K2502" s="28">
        <v>21</v>
      </c>
      <c r="L2502" s="28">
        <v>0</v>
      </c>
    </row>
    <row r="2503" spans="1:12" ht="14.25" customHeight="1" x14ac:dyDescent="0.2">
      <c r="A2503" s="28">
        <v>2502</v>
      </c>
      <c r="B2503" s="28" t="s">
        <v>3385</v>
      </c>
      <c r="C2503" s="28" t="s">
        <v>3372</v>
      </c>
      <c r="D2503" s="28" t="s">
        <v>3354</v>
      </c>
      <c r="E2503" s="28" t="s">
        <v>211</v>
      </c>
      <c r="F2503" s="28" t="s">
        <v>348</v>
      </c>
      <c r="G2503" s="28" t="s">
        <v>3355</v>
      </c>
      <c r="H2503" s="28">
        <v>7844404</v>
      </c>
      <c r="I2503" s="28">
        <v>242155</v>
      </c>
      <c r="J2503" s="28">
        <v>0.99</v>
      </c>
      <c r="K2503" s="28">
        <v>90</v>
      </c>
      <c r="L2503" s="28">
        <v>0</v>
      </c>
    </row>
    <row r="2504" spans="1:12" ht="14.25" customHeight="1" x14ac:dyDescent="0.2">
      <c r="A2504" s="28">
        <v>2503</v>
      </c>
      <c r="B2504" s="28" t="s">
        <v>3386</v>
      </c>
      <c r="C2504" s="28" t="s">
        <v>3372</v>
      </c>
      <c r="D2504" s="28" t="s">
        <v>3354</v>
      </c>
      <c r="E2504" s="28" t="s">
        <v>211</v>
      </c>
      <c r="F2504" s="28" t="s">
        <v>348</v>
      </c>
      <c r="G2504" s="28" t="s">
        <v>3355</v>
      </c>
      <c r="H2504" s="28">
        <v>8270113</v>
      </c>
      <c r="I2504" s="28">
        <v>253753</v>
      </c>
      <c r="J2504" s="28">
        <v>0.99</v>
      </c>
      <c r="K2504" s="28">
        <v>49</v>
      </c>
      <c r="L2504" s="28">
        <v>1</v>
      </c>
    </row>
    <row r="2505" spans="1:12" ht="14.25" customHeight="1" x14ac:dyDescent="0.2">
      <c r="A2505" s="28">
        <v>2504</v>
      </c>
      <c r="B2505" s="28" t="s">
        <v>3387</v>
      </c>
      <c r="C2505" s="28" t="s">
        <v>3372</v>
      </c>
      <c r="D2505" s="28" t="s">
        <v>3354</v>
      </c>
      <c r="E2505" s="28" t="s">
        <v>211</v>
      </c>
      <c r="F2505" s="28" t="s">
        <v>348</v>
      </c>
      <c r="G2505" s="28" t="s">
        <v>3355</v>
      </c>
      <c r="H2505" s="28">
        <v>8025896</v>
      </c>
      <c r="I2505" s="28">
        <v>250697</v>
      </c>
      <c r="J2505" s="28">
        <v>0.99</v>
      </c>
      <c r="K2505" s="28">
        <v>42</v>
      </c>
      <c r="L2505" s="28">
        <v>2</v>
      </c>
    </row>
    <row r="2506" spans="1:12" ht="14.25" customHeight="1" x14ac:dyDescent="0.2">
      <c r="A2506" s="28">
        <v>2505</v>
      </c>
      <c r="B2506" s="28" t="s">
        <v>3388</v>
      </c>
      <c r="C2506" s="28" t="s">
        <v>3372</v>
      </c>
      <c r="D2506" s="28" t="s">
        <v>3354</v>
      </c>
      <c r="E2506" s="28" t="s">
        <v>211</v>
      </c>
      <c r="F2506" s="28" t="s">
        <v>348</v>
      </c>
      <c r="G2506" s="28" t="s">
        <v>3355</v>
      </c>
      <c r="H2506" s="28">
        <v>7689713</v>
      </c>
      <c r="I2506" s="28">
        <v>231784</v>
      </c>
      <c r="J2506" s="28">
        <v>0.99</v>
      </c>
      <c r="K2506" s="28">
        <v>81</v>
      </c>
      <c r="L2506" s="28">
        <v>1</v>
      </c>
    </row>
    <row r="2507" spans="1:12" ht="14.25" customHeight="1" x14ac:dyDescent="0.2">
      <c r="A2507" s="28">
        <v>2506</v>
      </c>
      <c r="B2507" s="28" t="s">
        <v>3389</v>
      </c>
      <c r="C2507" s="28" t="s">
        <v>3390</v>
      </c>
      <c r="D2507" s="28" t="s">
        <v>3391</v>
      </c>
      <c r="E2507" s="28" t="s">
        <v>211</v>
      </c>
      <c r="F2507" s="28" t="s">
        <v>212</v>
      </c>
      <c r="G2507" s="28" t="s">
        <v>3392</v>
      </c>
      <c r="H2507" s="28">
        <v>7744833</v>
      </c>
      <c r="I2507" s="28">
        <v>238027</v>
      </c>
      <c r="J2507" s="28">
        <v>0.99</v>
      </c>
      <c r="K2507" s="28">
        <v>63</v>
      </c>
      <c r="L2507" s="28">
        <v>1</v>
      </c>
    </row>
    <row r="2508" spans="1:12" ht="14.25" customHeight="1" x14ac:dyDescent="0.2">
      <c r="A2508" s="28">
        <v>2507</v>
      </c>
      <c r="B2508" s="28" t="s">
        <v>3393</v>
      </c>
      <c r="C2508" s="28" t="s">
        <v>3390</v>
      </c>
      <c r="D2508" s="28" t="s">
        <v>3391</v>
      </c>
      <c r="E2508" s="28" t="s">
        <v>211</v>
      </c>
      <c r="F2508" s="28" t="s">
        <v>212</v>
      </c>
      <c r="G2508" s="28" t="s">
        <v>3392</v>
      </c>
      <c r="H2508" s="28">
        <v>6830732</v>
      </c>
      <c r="I2508" s="28">
        <v>208822</v>
      </c>
      <c r="J2508" s="28">
        <v>0.99</v>
      </c>
      <c r="K2508" s="28">
        <v>10</v>
      </c>
      <c r="L2508" s="28">
        <v>1</v>
      </c>
    </row>
    <row r="2509" spans="1:12" ht="14.25" customHeight="1" x14ac:dyDescent="0.2">
      <c r="A2509" s="28">
        <v>2508</v>
      </c>
      <c r="B2509" s="28" t="s">
        <v>3394</v>
      </c>
      <c r="C2509" s="28" t="s">
        <v>3390</v>
      </c>
      <c r="D2509" s="28" t="s">
        <v>3391</v>
      </c>
      <c r="E2509" s="28" t="s">
        <v>211</v>
      </c>
      <c r="F2509" s="28" t="s">
        <v>212</v>
      </c>
      <c r="G2509" s="28" t="s">
        <v>3395</v>
      </c>
      <c r="H2509" s="28">
        <v>9660953</v>
      </c>
      <c r="I2509" s="28">
        <v>297456</v>
      </c>
      <c r="J2509" s="28">
        <v>0.99</v>
      </c>
      <c r="K2509" s="28">
        <v>94</v>
      </c>
      <c r="L2509" s="28">
        <v>1</v>
      </c>
    </row>
    <row r="2510" spans="1:12" ht="14.25" customHeight="1" x14ac:dyDescent="0.2">
      <c r="A2510" s="28">
        <v>2509</v>
      </c>
      <c r="B2510" s="28" t="s">
        <v>3396</v>
      </c>
      <c r="C2510" s="28" t="s">
        <v>3390</v>
      </c>
      <c r="D2510" s="28" t="s">
        <v>3391</v>
      </c>
      <c r="E2510" s="28" t="s">
        <v>211</v>
      </c>
      <c r="F2510" s="28" t="s">
        <v>212</v>
      </c>
      <c r="G2510" s="28" t="s">
        <v>3392</v>
      </c>
      <c r="H2510" s="28">
        <v>11893108</v>
      </c>
      <c r="I2510" s="28">
        <v>362475</v>
      </c>
      <c r="J2510" s="28">
        <v>0.99</v>
      </c>
      <c r="K2510" s="28">
        <v>27</v>
      </c>
      <c r="L2510" s="28">
        <v>1</v>
      </c>
    </row>
    <row r="2511" spans="1:12" ht="14.25" customHeight="1" x14ac:dyDescent="0.2">
      <c r="A2511" s="28">
        <v>2510</v>
      </c>
      <c r="B2511" s="28" t="s">
        <v>3397</v>
      </c>
      <c r="C2511" s="28" t="s">
        <v>3390</v>
      </c>
      <c r="D2511" s="28" t="s">
        <v>3391</v>
      </c>
      <c r="E2511" s="28" t="s">
        <v>211</v>
      </c>
      <c r="F2511" s="28" t="s">
        <v>212</v>
      </c>
      <c r="G2511" s="28" t="s">
        <v>3392</v>
      </c>
      <c r="H2511" s="28">
        <v>7313744</v>
      </c>
      <c r="I2511" s="28">
        <v>225123</v>
      </c>
      <c r="J2511" s="28">
        <v>0.99</v>
      </c>
      <c r="K2511" s="28">
        <v>68</v>
      </c>
      <c r="L2511" s="28">
        <v>1</v>
      </c>
    </row>
    <row r="2512" spans="1:12" ht="14.25" customHeight="1" x14ac:dyDescent="0.2">
      <c r="A2512" s="28">
        <v>2511</v>
      </c>
      <c r="B2512" s="28" t="s">
        <v>3398</v>
      </c>
      <c r="C2512" s="28" t="s">
        <v>3390</v>
      </c>
      <c r="D2512" s="28" t="s">
        <v>3391</v>
      </c>
      <c r="E2512" s="28" t="s">
        <v>211</v>
      </c>
      <c r="F2512" s="28" t="s">
        <v>212</v>
      </c>
      <c r="G2512" s="28" t="s">
        <v>3399</v>
      </c>
      <c r="H2512" s="28">
        <v>11739886</v>
      </c>
      <c r="I2512" s="28">
        <v>352966</v>
      </c>
      <c r="J2512" s="28">
        <v>0.99</v>
      </c>
      <c r="K2512" s="28">
        <v>98</v>
      </c>
      <c r="L2512" s="28">
        <v>1</v>
      </c>
    </row>
    <row r="2513" spans="1:12" ht="14.25" customHeight="1" x14ac:dyDescent="0.2">
      <c r="A2513" s="28">
        <v>2512</v>
      </c>
      <c r="B2513" s="28" t="s">
        <v>3400</v>
      </c>
      <c r="C2513" s="28" t="s">
        <v>3390</v>
      </c>
      <c r="D2513" s="28" t="s">
        <v>3391</v>
      </c>
      <c r="E2513" s="28" t="s">
        <v>211</v>
      </c>
      <c r="F2513" s="28" t="s">
        <v>212</v>
      </c>
      <c r="G2513" s="28" t="s">
        <v>3395</v>
      </c>
      <c r="H2513" s="28">
        <v>10274629</v>
      </c>
      <c r="I2513" s="28">
        <v>312476</v>
      </c>
      <c r="J2513" s="28">
        <v>0.99</v>
      </c>
      <c r="K2513" s="28">
        <v>6</v>
      </c>
      <c r="L2513" s="28">
        <v>1</v>
      </c>
    </row>
    <row r="2514" spans="1:12" ht="14.25" customHeight="1" x14ac:dyDescent="0.2">
      <c r="A2514" s="28">
        <v>2513</v>
      </c>
      <c r="B2514" s="28" t="s">
        <v>3401</v>
      </c>
      <c r="C2514" s="28" t="s">
        <v>3390</v>
      </c>
      <c r="D2514" s="28" t="s">
        <v>3391</v>
      </c>
      <c r="E2514" s="28" t="s">
        <v>211</v>
      </c>
      <c r="F2514" s="28" t="s">
        <v>212</v>
      </c>
      <c r="G2514" s="28" t="s">
        <v>3395</v>
      </c>
      <c r="H2514" s="28">
        <v>8779485</v>
      </c>
      <c r="I2514" s="28">
        <v>267728</v>
      </c>
      <c r="J2514" s="28">
        <v>0.99</v>
      </c>
      <c r="K2514" s="28">
        <v>58</v>
      </c>
      <c r="L2514" s="28">
        <v>1</v>
      </c>
    </row>
    <row r="2515" spans="1:12" ht="14.25" customHeight="1" x14ac:dyDescent="0.2">
      <c r="A2515" s="28">
        <v>2514</v>
      </c>
      <c r="B2515" s="28" t="s">
        <v>3402</v>
      </c>
      <c r="C2515" s="28" t="s">
        <v>3390</v>
      </c>
      <c r="D2515" s="28" t="s">
        <v>3391</v>
      </c>
      <c r="E2515" s="28" t="s">
        <v>211</v>
      </c>
      <c r="F2515" s="28" t="s">
        <v>212</v>
      </c>
      <c r="G2515" s="28" t="s">
        <v>3395</v>
      </c>
      <c r="H2515" s="28">
        <v>8289906</v>
      </c>
      <c r="I2515" s="28">
        <v>248476</v>
      </c>
      <c r="J2515" s="28">
        <v>0.99</v>
      </c>
      <c r="K2515" s="28">
        <v>36</v>
      </c>
      <c r="L2515" s="28">
        <v>1</v>
      </c>
    </row>
    <row r="2516" spans="1:12" ht="14.25" customHeight="1" x14ac:dyDescent="0.2">
      <c r="A2516" s="28">
        <v>2515</v>
      </c>
      <c r="B2516" s="28" t="s">
        <v>3403</v>
      </c>
      <c r="C2516" s="28" t="s">
        <v>3390</v>
      </c>
      <c r="D2516" s="28" t="s">
        <v>3391</v>
      </c>
      <c r="E2516" s="28" t="s">
        <v>211</v>
      </c>
      <c r="F2516" s="28" t="s">
        <v>212</v>
      </c>
      <c r="G2516" s="28" t="s">
        <v>3395</v>
      </c>
      <c r="H2516" s="28">
        <v>10507137</v>
      </c>
      <c r="I2516" s="28">
        <v>321175</v>
      </c>
      <c r="J2516" s="28">
        <v>0.99</v>
      </c>
      <c r="K2516" s="28">
        <v>22</v>
      </c>
      <c r="L2516" s="28">
        <v>1</v>
      </c>
    </row>
    <row r="2517" spans="1:12" ht="14.25" customHeight="1" x14ac:dyDescent="0.2">
      <c r="A2517" s="28">
        <v>2516</v>
      </c>
      <c r="B2517" s="28" t="s">
        <v>3404</v>
      </c>
      <c r="C2517" s="28" t="s">
        <v>3390</v>
      </c>
      <c r="D2517" s="28" t="s">
        <v>3391</v>
      </c>
      <c r="E2517" s="28" t="s">
        <v>211</v>
      </c>
      <c r="F2517" s="28" t="s">
        <v>212</v>
      </c>
      <c r="G2517" s="28" t="s">
        <v>3391</v>
      </c>
      <c r="H2517" s="28">
        <v>10425229</v>
      </c>
      <c r="I2517" s="28">
        <v>320365</v>
      </c>
      <c r="J2517" s="28">
        <v>0.99</v>
      </c>
      <c r="K2517" s="28">
        <v>64</v>
      </c>
      <c r="L2517" s="28">
        <v>1</v>
      </c>
    </row>
    <row r="2518" spans="1:12" ht="14.25" customHeight="1" x14ac:dyDescent="0.2">
      <c r="A2518" s="28">
        <v>2517</v>
      </c>
      <c r="B2518" s="28" t="s">
        <v>3405</v>
      </c>
      <c r="C2518" s="28" t="s">
        <v>3390</v>
      </c>
      <c r="D2518" s="28" t="s">
        <v>3391</v>
      </c>
      <c r="E2518" s="28" t="s">
        <v>211</v>
      </c>
      <c r="F2518" s="28" t="s">
        <v>212</v>
      </c>
      <c r="G2518" s="28" t="s">
        <v>3395</v>
      </c>
      <c r="H2518" s="28">
        <v>9256082</v>
      </c>
      <c r="I2518" s="28">
        <v>282331</v>
      </c>
      <c r="J2518" s="28">
        <v>0.99</v>
      </c>
      <c r="K2518" s="28">
        <v>4</v>
      </c>
      <c r="L2518" s="28">
        <v>0</v>
      </c>
    </row>
    <row r="2519" spans="1:12" ht="14.25" customHeight="1" x14ac:dyDescent="0.2">
      <c r="A2519" s="28">
        <v>2518</v>
      </c>
      <c r="B2519" s="28" t="s">
        <v>3406</v>
      </c>
      <c r="C2519" s="28" t="s">
        <v>3390</v>
      </c>
      <c r="D2519" s="28" t="s">
        <v>3391</v>
      </c>
      <c r="E2519" s="28" t="s">
        <v>211</v>
      </c>
      <c r="F2519" s="28" t="s">
        <v>212</v>
      </c>
      <c r="G2519" s="28" t="s">
        <v>3395</v>
      </c>
      <c r="H2519" s="28">
        <v>8317931</v>
      </c>
      <c r="I2519" s="28">
        <v>253570</v>
      </c>
      <c r="J2519" s="28">
        <v>0.99</v>
      </c>
      <c r="K2519" s="28">
        <v>80</v>
      </c>
      <c r="L2519" s="28">
        <v>2</v>
      </c>
    </row>
    <row r="2520" spans="1:12" ht="14.25" customHeight="1" x14ac:dyDescent="0.2">
      <c r="A2520" s="28">
        <v>2519</v>
      </c>
      <c r="B2520" s="28" t="s">
        <v>3407</v>
      </c>
      <c r="C2520" s="28" t="s">
        <v>3390</v>
      </c>
      <c r="D2520" s="28" t="s">
        <v>3391</v>
      </c>
      <c r="E2520" s="28" t="s">
        <v>211</v>
      </c>
      <c r="F2520" s="28" t="s">
        <v>212</v>
      </c>
      <c r="G2520" s="28" t="s">
        <v>3395</v>
      </c>
      <c r="H2520" s="28">
        <v>9659911</v>
      </c>
      <c r="I2520" s="28">
        <v>292153</v>
      </c>
      <c r="J2520" s="28">
        <v>0.99</v>
      </c>
      <c r="K2520" s="28">
        <v>14</v>
      </c>
      <c r="L2520" s="28">
        <v>1</v>
      </c>
    </row>
    <row r="2521" spans="1:12" ht="14.25" customHeight="1" x14ac:dyDescent="0.2">
      <c r="A2521" s="28">
        <v>2520</v>
      </c>
      <c r="B2521" s="28" t="s">
        <v>3408</v>
      </c>
      <c r="C2521" s="28" t="s">
        <v>3390</v>
      </c>
      <c r="D2521" s="28" t="s">
        <v>3391</v>
      </c>
      <c r="E2521" s="28" t="s">
        <v>211</v>
      </c>
      <c r="F2521" s="28" t="s">
        <v>212</v>
      </c>
      <c r="G2521" s="28" t="s">
        <v>3395</v>
      </c>
      <c r="H2521" s="28">
        <v>11379527</v>
      </c>
      <c r="I2521" s="28">
        <v>347898</v>
      </c>
      <c r="J2521" s="28">
        <v>0.99</v>
      </c>
      <c r="K2521" s="28">
        <v>85</v>
      </c>
      <c r="L2521" s="28">
        <v>0</v>
      </c>
    </row>
    <row r="2522" spans="1:12" ht="14.25" customHeight="1" x14ac:dyDescent="0.2">
      <c r="A2522" s="28">
        <v>2521</v>
      </c>
      <c r="B2522" s="28" t="s">
        <v>3409</v>
      </c>
      <c r="C2522" s="28" t="s">
        <v>3390</v>
      </c>
      <c r="D2522" s="28" t="s">
        <v>3391</v>
      </c>
      <c r="E2522" s="28" t="s">
        <v>211</v>
      </c>
      <c r="F2522" s="28" t="s">
        <v>212</v>
      </c>
      <c r="G2522" s="28" t="s">
        <v>3410</v>
      </c>
      <c r="H2522" s="28">
        <v>6233136</v>
      </c>
      <c r="I2522" s="28">
        <v>188786</v>
      </c>
      <c r="J2522" s="28">
        <v>0.99</v>
      </c>
      <c r="K2522" s="28">
        <v>67</v>
      </c>
      <c r="L2522" s="28">
        <v>0</v>
      </c>
    </row>
    <row r="2523" spans="1:12" ht="14.25" customHeight="1" x14ac:dyDescent="0.2">
      <c r="A2523" s="28">
        <v>2522</v>
      </c>
      <c r="B2523" s="28" t="s">
        <v>3411</v>
      </c>
      <c r="C2523" s="28" t="s">
        <v>3390</v>
      </c>
      <c r="D2523" s="28" t="s">
        <v>3391</v>
      </c>
      <c r="E2523" s="28" t="s">
        <v>211</v>
      </c>
      <c r="F2523" s="28" t="s">
        <v>212</v>
      </c>
      <c r="G2523" s="28" t="s">
        <v>3395</v>
      </c>
      <c r="H2523" s="28">
        <v>7597074</v>
      </c>
      <c r="I2523" s="28">
        <v>232202</v>
      </c>
      <c r="J2523" s="28">
        <v>0.99</v>
      </c>
      <c r="K2523" s="28">
        <v>7</v>
      </c>
      <c r="L2523" s="28">
        <v>1</v>
      </c>
    </row>
    <row r="2524" spans="1:12" ht="14.25" customHeight="1" x14ac:dyDescent="0.2">
      <c r="A2524" s="28">
        <v>2523</v>
      </c>
      <c r="B2524" s="28" t="s">
        <v>3412</v>
      </c>
      <c r="C2524" s="28" t="s">
        <v>3412</v>
      </c>
      <c r="D2524" s="28" t="s">
        <v>854</v>
      </c>
      <c r="E2524" s="28" t="s">
        <v>211</v>
      </c>
      <c r="F2524" s="28" t="s">
        <v>305</v>
      </c>
      <c r="G2524" s="28" t="s">
        <v>3413</v>
      </c>
      <c r="H2524" s="28">
        <v>8101979</v>
      </c>
      <c r="I2524" s="28">
        <v>238759</v>
      </c>
      <c r="J2524" s="28">
        <v>0.99</v>
      </c>
      <c r="K2524" s="28">
        <v>39</v>
      </c>
      <c r="L2524" s="28">
        <v>0</v>
      </c>
    </row>
    <row r="2525" spans="1:12" ht="14.25" customHeight="1" x14ac:dyDescent="0.2">
      <c r="A2525" s="28">
        <v>2524</v>
      </c>
      <c r="B2525" s="28" t="s">
        <v>3414</v>
      </c>
      <c r="C2525" s="28" t="s">
        <v>3412</v>
      </c>
      <c r="D2525" s="28" t="s">
        <v>854</v>
      </c>
      <c r="E2525" s="28" t="s">
        <v>211</v>
      </c>
      <c r="F2525" s="28" t="s">
        <v>305</v>
      </c>
      <c r="G2525" s="28" t="s">
        <v>3415</v>
      </c>
      <c r="H2525" s="28">
        <v>9151846</v>
      </c>
      <c r="I2525" s="28">
        <v>275147</v>
      </c>
      <c r="J2525" s="28">
        <v>0.99</v>
      </c>
      <c r="K2525" s="28">
        <v>80</v>
      </c>
      <c r="L2525" s="28">
        <v>0</v>
      </c>
    </row>
    <row r="2526" spans="1:12" ht="14.25" customHeight="1" x14ac:dyDescent="0.2">
      <c r="A2526" s="28">
        <v>2525</v>
      </c>
      <c r="B2526" s="28" t="s">
        <v>3416</v>
      </c>
      <c r="C2526" s="28" t="s">
        <v>3412</v>
      </c>
      <c r="D2526" s="28" t="s">
        <v>854</v>
      </c>
      <c r="E2526" s="28" t="s">
        <v>211</v>
      </c>
      <c r="F2526" s="28" t="s">
        <v>305</v>
      </c>
      <c r="G2526" s="28" t="s">
        <v>3415</v>
      </c>
      <c r="H2526" s="28">
        <v>7854737</v>
      </c>
      <c r="I2526" s="28">
        <v>238315</v>
      </c>
      <c r="J2526" s="28">
        <v>0.99</v>
      </c>
      <c r="K2526" s="28">
        <v>16</v>
      </c>
      <c r="L2526" s="28">
        <v>1</v>
      </c>
    </row>
    <row r="2527" spans="1:12" ht="14.25" customHeight="1" x14ac:dyDescent="0.2">
      <c r="A2527" s="28">
        <v>2526</v>
      </c>
      <c r="B2527" s="28" t="s">
        <v>3417</v>
      </c>
      <c r="C2527" s="28" t="s">
        <v>3412</v>
      </c>
      <c r="D2527" s="28" t="s">
        <v>854</v>
      </c>
      <c r="E2527" s="28" t="s">
        <v>211</v>
      </c>
      <c r="F2527" s="28" t="s">
        <v>305</v>
      </c>
      <c r="G2527" s="28" t="s">
        <v>3413</v>
      </c>
      <c r="H2527" s="28">
        <v>8101723</v>
      </c>
      <c r="I2527" s="28">
        <v>240091</v>
      </c>
      <c r="J2527" s="28">
        <v>0.99</v>
      </c>
      <c r="K2527" s="28">
        <v>98</v>
      </c>
      <c r="L2527" s="28">
        <v>1</v>
      </c>
    </row>
    <row r="2528" spans="1:12" ht="14.25" customHeight="1" x14ac:dyDescent="0.2">
      <c r="A2528" s="28">
        <v>2527</v>
      </c>
      <c r="B2528" s="28" t="s">
        <v>3418</v>
      </c>
      <c r="C2528" s="28" t="s">
        <v>3412</v>
      </c>
      <c r="D2528" s="28" t="s">
        <v>854</v>
      </c>
      <c r="E2528" s="28" t="s">
        <v>211</v>
      </c>
      <c r="F2528" s="28" t="s">
        <v>305</v>
      </c>
      <c r="G2528" s="28" t="s">
        <v>3415</v>
      </c>
      <c r="H2528" s="28">
        <v>9768399</v>
      </c>
      <c r="I2528" s="28">
        <v>291500</v>
      </c>
      <c r="J2528" s="28">
        <v>0.99</v>
      </c>
      <c r="K2528" s="28">
        <v>30</v>
      </c>
      <c r="L2528" s="28">
        <v>2</v>
      </c>
    </row>
    <row r="2529" spans="1:12" ht="14.25" customHeight="1" x14ac:dyDescent="0.2">
      <c r="A2529" s="28">
        <v>2528</v>
      </c>
      <c r="B2529" s="28" t="s">
        <v>3419</v>
      </c>
      <c r="C2529" s="28" t="s">
        <v>3412</v>
      </c>
      <c r="D2529" s="28" t="s">
        <v>854</v>
      </c>
      <c r="E2529" s="28" t="s">
        <v>211</v>
      </c>
      <c r="F2529" s="28" t="s">
        <v>305</v>
      </c>
      <c r="G2529" s="28" t="s">
        <v>3413</v>
      </c>
      <c r="H2529" s="28">
        <v>11365655</v>
      </c>
      <c r="I2529" s="28">
        <v>338729</v>
      </c>
      <c r="J2529" s="28">
        <v>0.99</v>
      </c>
      <c r="K2529" s="28">
        <v>66</v>
      </c>
      <c r="L2529" s="28">
        <v>1</v>
      </c>
    </row>
    <row r="2530" spans="1:12" ht="14.25" customHeight="1" x14ac:dyDescent="0.2">
      <c r="A2530" s="28">
        <v>2529</v>
      </c>
      <c r="B2530" s="28" t="s">
        <v>3420</v>
      </c>
      <c r="C2530" s="28" t="s">
        <v>3412</v>
      </c>
      <c r="D2530" s="28" t="s">
        <v>854</v>
      </c>
      <c r="E2530" s="28" t="s">
        <v>211</v>
      </c>
      <c r="F2530" s="28" t="s">
        <v>305</v>
      </c>
      <c r="G2530" s="28" t="s">
        <v>3421</v>
      </c>
      <c r="H2530" s="28">
        <v>9034177</v>
      </c>
      <c r="I2530" s="28">
        <v>270027</v>
      </c>
      <c r="J2530" s="28">
        <v>0.99</v>
      </c>
      <c r="K2530" s="28">
        <v>95</v>
      </c>
      <c r="L2530" s="28">
        <v>1</v>
      </c>
    </row>
    <row r="2531" spans="1:12" ht="14.25" customHeight="1" x14ac:dyDescent="0.2">
      <c r="A2531" s="28">
        <v>2530</v>
      </c>
      <c r="B2531" s="28" t="s">
        <v>3422</v>
      </c>
      <c r="C2531" s="28" t="s">
        <v>3412</v>
      </c>
      <c r="D2531" s="28" t="s">
        <v>854</v>
      </c>
      <c r="E2531" s="28" t="s">
        <v>211</v>
      </c>
      <c r="F2531" s="28" t="s">
        <v>305</v>
      </c>
      <c r="G2531" s="28" t="s">
        <v>3415</v>
      </c>
      <c r="H2531" s="28">
        <v>8958743</v>
      </c>
      <c r="I2531" s="28">
        <v>264019</v>
      </c>
      <c r="J2531" s="28">
        <v>0.99</v>
      </c>
      <c r="K2531" s="28">
        <v>77</v>
      </c>
      <c r="L2531" s="28">
        <v>1</v>
      </c>
    </row>
    <row r="2532" spans="1:12" ht="14.25" customHeight="1" x14ac:dyDescent="0.2">
      <c r="A2532" s="28">
        <v>2531</v>
      </c>
      <c r="B2532" s="28" t="s">
        <v>3423</v>
      </c>
      <c r="C2532" s="28" t="s">
        <v>3412</v>
      </c>
      <c r="D2532" s="28" t="s">
        <v>854</v>
      </c>
      <c r="E2532" s="28" t="s">
        <v>211</v>
      </c>
      <c r="F2532" s="28" t="s">
        <v>305</v>
      </c>
      <c r="G2532" s="28" t="s">
        <v>3424</v>
      </c>
      <c r="H2532" s="28">
        <v>10553155</v>
      </c>
      <c r="I2532" s="28">
        <v>320078</v>
      </c>
      <c r="J2532" s="28">
        <v>0.99</v>
      </c>
      <c r="K2532" s="28">
        <v>39</v>
      </c>
      <c r="L2532" s="28">
        <v>2</v>
      </c>
    </row>
    <row r="2533" spans="1:12" ht="14.25" customHeight="1" x14ac:dyDescent="0.2">
      <c r="A2533" s="28">
        <v>2532</v>
      </c>
      <c r="B2533" s="28" t="s">
        <v>3425</v>
      </c>
      <c r="C2533" s="28" t="s">
        <v>3426</v>
      </c>
      <c r="D2533" s="28" t="s">
        <v>3427</v>
      </c>
      <c r="E2533" s="28" t="s">
        <v>211</v>
      </c>
      <c r="F2533" s="28" t="s">
        <v>470</v>
      </c>
      <c r="G2533" s="28" t="s">
        <v>3428</v>
      </c>
      <c r="H2533" s="28">
        <v>4706253</v>
      </c>
      <c r="I2533" s="28">
        <v>144352</v>
      </c>
      <c r="J2533" s="28">
        <v>0.99</v>
      </c>
      <c r="K2533" s="28">
        <v>0</v>
      </c>
      <c r="L2533" s="28">
        <v>0</v>
      </c>
    </row>
    <row r="2534" spans="1:12" ht="14.25" customHeight="1" x14ac:dyDescent="0.2">
      <c r="A2534" s="28">
        <v>2533</v>
      </c>
      <c r="B2534" s="28" t="s">
        <v>3429</v>
      </c>
      <c r="C2534" s="28" t="s">
        <v>3426</v>
      </c>
      <c r="D2534" s="28" t="s">
        <v>3427</v>
      </c>
      <c r="E2534" s="28" t="s">
        <v>211</v>
      </c>
      <c r="F2534" s="28" t="s">
        <v>470</v>
      </c>
      <c r="G2534" s="28" t="s">
        <v>3430</v>
      </c>
      <c r="H2534" s="28">
        <v>8238033</v>
      </c>
      <c r="I2534" s="28">
        <v>251219</v>
      </c>
      <c r="J2534" s="28">
        <v>0.99</v>
      </c>
      <c r="K2534" s="28">
        <v>43</v>
      </c>
      <c r="L2534" s="28">
        <v>1</v>
      </c>
    </row>
    <row r="2535" spans="1:12" ht="14.25" customHeight="1" x14ac:dyDescent="0.2">
      <c r="A2535" s="28">
        <v>2534</v>
      </c>
      <c r="B2535" s="28" t="s">
        <v>3431</v>
      </c>
      <c r="C2535" s="28" t="s">
        <v>3426</v>
      </c>
      <c r="D2535" s="28" t="s">
        <v>3427</v>
      </c>
      <c r="E2535" s="28" t="s">
        <v>211</v>
      </c>
      <c r="F2535" s="28" t="s">
        <v>470</v>
      </c>
      <c r="G2535" s="28" t="s">
        <v>3428</v>
      </c>
      <c r="H2535" s="28">
        <v>9254906</v>
      </c>
      <c r="I2535" s="28">
        <v>281155</v>
      </c>
      <c r="J2535" s="28">
        <v>0.99</v>
      </c>
      <c r="K2535" s="28">
        <v>99</v>
      </c>
      <c r="L2535" s="28">
        <v>1</v>
      </c>
    </row>
    <row r="2536" spans="1:12" ht="14.25" customHeight="1" x14ac:dyDescent="0.2">
      <c r="A2536" s="28">
        <v>2535</v>
      </c>
      <c r="B2536" s="28" t="s">
        <v>472</v>
      </c>
      <c r="C2536" s="28" t="s">
        <v>3426</v>
      </c>
      <c r="D2536" s="28" t="s">
        <v>3427</v>
      </c>
      <c r="E2536" s="28" t="s">
        <v>211</v>
      </c>
      <c r="F2536" s="28" t="s">
        <v>470</v>
      </c>
      <c r="G2536" s="28" t="s">
        <v>473</v>
      </c>
      <c r="H2536" s="28">
        <v>5378455</v>
      </c>
      <c r="I2536" s="28">
        <v>164127</v>
      </c>
      <c r="J2536" s="28">
        <v>0.99</v>
      </c>
      <c r="K2536" s="28">
        <v>31</v>
      </c>
      <c r="L2536" s="28">
        <v>1</v>
      </c>
    </row>
    <row r="2537" spans="1:12" ht="14.25" customHeight="1" x14ac:dyDescent="0.2">
      <c r="A2537" s="28">
        <v>2536</v>
      </c>
      <c r="B2537" s="28" t="s">
        <v>478</v>
      </c>
      <c r="C2537" s="28" t="s">
        <v>3426</v>
      </c>
      <c r="D2537" s="28" t="s">
        <v>3427</v>
      </c>
      <c r="E2537" s="28" t="s">
        <v>211</v>
      </c>
      <c r="F2537" s="28" t="s">
        <v>470</v>
      </c>
      <c r="G2537" s="28" t="s">
        <v>3432</v>
      </c>
      <c r="H2537" s="28">
        <v>8438021</v>
      </c>
      <c r="I2537" s="28">
        <v>256365</v>
      </c>
      <c r="J2537" s="28">
        <v>0.99</v>
      </c>
      <c r="K2537" s="28">
        <v>75</v>
      </c>
      <c r="L2537" s="28">
        <v>1</v>
      </c>
    </row>
    <row r="2538" spans="1:12" ht="14.25" customHeight="1" x14ac:dyDescent="0.2">
      <c r="A2538" s="28">
        <v>2537</v>
      </c>
      <c r="B2538" s="28" t="s">
        <v>3433</v>
      </c>
      <c r="C2538" s="28" t="s">
        <v>3426</v>
      </c>
      <c r="D2538" s="28" t="s">
        <v>3427</v>
      </c>
      <c r="E2538" s="28" t="s">
        <v>211</v>
      </c>
      <c r="F2538" s="28" t="s">
        <v>470</v>
      </c>
      <c r="G2538" s="28" t="s">
        <v>3434</v>
      </c>
      <c r="H2538" s="28">
        <v>4650979</v>
      </c>
      <c r="I2538" s="28">
        <v>140826</v>
      </c>
      <c r="J2538" s="28">
        <v>0.99</v>
      </c>
      <c r="K2538" s="28">
        <v>6</v>
      </c>
      <c r="L2538" s="28">
        <v>2</v>
      </c>
    </row>
    <row r="2539" spans="1:12" ht="14.25" customHeight="1" x14ac:dyDescent="0.2">
      <c r="A2539" s="28">
        <v>2538</v>
      </c>
      <c r="B2539" s="28" t="s">
        <v>3435</v>
      </c>
      <c r="C2539" s="28" t="s">
        <v>3426</v>
      </c>
      <c r="D2539" s="28" t="s">
        <v>3427</v>
      </c>
      <c r="E2539" s="28" t="s">
        <v>211</v>
      </c>
      <c r="F2539" s="28" t="s">
        <v>470</v>
      </c>
      <c r="G2539" s="28" t="s">
        <v>3428</v>
      </c>
      <c r="H2539" s="28">
        <v>11085915</v>
      </c>
      <c r="I2539" s="28">
        <v>336927</v>
      </c>
      <c r="J2539" s="28">
        <v>0.99</v>
      </c>
      <c r="K2539" s="28">
        <v>15</v>
      </c>
      <c r="L2539" s="28">
        <v>1</v>
      </c>
    </row>
    <row r="2540" spans="1:12" ht="14.25" customHeight="1" x14ac:dyDescent="0.2">
      <c r="A2540" s="28">
        <v>2539</v>
      </c>
      <c r="B2540" s="28" t="s">
        <v>3436</v>
      </c>
      <c r="C2540" s="28" t="s">
        <v>3426</v>
      </c>
      <c r="D2540" s="28" t="s">
        <v>3427</v>
      </c>
      <c r="E2540" s="28" t="s">
        <v>211</v>
      </c>
      <c r="F2540" s="28" t="s">
        <v>470</v>
      </c>
      <c r="G2540" s="28" t="s">
        <v>3428</v>
      </c>
      <c r="H2540" s="28">
        <v>5353627</v>
      </c>
      <c r="I2540" s="28">
        <v>163422</v>
      </c>
      <c r="J2540" s="28">
        <v>0.99</v>
      </c>
      <c r="K2540" s="28">
        <v>27</v>
      </c>
      <c r="L2540" s="28">
        <v>1</v>
      </c>
    </row>
    <row r="2541" spans="1:12" ht="14.25" customHeight="1" x14ac:dyDescent="0.2">
      <c r="A2541" s="28">
        <v>2540</v>
      </c>
      <c r="B2541" s="28" t="s">
        <v>3437</v>
      </c>
      <c r="C2541" s="28" t="s">
        <v>3426</v>
      </c>
      <c r="D2541" s="28" t="s">
        <v>3427</v>
      </c>
      <c r="E2541" s="28" t="s">
        <v>211</v>
      </c>
      <c r="F2541" s="28" t="s">
        <v>470</v>
      </c>
      <c r="G2541" s="28" t="s">
        <v>3438</v>
      </c>
      <c r="H2541" s="28">
        <v>6650869</v>
      </c>
      <c r="I2541" s="28">
        <v>201586</v>
      </c>
      <c r="J2541" s="28">
        <v>0.99</v>
      </c>
      <c r="K2541" s="28">
        <v>15</v>
      </c>
      <c r="L2541" s="28">
        <v>0</v>
      </c>
    </row>
    <row r="2542" spans="1:12" ht="14.25" customHeight="1" x14ac:dyDescent="0.2">
      <c r="A2542" s="28">
        <v>2541</v>
      </c>
      <c r="B2542" s="28" t="s">
        <v>3439</v>
      </c>
      <c r="C2542" s="28" t="s">
        <v>3426</v>
      </c>
      <c r="D2542" s="28" t="s">
        <v>3427</v>
      </c>
      <c r="E2542" s="28" t="s">
        <v>211</v>
      </c>
      <c r="F2542" s="28" t="s">
        <v>470</v>
      </c>
      <c r="G2542" s="28" t="s">
        <v>3434</v>
      </c>
      <c r="H2542" s="28">
        <v>17232776</v>
      </c>
      <c r="I2542" s="28">
        <v>528692</v>
      </c>
      <c r="J2542" s="28">
        <v>0.99</v>
      </c>
      <c r="K2542" s="28">
        <v>58</v>
      </c>
      <c r="L2542" s="28">
        <v>1</v>
      </c>
    </row>
    <row r="2543" spans="1:12" ht="14.25" customHeight="1" x14ac:dyDescent="0.2">
      <c r="A2543" s="28">
        <v>2542</v>
      </c>
      <c r="B2543" s="28" t="s">
        <v>3440</v>
      </c>
      <c r="C2543" s="28" t="s">
        <v>3441</v>
      </c>
      <c r="D2543" s="28" t="s">
        <v>3442</v>
      </c>
      <c r="E2543" s="28" t="s">
        <v>211</v>
      </c>
      <c r="F2543" s="28" t="s">
        <v>212</v>
      </c>
      <c r="G2543" s="28" t="s">
        <v>3443</v>
      </c>
      <c r="H2543" s="28">
        <v>10170433</v>
      </c>
      <c r="I2543" s="28">
        <v>310386</v>
      </c>
      <c r="J2543" s="28">
        <v>0.99</v>
      </c>
      <c r="K2543" s="28">
        <v>83</v>
      </c>
      <c r="L2543" s="28">
        <v>1</v>
      </c>
    </row>
    <row r="2544" spans="1:12" ht="14.25" customHeight="1" x14ac:dyDescent="0.2">
      <c r="A2544" s="28">
        <v>2543</v>
      </c>
      <c r="B2544" s="28" t="s">
        <v>3444</v>
      </c>
      <c r="C2544" s="28" t="s">
        <v>3441</v>
      </c>
      <c r="D2544" s="28" t="s">
        <v>3442</v>
      </c>
      <c r="E2544" s="28" t="s">
        <v>211</v>
      </c>
      <c r="F2544" s="28" t="s">
        <v>212</v>
      </c>
      <c r="G2544" s="28" t="s">
        <v>3445</v>
      </c>
      <c r="H2544" s="28">
        <v>7102064</v>
      </c>
      <c r="I2544" s="28">
        <v>218723</v>
      </c>
      <c r="J2544" s="28">
        <v>0.99</v>
      </c>
      <c r="K2544" s="28">
        <v>22</v>
      </c>
      <c r="L2544" s="28">
        <v>1</v>
      </c>
    </row>
    <row r="2545" spans="1:12" ht="14.25" customHeight="1" x14ac:dyDescent="0.2">
      <c r="A2545" s="28">
        <v>2544</v>
      </c>
      <c r="B2545" s="28" t="s">
        <v>3446</v>
      </c>
      <c r="C2545" s="28" t="s">
        <v>3441</v>
      </c>
      <c r="D2545" s="28" t="s">
        <v>3442</v>
      </c>
      <c r="E2545" s="28" t="s">
        <v>211</v>
      </c>
      <c r="F2545" s="28" t="s">
        <v>212</v>
      </c>
      <c r="G2545" s="28" t="s">
        <v>3447</v>
      </c>
      <c r="H2545" s="28">
        <v>7989505</v>
      </c>
      <c r="I2545" s="28">
        <v>245368</v>
      </c>
      <c r="J2545" s="28">
        <v>0.99</v>
      </c>
      <c r="K2545" s="28">
        <v>56</v>
      </c>
      <c r="L2545" s="28">
        <v>0</v>
      </c>
    </row>
    <row r="2546" spans="1:12" ht="14.25" customHeight="1" x14ac:dyDescent="0.2">
      <c r="A2546" s="28">
        <v>2545</v>
      </c>
      <c r="B2546" s="28" t="s">
        <v>3448</v>
      </c>
      <c r="C2546" s="28" t="s">
        <v>3441</v>
      </c>
      <c r="D2546" s="28" t="s">
        <v>3442</v>
      </c>
      <c r="E2546" s="28" t="s">
        <v>211</v>
      </c>
      <c r="F2546" s="28" t="s">
        <v>212</v>
      </c>
      <c r="G2546" s="28" t="s">
        <v>3449</v>
      </c>
      <c r="H2546" s="28">
        <v>2660859</v>
      </c>
      <c r="I2546" s="28">
        <v>80613</v>
      </c>
      <c r="J2546" s="28">
        <v>0.99</v>
      </c>
      <c r="K2546" s="28">
        <v>11</v>
      </c>
      <c r="L2546" s="28">
        <v>1</v>
      </c>
    </row>
    <row r="2547" spans="1:12" ht="14.25" customHeight="1" x14ac:dyDescent="0.2">
      <c r="A2547" s="28">
        <v>2546</v>
      </c>
      <c r="B2547" s="28" t="s">
        <v>3450</v>
      </c>
      <c r="C2547" s="28" t="s">
        <v>3441</v>
      </c>
      <c r="D2547" s="28" t="s">
        <v>3442</v>
      </c>
      <c r="E2547" s="28" t="s">
        <v>211</v>
      </c>
      <c r="F2547" s="28" t="s">
        <v>212</v>
      </c>
      <c r="G2547" s="28" t="s">
        <v>3443</v>
      </c>
      <c r="H2547" s="28">
        <v>12018823</v>
      </c>
      <c r="I2547" s="28">
        <v>364800</v>
      </c>
      <c r="J2547" s="28">
        <v>0.99</v>
      </c>
      <c r="K2547" s="28">
        <v>14</v>
      </c>
      <c r="L2547" s="28">
        <v>0</v>
      </c>
    </row>
    <row r="2548" spans="1:12" ht="14.25" customHeight="1" x14ac:dyDescent="0.2">
      <c r="A2548" s="28">
        <v>2547</v>
      </c>
      <c r="B2548" s="28" t="s">
        <v>3451</v>
      </c>
      <c r="C2548" s="28" t="s">
        <v>3441</v>
      </c>
      <c r="D2548" s="28" t="s">
        <v>3442</v>
      </c>
      <c r="E2548" s="28" t="s">
        <v>211</v>
      </c>
      <c r="F2548" s="28" t="s">
        <v>212</v>
      </c>
      <c r="G2548" s="28" t="s">
        <v>3452</v>
      </c>
      <c r="H2548" s="28">
        <v>7444201</v>
      </c>
      <c r="I2548" s="28">
        <v>229720</v>
      </c>
      <c r="J2548" s="28">
        <v>0.99</v>
      </c>
      <c r="K2548" s="28">
        <v>53</v>
      </c>
      <c r="L2548" s="28">
        <v>0</v>
      </c>
    </row>
    <row r="2549" spans="1:12" ht="14.25" customHeight="1" x14ac:dyDescent="0.2">
      <c r="A2549" s="28">
        <v>2548</v>
      </c>
      <c r="B2549" s="28" t="s">
        <v>3453</v>
      </c>
      <c r="C2549" s="28" t="s">
        <v>3441</v>
      </c>
      <c r="D2549" s="28" t="s">
        <v>3442</v>
      </c>
      <c r="E2549" s="28" t="s">
        <v>211</v>
      </c>
      <c r="F2549" s="28" t="s">
        <v>212</v>
      </c>
      <c r="G2549" s="28" t="s">
        <v>3443</v>
      </c>
      <c r="H2549" s="28">
        <v>10894988</v>
      </c>
      <c r="I2549" s="28">
        <v>333191</v>
      </c>
      <c r="J2549" s="28">
        <v>0.99</v>
      </c>
      <c r="K2549" s="28">
        <v>77</v>
      </c>
      <c r="L2549" s="28">
        <v>1</v>
      </c>
    </row>
    <row r="2550" spans="1:12" ht="14.25" customHeight="1" x14ac:dyDescent="0.2">
      <c r="A2550" s="28">
        <v>2549</v>
      </c>
      <c r="B2550" s="28" t="s">
        <v>3454</v>
      </c>
      <c r="C2550" s="28" t="s">
        <v>3441</v>
      </c>
      <c r="D2550" s="28" t="s">
        <v>3442</v>
      </c>
      <c r="E2550" s="28" t="s">
        <v>211</v>
      </c>
      <c r="F2550" s="28" t="s">
        <v>212</v>
      </c>
      <c r="G2550" s="28" t="s">
        <v>3443</v>
      </c>
      <c r="H2550" s="28">
        <v>10605231</v>
      </c>
      <c r="I2550" s="28">
        <v>324623</v>
      </c>
      <c r="J2550" s="28">
        <v>0.99</v>
      </c>
      <c r="K2550" s="28">
        <v>14</v>
      </c>
      <c r="L2550" s="28">
        <v>2</v>
      </c>
    </row>
    <row r="2551" spans="1:12" ht="14.25" customHeight="1" x14ac:dyDescent="0.2">
      <c r="A2551" s="28">
        <v>2550</v>
      </c>
      <c r="B2551" s="28" t="s">
        <v>3455</v>
      </c>
      <c r="C2551" s="28" t="s">
        <v>3441</v>
      </c>
      <c r="D2551" s="28" t="s">
        <v>3442</v>
      </c>
      <c r="E2551" s="28" t="s">
        <v>211</v>
      </c>
      <c r="F2551" s="28" t="s">
        <v>212</v>
      </c>
      <c r="G2551" s="28" t="s">
        <v>3443</v>
      </c>
      <c r="H2551" s="28">
        <v>10229848</v>
      </c>
      <c r="I2551" s="28">
        <v>314017</v>
      </c>
      <c r="J2551" s="28">
        <v>0.99</v>
      </c>
      <c r="K2551" s="28">
        <v>48</v>
      </c>
      <c r="L2551" s="28">
        <v>1</v>
      </c>
    </row>
    <row r="2552" spans="1:12" ht="14.25" customHeight="1" x14ac:dyDescent="0.2">
      <c r="A2552" s="28">
        <v>2551</v>
      </c>
      <c r="B2552" s="28" t="s">
        <v>3456</v>
      </c>
      <c r="C2552" s="28" t="s">
        <v>3441</v>
      </c>
      <c r="D2552" s="28" t="s">
        <v>3442</v>
      </c>
      <c r="E2552" s="28" t="s">
        <v>211</v>
      </c>
      <c r="F2552" s="28" t="s">
        <v>212</v>
      </c>
      <c r="G2552" s="28" t="s">
        <v>3443</v>
      </c>
      <c r="H2552" s="28">
        <v>3198627</v>
      </c>
      <c r="I2552" s="28">
        <v>96914</v>
      </c>
      <c r="J2552" s="28">
        <v>0.99</v>
      </c>
      <c r="K2552" s="28">
        <v>34</v>
      </c>
      <c r="L2552" s="28">
        <v>1</v>
      </c>
    </row>
    <row r="2553" spans="1:12" ht="14.25" customHeight="1" x14ac:dyDescent="0.2">
      <c r="A2553" s="28">
        <v>2552</v>
      </c>
      <c r="B2553" s="28" t="s">
        <v>3457</v>
      </c>
      <c r="C2553" s="28" t="s">
        <v>3441</v>
      </c>
      <c r="D2553" s="28" t="s">
        <v>3442</v>
      </c>
      <c r="E2553" s="28" t="s">
        <v>211</v>
      </c>
      <c r="F2553" s="28" t="s">
        <v>212</v>
      </c>
      <c r="G2553" s="28" t="s">
        <v>3458</v>
      </c>
      <c r="H2553" s="28">
        <v>6317361</v>
      </c>
      <c r="I2553" s="28">
        <v>194403</v>
      </c>
      <c r="J2553" s="28">
        <v>0.99</v>
      </c>
      <c r="K2553" s="28">
        <v>75</v>
      </c>
      <c r="L2553" s="28">
        <v>1</v>
      </c>
    </row>
    <row r="2554" spans="1:12" ht="14.25" customHeight="1" x14ac:dyDescent="0.2">
      <c r="A2554" s="28">
        <v>2553</v>
      </c>
      <c r="B2554" s="28" t="s">
        <v>3459</v>
      </c>
      <c r="C2554" s="28" t="s">
        <v>3441</v>
      </c>
      <c r="D2554" s="28" t="s">
        <v>3442</v>
      </c>
      <c r="E2554" s="28" t="s">
        <v>211</v>
      </c>
      <c r="F2554" s="28" t="s">
        <v>212</v>
      </c>
      <c r="G2554" s="28" t="s">
        <v>3445</v>
      </c>
      <c r="H2554" s="28">
        <v>16468904</v>
      </c>
      <c r="I2554" s="28">
        <v>505991</v>
      </c>
      <c r="J2554" s="28">
        <v>0.99</v>
      </c>
      <c r="K2554" s="28">
        <v>12</v>
      </c>
      <c r="L2554" s="28">
        <v>1</v>
      </c>
    </row>
    <row r="2555" spans="1:12" ht="14.25" customHeight="1" x14ac:dyDescent="0.2">
      <c r="A2555" s="28">
        <v>2554</v>
      </c>
      <c r="B2555" s="28" t="s">
        <v>3460</v>
      </c>
      <c r="C2555" s="28" t="s">
        <v>3461</v>
      </c>
      <c r="D2555" s="28" t="s">
        <v>3462</v>
      </c>
      <c r="E2555" s="28" t="s">
        <v>211</v>
      </c>
      <c r="F2555" s="28" t="s">
        <v>322</v>
      </c>
      <c r="G2555" s="28" t="s">
        <v>3463</v>
      </c>
      <c r="H2555" s="28">
        <v>2056079</v>
      </c>
      <c r="I2555" s="28">
        <v>63764</v>
      </c>
      <c r="J2555" s="28">
        <v>0.99</v>
      </c>
      <c r="K2555" s="28">
        <v>72</v>
      </c>
      <c r="L2555" s="28">
        <v>2</v>
      </c>
    </row>
    <row r="2556" spans="1:12" ht="14.25" customHeight="1" x14ac:dyDescent="0.2">
      <c r="A2556" s="28">
        <v>2555</v>
      </c>
      <c r="B2556" s="28" t="s">
        <v>3464</v>
      </c>
      <c r="C2556" s="28" t="s">
        <v>3461</v>
      </c>
      <c r="D2556" s="28" t="s">
        <v>3462</v>
      </c>
      <c r="E2556" s="28" t="s">
        <v>211</v>
      </c>
      <c r="F2556" s="28" t="s">
        <v>322</v>
      </c>
      <c r="G2556" s="28" t="s">
        <v>3465</v>
      </c>
      <c r="H2556" s="28">
        <v>8407935</v>
      </c>
      <c r="I2556" s="28">
        <v>255555</v>
      </c>
      <c r="J2556" s="28">
        <v>0.99</v>
      </c>
      <c r="K2556" s="28">
        <v>4</v>
      </c>
      <c r="L2556" s="28">
        <v>1</v>
      </c>
    </row>
    <row r="2557" spans="1:12" ht="14.25" customHeight="1" x14ac:dyDescent="0.2">
      <c r="A2557" s="28">
        <v>2556</v>
      </c>
      <c r="B2557" s="28" t="s">
        <v>3466</v>
      </c>
      <c r="C2557" s="28" t="s">
        <v>3461</v>
      </c>
      <c r="D2557" s="28" t="s">
        <v>3462</v>
      </c>
      <c r="E2557" s="28" t="s">
        <v>211</v>
      </c>
      <c r="F2557" s="28" t="s">
        <v>322</v>
      </c>
      <c r="G2557" s="28" t="s">
        <v>3465</v>
      </c>
      <c r="H2557" s="28">
        <v>7503805</v>
      </c>
      <c r="I2557" s="28">
        <v>228127</v>
      </c>
      <c r="J2557" s="28">
        <v>0.99</v>
      </c>
      <c r="K2557" s="28">
        <v>59</v>
      </c>
      <c r="L2557" s="28">
        <v>1</v>
      </c>
    </row>
    <row r="2558" spans="1:12" ht="14.25" customHeight="1" x14ac:dyDescent="0.2">
      <c r="A2558" s="28">
        <v>2557</v>
      </c>
      <c r="B2558" s="28" t="s">
        <v>3467</v>
      </c>
      <c r="C2558" s="28" t="s">
        <v>3461</v>
      </c>
      <c r="D2558" s="28" t="s">
        <v>3462</v>
      </c>
      <c r="E2558" s="28" t="s">
        <v>211</v>
      </c>
      <c r="F2558" s="28" t="s">
        <v>322</v>
      </c>
      <c r="G2558" s="28" t="s">
        <v>3465</v>
      </c>
      <c r="H2558" s="28">
        <v>4321705</v>
      </c>
      <c r="I2558" s="28">
        <v>131787</v>
      </c>
      <c r="J2558" s="28">
        <v>0.99</v>
      </c>
      <c r="K2558" s="28">
        <v>38</v>
      </c>
      <c r="L2558" s="28">
        <v>1</v>
      </c>
    </row>
    <row r="2559" spans="1:12" ht="14.25" customHeight="1" x14ac:dyDescent="0.2">
      <c r="A2559" s="28">
        <v>2558</v>
      </c>
      <c r="B2559" s="28" t="s">
        <v>3468</v>
      </c>
      <c r="C2559" s="28" t="s">
        <v>3461</v>
      </c>
      <c r="D2559" s="28" t="s">
        <v>3462</v>
      </c>
      <c r="E2559" s="28" t="s">
        <v>211</v>
      </c>
      <c r="F2559" s="28" t="s">
        <v>322</v>
      </c>
      <c r="G2559" s="28" t="s">
        <v>3463</v>
      </c>
      <c r="H2559" s="28">
        <v>8224917</v>
      </c>
      <c r="I2559" s="28">
        <v>249312</v>
      </c>
      <c r="J2559" s="28">
        <v>0.99</v>
      </c>
      <c r="K2559" s="28">
        <v>59</v>
      </c>
      <c r="L2559" s="28">
        <v>1</v>
      </c>
    </row>
    <row r="2560" spans="1:12" ht="14.25" customHeight="1" x14ac:dyDescent="0.2">
      <c r="A2560" s="28">
        <v>2559</v>
      </c>
      <c r="B2560" s="28" t="s">
        <v>3469</v>
      </c>
      <c r="C2560" s="28" t="s">
        <v>3461</v>
      </c>
      <c r="D2560" s="28" t="s">
        <v>3462</v>
      </c>
      <c r="E2560" s="28" t="s">
        <v>211</v>
      </c>
      <c r="F2560" s="28" t="s">
        <v>322</v>
      </c>
      <c r="G2560" s="28" t="s">
        <v>3465</v>
      </c>
      <c r="H2560" s="28">
        <v>4185193</v>
      </c>
      <c r="I2560" s="28">
        <v>128339</v>
      </c>
      <c r="J2560" s="28">
        <v>0.99</v>
      </c>
      <c r="K2560" s="28">
        <v>45</v>
      </c>
      <c r="L2560" s="28">
        <v>0</v>
      </c>
    </row>
    <row r="2561" spans="1:12" ht="14.25" customHeight="1" x14ac:dyDescent="0.2">
      <c r="A2561" s="28">
        <v>2560</v>
      </c>
      <c r="B2561" s="28" t="s">
        <v>3470</v>
      </c>
      <c r="C2561" s="28" t="s">
        <v>3461</v>
      </c>
      <c r="D2561" s="28" t="s">
        <v>3462</v>
      </c>
      <c r="E2561" s="28" t="s">
        <v>211</v>
      </c>
      <c r="F2561" s="28" t="s">
        <v>322</v>
      </c>
      <c r="G2561" s="28" t="s">
        <v>3463</v>
      </c>
      <c r="H2561" s="28">
        <v>6985960</v>
      </c>
      <c r="I2561" s="28">
        <v>211435</v>
      </c>
      <c r="J2561" s="28">
        <v>0.99</v>
      </c>
      <c r="K2561" s="28">
        <v>33</v>
      </c>
      <c r="L2561" s="28">
        <v>2</v>
      </c>
    </row>
    <row r="2562" spans="1:12" ht="14.25" customHeight="1" x14ac:dyDescent="0.2">
      <c r="A2562" s="28">
        <v>2561</v>
      </c>
      <c r="B2562" s="28" t="s">
        <v>3471</v>
      </c>
      <c r="C2562" s="28" t="s">
        <v>3461</v>
      </c>
      <c r="D2562" s="28" t="s">
        <v>3462</v>
      </c>
      <c r="E2562" s="28" t="s">
        <v>211</v>
      </c>
      <c r="F2562" s="28" t="s">
        <v>322</v>
      </c>
      <c r="G2562" s="28" t="s">
        <v>3465</v>
      </c>
      <c r="H2562" s="28">
        <v>6616398</v>
      </c>
      <c r="I2562" s="28">
        <v>200698</v>
      </c>
      <c r="J2562" s="28">
        <v>0.99</v>
      </c>
      <c r="K2562" s="28">
        <v>91</v>
      </c>
      <c r="L2562" s="28">
        <v>2</v>
      </c>
    </row>
    <row r="2563" spans="1:12" ht="14.25" customHeight="1" x14ac:dyDescent="0.2">
      <c r="A2563" s="28">
        <v>2562</v>
      </c>
      <c r="B2563" s="28" t="s">
        <v>3472</v>
      </c>
      <c r="C2563" s="28" t="s">
        <v>3461</v>
      </c>
      <c r="D2563" s="28" t="s">
        <v>3462</v>
      </c>
      <c r="E2563" s="28" t="s">
        <v>211</v>
      </c>
      <c r="F2563" s="28" t="s">
        <v>322</v>
      </c>
      <c r="G2563" s="28" t="s">
        <v>3465</v>
      </c>
      <c r="H2563" s="28">
        <v>6733449</v>
      </c>
      <c r="I2563" s="28">
        <v>205897</v>
      </c>
      <c r="J2563" s="28">
        <v>0.99</v>
      </c>
      <c r="K2563" s="28">
        <v>13</v>
      </c>
      <c r="L2563" s="28">
        <v>1</v>
      </c>
    </row>
    <row r="2564" spans="1:12" ht="14.25" customHeight="1" x14ac:dyDescent="0.2">
      <c r="A2564" s="28">
        <v>2563</v>
      </c>
      <c r="B2564" s="28" t="s">
        <v>3473</v>
      </c>
      <c r="C2564" s="28" t="s">
        <v>3461</v>
      </c>
      <c r="D2564" s="28" t="s">
        <v>3462</v>
      </c>
      <c r="E2564" s="28" t="s">
        <v>211</v>
      </c>
      <c r="F2564" s="28" t="s">
        <v>322</v>
      </c>
      <c r="G2564" s="28" t="s">
        <v>3463</v>
      </c>
      <c r="H2564" s="28">
        <v>5830258</v>
      </c>
      <c r="I2564" s="28">
        <v>176953</v>
      </c>
      <c r="J2564" s="28">
        <v>0.99</v>
      </c>
      <c r="K2564" s="28">
        <v>22</v>
      </c>
      <c r="L2564" s="28">
        <v>0</v>
      </c>
    </row>
    <row r="2565" spans="1:12" ht="14.25" customHeight="1" x14ac:dyDescent="0.2">
      <c r="A2565" s="28">
        <v>2564</v>
      </c>
      <c r="B2565" s="28" t="s">
        <v>3474</v>
      </c>
      <c r="C2565" s="28" t="s">
        <v>3461</v>
      </c>
      <c r="D2565" s="28" t="s">
        <v>3462</v>
      </c>
      <c r="E2565" s="28" t="s">
        <v>211</v>
      </c>
      <c r="F2565" s="28" t="s">
        <v>322</v>
      </c>
      <c r="G2565" s="28" t="s">
        <v>3465</v>
      </c>
      <c r="H2565" s="28">
        <v>10535158</v>
      </c>
      <c r="I2565" s="28">
        <v>320783</v>
      </c>
      <c r="J2565" s="28">
        <v>0.99</v>
      </c>
      <c r="K2565" s="28">
        <v>22</v>
      </c>
      <c r="L2565" s="28">
        <v>1</v>
      </c>
    </row>
    <row r="2566" spans="1:12" ht="14.25" customHeight="1" x14ac:dyDescent="0.2">
      <c r="A2566" s="28">
        <v>2565</v>
      </c>
      <c r="B2566" s="28" t="s">
        <v>3475</v>
      </c>
      <c r="C2566" s="28" t="s">
        <v>3476</v>
      </c>
      <c r="D2566" s="28" t="s">
        <v>3477</v>
      </c>
      <c r="E2566" s="28" t="s">
        <v>211</v>
      </c>
      <c r="F2566" s="28" t="s">
        <v>212</v>
      </c>
      <c r="G2566" s="28" t="s">
        <v>3478</v>
      </c>
      <c r="H2566" s="28">
        <v>29008407</v>
      </c>
      <c r="I2566" s="28">
        <v>880640</v>
      </c>
      <c r="J2566" s="28">
        <v>0.99</v>
      </c>
      <c r="K2566" s="28">
        <v>23</v>
      </c>
      <c r="L2566" s="28">
        <v>1</v>
      </c>
    </row>
    <row r="2567" spans="1:12" ht="14.25" customHeight="1" x14ac:dyDescent="0.2">
      <c r="A2567" s="28">
        <v>2566</v>
      </c>
      <c r="B2567" s="28" t="s">
        <v>3479</v>
      </c>
      <c r="C2567" s="28" t="s">
        <v>3476</v>
      </c>
      <c r="D2567" s="28" t="s">
        <v>3477</v>
      </c>
      <c r="E2567" s="28" t="s">
        <v>211</v>
      </c>
      <c r="F2567" s="28" t="s">
        <v>212</v>
      </c>
      <c r="G2567" s="28" t="s">
        <v>3478</v>
      </c>
      <c r="H2567" s="28">
        <v>16839223</v>
      </c>
      <c r="I2567" s="28">
        <v>513541</v>
      </c>
      <c r="J2567" s="28">
        <v>0.99</v>
      </c>
      <c r="K2567" s="28">
        <v>95</v>
      </c>
      <c r="L2567" s="28">
        <v>1</v>
      </c>
    </row>
    <row r="2568" spans="1:12" ht="14.25" customHeight="1" x14ac:dyDescent="0.2">
      <c r="A2568" s="28">
        <v>2567</v>
      </c>
      <c r="B2568" s="28" t="s">
        <v>3480</v>
      </c>
      <c r="C2568" s="28" t="s">
        <v>3476</v>
      </c>
      <c r="D2568" s="28" t="s">
        <v>3477</v>
      </c>
      <c r="E2568" s="28" t="s">
        <v>211</v>
      </c>
      <c r="F2568" s="28" t="s">
        <v>212</v>
      </c>
      <c r="G2568" s="28" t="s">
        <v>3478</v>
      </c>
      <c r="H2568" s="28">
        <v>14956771</v>
      </c>
      <c r="I2568" s="28">
        <v>447582</v>
      </c>
      <c r="J2568" s="28">
        <v>0.99</v>
      </c>
      <c r="K2568" s="28">
        <v>21</v>
      </c>
      <c r="L2568" s="28">
        <v>1</v>
      </c>
    </row>
    <row r="2569" spans="1:12" ht="14.25" customHeight="1" x14ac:dyDescent="0.2">
      <c r="A2569" s="28">
        <v>2568</v>
      </c>
      <c r="B2569" s="28" t="s">
        <v>3481</v>
      </c>
      <c r="C2569" s="28" t="s">
        <v>3476</v>
      </c>
      <c r="D2569" s="28" t="s">
        <v>3477</v>
      </c>
      <c r="E2569" s="28" t="s">
        <v>211</v>
      </c>
      <c r="F2569" s="28" t="s">
        <v>212</v>
      </c>
      <c r="G2569" s="28" t="s">
        <v>3478</v>
      </c>
      <c r="H2569" s="28">
        <v>17300835</v>
      </c>
      <c r="I2569" s="28">
        <v>526471</v>
      </c>
      <c r="J2569" s="28">
        <v>0.99</v>
      </c>
      <c r="K2569" s="28">
        <v>72</v>
      </c>
      <c r="L2569" s="28">
        <v>1</v>
      </c>
    </row>
    <row r="2570" spans="1:12" ht="14.25" customHeight="1" x14ac:dyDescent="0.2">
      <c r="A2570" s="28">
        <v>2569</v>
      </c>
      <c r="B2570" s="28" t="s">
        <v>3482</v>
      </c>
      <c r="C2570" s="28" t="s">
        <v>3476</v>
      </c>
      <c r="D2570" s="28" t="s">
        <v>3477</v>
      </c>
      <c r="E2570" s="28" t="s">
        <v>211</v>
      </c>
      <c r="F2570" s="28" t="s">
        <v>212</v>
      </c>
      <c r="G2570" s="28" t="s">
        <v>3478</v>
      </c>
      <c r="H2570" s="28">
        <v>18263248</v>
      </c>
      <c r="I2570" s="28">
        <v>549093</v>
      </c>
      <c r="J2570" s="28">
        <v>0.99</v>
      </c>
      <c r="K2570" s="28">
        <v>62</v>
      </c>
      <c r="L2570" s="28">
        <v>0</v>
      </c>
    </row>
    <row r="2571" spans="1:12" ht="14.25" customHeight="1" x14ac:dyDescent="0.2">
      <c r="A2571" s="28">
        <v>2570</v>
      </c>
      <c r="B2571" s="28" t="s">
        <v>3483</v>
      </c>
      <c r="C2571" s="28" t="s">
        <v>3476</v>
      </c>
      <c r="D2571" s="28" t="s">
        <v>3477</v>
      </c>
      <c r="E2571" s="28" t="s">
        <v>211</v>
      </c>
      <c r="F2571" s="28" t="s">
        <v>212</v>
      </c>
      <c r="G2571" s="28" t="s">
        <v>3478</v>
      </c>
      <c r="H2571" s="28">
        <v>19464726</v>
      </c>
      <c r="I2571" s="28">
        <v>583366</v>
      </c>
      <c r="J2571" s="28">
        <v>0.99</v>
      </c>
      <c r="K2571" s="28">
        <v>38</v>
      </c>
      <c r="L2571" s="28">
        <v>0</v>
      </c>
    </row>
    <row r="2572" spans="1:12" ht="14.25" customHeight="1" x14ac:dyDescent="0.2">
      <c r="A2572" s="28">
        <v>2571</v>
      </c>
      <c r="B2572" s="28" t="s">
        <v>3484</v>
      </c>
      <c r="C2572" s="28" t="s">
        <v>3476</v>
      </c>
      <c r="D2572" s="28" t="s">
        <v>3477</v>
      </c>
      <c r="E2572" s="28" t="s">
        <v>211</v>
      </c>
      <c r="F2572" s="28" t="s">
        <v>212</v>
      </c>
      <c r="G2572" s="28" t="s">
        <v>3478</v>
      </c>
      <c r="H2572" s="28">
        <v>17455568</v>
      </c>
      <c r="I2572" s="28">
        <v>529841</v>
      </c>
      <c r="J2572" s="28">
        <v>0.99</v>
      </c>
      <c r="K2572" s="28">
        <v>82</v>
      </c>
      <c r="L2572" s="28">
        <v>1</v>
      </c>
    </row>
    <row r="2573" spans="1:12" ht="14.25" customHeight="1" x14ac:dyDescent="0.2">
      <c r="A2573" s="28">
        <v>2572</v>
      </c>
      <c r="B2573" s="28" t="s">
        <v>3485</v>
      </c>
      <c r="C2573" s="28" t="s">
        <v>3486</v>
      </c>
      <c r="D2573" s="28" t="s">
        <v>3487</v>
      </c>
      <c r="E2573" s="28" t="s">
        <v>211</v>
      </c>
      <c r="F2573" s="28" t="s">
        <v>470</v>
      </c>
      <c r="G2573" s="28" t="s">
        <v>3488</v>
      </c>
      <c r="H2573" s="28">
        <v>9442157</v>
      </c>
      <c r="I2573" s="28">
        <v>286981</v>
      </c>
      <c r="J2573" s="28">
        <v>0.99</v>
      </c>
      <c r="K2573" s="28">
        <v>27</v>
      </c>
      <c r="L2573" s="28">
        <v>2</v>
      </c>
    </row>
    <row r="2574" spans="1:12" ht="14.25" customHeight="1" x14ac:dyDescent="0.2">
      <c r="A2574" s="28">
        <v>2573</v>
      </c>
      <c r="B2574" s="28" t="s">
        <v>3489</v>
      </c>
      <c r="C2574" s="28" t="s">
        <v>3486</v>
      </c>
      <c r="D2574" s="28" t="s">
        <v>3487</v>
      </c>
      <c r="E2574" s="28" t="s">
        <v>211</v>
      </c>
      <c r="F2574" s="28" t="s">
        <v>470</v>
      </c>
      <c r="G2574" s="28" t="s">
        <v>3488</v>
      </c>
      <c r="H2574" s="28">
        <v>8813561</v>
      </c>
      <c r="I2574" s="28">
        <v>268094</v>
      </c>
      <c r="J2574" s="28">
        <v>0.99</v>
      </c>
      <c r="K2574" s="28">
        <v>30</v>
      </c>
      <c r="L2574" s="28">
        <v>1</v>
      </c>
    </row>
    <row r="2575" spans="1:12" ht="14.25" customHeight="1" x14ac:dyDescent="0.2">
      <c r="A2575" s="28">
        <v>2574</v>
      </c>
      <c r="B2575" s="28" t="s">
        <v>3490</v>
      </c>
      <c r="C2575" s="28" t="s">
        <v>3486</v>
      </c>
      <c r="D2575" s="28" t="s">
        <v>3487</v>
      </c>
      <c r="E2575" s="28" t="s">
        <v>211</v>
      </c>
      <c r="F2575" s="28" t="s">
        <v>470</v>
      </c>
      <c r="G2575" s="28" t="s">
        <v>3488</v>
      </c>
      <c r="H2575" s="28">
        <v>7284377</v>
      </c>
      <c r="I2575" s="28">
        <v>222720</v>
      </c>
      <c r="J2575" s="28">
        <v>0.99</v>
      </c>
      <c r="K2575" s="28">
        <v>82</v>
      </c>
      <c r="L2575" s="28">
        <v>0</v>
      </c>
    </row>
    <row r="2576" spans="1:12" ht="14.25" customHeight="1" x14ac:dyDescent="0.2">
      <c r="A2576" s="28">
        <v>2575</v>
      </c>
      <c r="B2576" s="28" t="s">
        <v>3491</v>
      </c>
      <c r="C2576" s="28" t="s">
        <v>3486</v>
      </c>
      <c r="D2576" s="28" t="s">
        <v>3487</v>
      </c>
      <c r="E2576" s="28" t="s">
        <v>211</v>
      </c>
      <c r="F2576" s="28" t="s">
        <v>470</v>
      </c>
      <c r="G2576" s="28" t="s">
        <v>3488</v>
      </c>
      <c r="H2576" s="28">
        <v>7157045</v>
      </c>
      <c r="I2576" s="28">
        <v>218749</v>
      </c>
      <c r="J2576" s="28">
        <v>0.99</v>
      </c>
      <c r="K2576" s="28">
        <v>53</v>
      </c>
      <c r="L2576" s="28">
        <v>0</v>
      </c>
    </row>
    <row r="2577" spans="1:12" ht="14.25" customHeight="1" x14ac:dyDescent="0.2">
      <c r="A2577" s="28">
        <v>2576</v>
      </c>
      <c r="B2577" s="28" t="s">
        <v>3492</v>
      </c>
      <c r="C2577" s="28" t="s">
        <v>3486</v>
      </c>
      <c r="D2577" s="28" t="s">
        <v>3487</v>
      </c>
      <c r="E2577" s="28" t="s">
        <v>211</v>
      </c>
      <c r="F2577" s="28" t="s">
        <v>470</v>
      </c>
      <c r="G2577" s="28" t="s">
        <v>3488</v>
      </c>
      <c r="H2577" s="28">
        <v>12749424</v>
      </c>
      <c r="I2577" s="28">
        <v>389146</v>
      </c>
      <c r="J2577" s="28">
        <v>0.99</v>
      </c>
      <c r="K2577" s="28">
        <v>90</v>
      </c>
      <c r="L2577" s="28">
        <v>1</v>
      </c>
    </row>
    <row r="2578" spans="1:12" ht="14.25" customHeight="1" x14ac:dyDescent="0.2">
      <c r="A2578" s="28">
        <v>2577</v>
      </c>
      <c r="B2578" s="28" t="s">
        <v>3493</v>
      </c>
      <c r="C2578" s="28" t="s">
        <v>3486</v>
      </c>
      <c r="D2578" s="28" t="s">
        <v>3487</v>
      </c>
      <c r="E2578" s="28" t="s">
        <v>211</v>
      </c>
      <c r="F2578" s="28" t="s">
        <v>470</v>
      </c>
      <c r="G2578" s="28" t="s">
        <v>3488</v>
      </c>
      <c r="H2578" s="28">
        <v>12047978</v>
      </c>
      <c r="I2578" s="28">
        <v>368300</v>
      </c>
      <c r="J2578" s="28">
        <v>0.99</v>
      </c>
      <c r="K2578" s="28">
        <v>83</v>
      </c>
      <c r="L2578" s="28">
        <v>1</v>
      </c>
    </row>
    <row r="2579" spans="1:12" ht="14.25" customHeight="1" x14ac:dyDescent="0.2">
      <c r="A2579" s="28">
        <v>2578</v>
      </c>
      <c r="B2579" s="28" t="s">
        <v>3494</v>
      </c>
      <c r="C2579" s="28" t="s">
        <v>3486</v>
      </c>
      <c r="D2579" s="28" t="s">
        <v>3487</v>
      </c>
      <c r="E2579" s="28" t="s">
        <v>211</v>
      </c>
      <c r="F2579" s="28" t="s">
        <v>470</v>
      </c>
      <c r="G2579" s="28" t="s">
        <v>3488</v>
      </c>
      <c r="H2579" s="28">
        <v>12222116</v>
      </c>
      <c r="I2579" s="28">
        <v>372636</v>
      </c>
      <c r="J2579" s="28">
        <v>0.99</v>
      </c>
      <c r="K2579" s="28">
        <v>98</v>
      </c>
      <c r="L2579" s="28">
        <v>1</v>
      </c>
    </row>
    <row r="2580" spans="1:12" ht="14.25" customHeight="1" x14ac:dyDescent="0.2">
      <c r="A2580" s="28">
        <v>2579</v>
      </c>
      <c r="B2580" s="28" t="s">
        <v>3495</v>
      </c>
      <c r="C2580" s="28" t="s">
        <v>3486</v>
      </c>
      <c r="D2580" s="28" t="s">
        <v>3487</v>
      </c>
      <c r="E2580" s="28" t="s">
        <v>211</v>
      </c>
      <c r="F2580" s="28" t="s">
        <v>470</v>
      </c>
      <c r="G2580" s="28" t="s">
        <v>3488</v>
      </c>
      <c r="H2580" s="28">
        <v>15161907</v>
      </c>
      <c r="I2580" s="28">
        <v>459990</v>
      </c>
      <c r="J2580" s="28">
        <v>0.99</v>
      </c>
      <c r="K2580" s="28">
        <v>52</v>
      </c>
      <c r="L2580" s="28">
        <v>0</v>
      </c>
    </row>
    <row r="2581" spans="1:12" ht="14.25" customHeight="1" x14ac:dyDescent="0.2">
      <c r="A2581" s="28">
        <v>2580</v>
      </c>
      <c r="B2581" s="28" t="s">
        <v>3496</v>
      </c>
      <c r="C2581" s="28" t="s">
        <v>3486</v>
      </c>
      <c r="D2581" s="28" t="s">
        <v>3487</v>
      </c>
      <c r="E2581" s="28" t="s">
        <v>211</v>
      </c>
      <c r="F2581" s="28" t="s">
        <v>470</v>
      </c>
      <c r="G2581" s="28" t="s">
        <v>3488</v>
      </c>
      <c r="H2581" s="28">
        <v>13250848</v>
      </c>
      <c r="I2581" s="28">
        <v>404688</v>
      </c>
      <c r="J2581" s="28">
        <v>0.99</v>
      </c>
      <c r="K2581" s="28">
        <v>43</v>
      </c>
      <c r="L2581" s="28">
        <v>1</v>
      </c>
    </row>
    <row r="2582" spans="1:12" ht="14.25" customHeight="1" x14ac:dyDescent="0.2">
      <c r="A2582" s="28">
        <v>2581</v>
      </c>
      <c r="B2582" s="28" t="s">
        <v>3497</v>
      </c>
      <c r="C2582" s="28" t="s">
        <v>3486</v>
      </c>
      <c r="D2582" s="28" t="s">
        <v>3487</v>
      </c>
      <c r="E2582" s="28" t="s">
        <v>211</v>
      </c>
      <c r="F2582" s="28" t="s">
        <v>470</v>
      </c>
      <c r="G2582" s="28" t="s">
        <v>3488</v>
      </c>
      <c r="H2582" s="28">
        <v>10115556</v>
      </c>
      <c r="I2582" s="28">
        <v>308401</v>
      </c>
      <c r="J2582" s="28">
        <v>0.99</v>
      </c>
      <c r="K2582" s="28">
        <v>68</v>
      </c>
      <c r="L2582" s="28">
        <v>0</v>
      </c>
    </row>
    <row r="2583" spans="1:12" ht="14.25" customHeight="1" x14ac:dyDescent="0.2">
      <c r="A2583" s="28">
        <v>2582</v>
      </c>
      <c r="B2583" s="28" t="s">
        <v>3498</v>
      </c>
      <c r="C2583" s="28" t="s">
        <v>3499</v>
      </c>
      <c r="D2583" s="28" t="s">
        <v>3487</v>
      </c>
      <c r="E2583" s="28" t="s">
        <v>211</v>
      </c>
      <c r="F2583" s="28" t="s">
        <v>470</v>
      </c>
      <c r="G2583" s="28" t="s">
        <v>3488</v>
      </c>
      <c r="H2583" s="28">
        <v>11740886</v>
      </c>
      <c r="I2583" s="28">
        <v>359314</v>
      </c>
      <c r="J2583" s="28">
        <v>0.99</v>
      </c>
      <c r="K2583" s="28">
        <v>60</v>
      </c>
      <c r="L2583" s="28">
        <v>1</v>
      </c>
    </row>
    <row r="2584" spans="1:12" ht="14.25" customHeight="1" x14ac:dyDescent="0.2">
      <c r="A2584" s="28">
        <v>2583</v>
      </c>
      <c r="B2584" s="28" t="s">
        <v>3500</v>
      </c>
      <c r="C2584" s="28" t="s">
        <v>3499</v>
      </c>
      <c r="D2584" s="28" t="s">
        <v>3487</v>
      </c>
      <c r="E2584" s="28" t="s">
        <v>211</v>
      </c>
      <c r="F2584" s="28" t="s">
        <v>470</v>
      </c>
      <c r="G2584" s="28" t="s">
        <v>3488</v>
      </c>
      <c r="H2584" s="28">
        <v>12227998</v>
      </c>
      <c r="I2584" s="28">
        <v>371879</v>
      </c>
      <c r="J2584" s="28">
        <v>0.99</v>
      </c>
      <c r="K2584" s="28">
        <v>43</v>
      </c>
      <c r="L2584" s="28">
        <v>1</v>
      </c>
    </row>
    <row r="2585" spans="1:12" ht="14.25" customHeight="1" x14ac:dyDescent="0.2">
      <c r="A2585" s="28">
        <v>2584</v>
      </c>
      <c r="B2585" s="28" t="s">
        <v>3501</v>
      </c>
      <c r="C2585" s="28" t="s">
        <v>3499</v>
      </c>
      <c r="D2585" s="28" t="s">
        <v>3487</v>
      </c>
      <c r="E2585" s="28" t="s">
        <v>211</v>
      </c>
      <c r="F2585" s="28" t="s">
        <v>470</v>
      </c>
      <c r="G2585" s="28" t="s">
        <v>3488</v>
      </c>
      <c r="H2585" s="28">
        <v>16501316</v>
      </c>
      <c r="I2585" s="28">
        <v>505521</v>
      </c>
      <c r="J2585" s="28">
        <v>0.99</v>
      </c>
      <c r="K2585" s="28">
        <v>2</v>
      </c>
      <c r="L2585" s="28">
        <v>2</v>
      </c>
    </row>
    <row r="2586" spans="1:12" ht="14.25" customHeight="1" x14ac:dyDescent="0.2">
      <c r="A2586" s="28">
        <v>2585</v>
      </c>
      <c r="B2586" s="28" t="s">
        <v>3502</v>
      </c>
      <c r="C2586" s="28" t="s">
        <v>3499</v>
      </c>
      <c r="D2586" s="28" t="s">
        <v>3487</v>
      </c>
      <c r="E2586" s="28" t="s">
        <v>211</v>
      </c>
      <c r="F2586" s="28" t="s">
        <v>470</v>
      </c>
      <c r="G2586" s="28" t="s">
        <v>3488</v>
      </c>
      <c r="H2586" s="28">
        <v>11837342</v>
      </c>
      <c r="I2586" s="28">
        <v>361978</v>
      </c>
      <c r="J2586" s="28">
        <v>0.99</v>
      </c>
      <c r="K2586" s="28">
        <v>26</v>
      </c>
      <c r="L2586" s="28">
        <v>0</v>
      </c>
    </row>
    <row r="2587" spans="1:12" ht="14.25" customHeight="1" x14ac:dyDescent="0.2">
      <c r="A2587" s="28">
        <v>2586</v>
      </c>
      <c r="B2587" s="28" t="s">
        <v>3503</v>
      </c>
      <c r="C2587" s="28" t="s">
        <v>3499</v>
      </c>
      <c r="D2587" s="28" t="s">
        <v>3487</v>
      </c>
      <c r="E2587" s="28" t="s">
        <v>211</v>
      </c>
      <c r="F2587" s="28" t="s">
        <v>470</v>
      </c>
      <c r="G2587" s="28" t="s">
        <v>3488</v>
      </c>
      <c r="H2587" s="28">
        <v>9008067</v>
      </c>
      <c r="I2587" s="28">
        <v>275565</v>
      </c>
      <c r="J2587" s="28">
        <v>0.99</v>
      </c>
      <c r="K2587" s="28">
        <v>33</v>
      </c>
      <c r="L2587" s="28">
        <v>0</v>
      </c>
    </row>
    <row r="2588" spans="1:12" ht="14.25" customHeight="1" x14ac:dyDescent="0.2">
      <c r="A2588" s="28">
        <v>2587</v>
      </c>
      <c r="B2588" s="28" t="s">
        <v>3504</v>
      </c>
      <c r="C2588" s="28" t="s">
        <v>3499</v>
      </c>
      <c r="D2588" s="28" t="s">
        <v>3487</v>
      </c>
      <c r="E2588" s="28" t="s">
        <v>211</v>
      </c>
      <c r="F2588" s="28" t="s">
        <v>470</v>
      </c>
      <c r="G2588" s="28" t="s">
        <v>3488</v>
      </c>
      <c r="H2588" s="28">
        <v>10331216</v>
      </c>
      <c r="I2588" s="28">
        <v>314409</v>
      </c>
      <c r="J2588" s="28">
        <v>0.99</v>
      </c>
      <c r="K2588" s="28">
        <v>14</v>
      </c>
      <c r="L2588" s="28">
        <v>0</v>
      </c>
    </row>
    <row r="2589" spans="1:12" ht="14.25" customHeight="1" x14ac:dyDescent="0.2">
      <c r="A2589" s="28">
        <v>2588</v>
      </c>
      <c r="B2589" s="28" t="s">
        <v>3505</v>
      </c>
      <c r="C2589" s="28" t="s">
        <v>3499</v>
      </c>
      <c r="D2589" s="28" t="s">
        <v>3487</v>
      </c>
      <c r="E2589" s="28" t="s">
        <v>211</v>
      </c>
      <c r="F2589" s="28" t="s">
        <v>470</v>
      </c>
      <c r="G2589" s="28" t="s">
        <v>3488</v>
      </c>
      <c r="H2589" s="28">
        <v>7672489</v>
      </c>
      <c r="I2589" s="28">
        <v>233639</v>
      </c>
      <c r="J2589" s="28">
        <v>0.99</v>
      </c>
      <c r="K2589" s="28">
        <v>82</v>
      </c>
      <c r="L2589" s="28">
        <v>1</v>
      </c>
    </row>
    <row r="2590" spans="1:12" ht="14.25" customHeight="1" x14ac:dyDescent="0.2">
      <c r="A2590" s="28">
        <v>2589</v>
      </c>
      <c r="B2590" s="28" t="s">
        <v>3506</v>
      </c>
      <c r="C2590" s="28" t="s">
        <v>3499</v>
      </c>
      <c r="D2590" s="28" t="s">
        <v>3487</v>
      </c>
      <c r="E2590" s="28" t="s">
        <v>211</v>
      </c>
      <c r="F2590" s="28" t="s">
        <v>470</v>
      </c>
      <c r="G2590" s="28" t="s">
        <v>3507</v>
      </c>
      <c r="H2590" s="28">
        <v>6786304</v>
      </c>
      <c r="I2590" s="28">
        <v>206994</v>
      </c>
      <c r="J2590" s="28">
        <v>0.99</v>
      </c>
      <c r="K2590" s="28">
        <v>43</v>
      </c>
      <c r="L2590" s="28">
        <v>1</v>
      </c>
    </row>
    <row r="2591" spans="1:12" ht="14.25" customHeight="1" x14ac:dyDescent="0.2">
      <c r="A2591" s="28">
        <v>2590</v>
      </c>
      <c r="B2591" s="28" t="s">
        <v>3508</v>
      </c>
      <c r="C2591" s="28" t="s">
        <v>3499</v>
      </c>
      <c r="D2591" s="28" t="s">
        <v>3487</v>
      </c>
      <c r="E2591" s="28" t="s">
        <v>211</v>
      </c>
      <c r="F2591" s="28" t="s">
        <v>470</v>
      </c>
      <c r="G2591" s="28" t="s">
        <v>3488</v>
      </c>
      <c r="H2591" s="28">
        <v>11049098</v>
      </c>
      <c r="I2591" s="28">
        <v>337084</v>
      </c>
      <c r="J2591" s="28">
        <v>0.99</v>
      </c>
      <c r="K2591" s="28">
        <v>16</v>
      </c>
      <c r="L2591" s="28">
        <v>1</v>
      </c>
    </row>
    <row r="2592" spans="1:12" ht="14.25" customHeight="1" x14ac:dyDescent="0.2">
      <c r="A2592" s="28">
        <v>2591</v>
      </c>
      <c r="B2592" s="28" t="s">
        <v>3509</v>
      </c>
      <c r="C2592" s="28" t="s">
        <v>3510</v>
      </c>
      <c r="D2592" s="28" t="s">
        <v>3511</v>
      </c>
      <c r="E2592" s="28" t="s">
        <v>211</v>
      </c>
      <c r="F2592" s="28" t="s">
        <v>348</v>
      </c>
      <c r="G2592" s="28" t="s">
        <v>3512</v>
      </c>
      <c r="H2592" s="28">
        <v>3922819</v>
      </c>
      <c r="I2592" s="28">
        <v>118726</v>
      </c>
      <c r="J2592" s="28">
        <v>0.99</v>
      </c>
      <c r="K2592" s="28">
        <v>36</v>
      </c>
      <c r="L2592" s="28">
        <v>1</v>
      </c>
    </row>
    <row r="2593" spans="1:12" ht="14.25" customHeight="1" x14ac:dyDescent="0.2">
      <c r="A2593" s="28">
        <v>2592</v>
      </c>
      <c r="B2593" s="28" t="s">
        <v>3513</v>
      </c>
      <c r="C2593" s="28" t="s">
        <v>3510</v>
      </c>
      <c r="D2593" s="28" t="s">
        <v>3511</v>
      </c>
      <c r="E2593" s="28" t="s">
        <v>211</v>
      </c>
      <c r="F2593" s="28" t="s">
        <v>348</v>
      </c>
      <c r="G2593" s="28" t="s">
        <v>3512</v>
      </c>
      <c r="H2593" s="28">
        <v>5949647</v>
      </c>
      <c r="I2593" s="28">
        <v>180297</v>
      </c>
      <c r="J2593" s="28">
        <v>0.99</v>
      </c>
      <c r="K2593" s="28">
        <v>4</v>
      </c>
      <c r="L2593" s="28">
        <v>0</v>
      </c>
    </row>
    <row r="2594" spans="1:12" ht="14.25" customHeight="1" x14ac:dyDescent="0.2">
      <c r="A2594" s="28">
        <v>2593</v>
      </c>
      <c r="B2594" s="28" t="s">
        <v>3514</v>
      </c>
      <c r="C2594" s="28" t="s">
        <v>3510</v>
      </c>
      <c r="D2594" s="28" t="s">
        <v>3511</v>
      </c>
      <c r="E2594" s="28" t="s">
        <v>211</v>
      </c>
      <c r="F2594" s="28" t="s">
        <v>348</v>
      </c>
      <c r="G2594" s="28" t="s">
        <v>3512</v>
      </c>
      <c r="H2594" s="28">
        <v>6272081</v>
      </c>
      <c r="I2594" s="28">
        <v>192653</v>
      </c>
      <c r="J2594" s="28">
        <v>0.99</v>
      </c>
      <c r="K2594" s="28">
        <v>92</v>
      </c>
      <c r="L2594" s="28">
        <v>0</v>
      </c>
    </row>
    <row r="2595" spans="1:12" ht="14.25" customHeight="1" x14ac:dyDescent="0.2">
      <c r="A2595" s="28">
        <v>2594</v>
      </c>
      <c r="B2595" s="28" t="s">
        <v>3515</v>
      </c>
      <c r="C2595" s="28" t="s">
        <v>3510</v>
      </c>
      <c r="D2595" s="28" t="s">
        <v>3511</v>
      </c>
      <c r="E2595" s="28" t="s">
        <v>211</v>
      </c>
      <c r="F2595" s="28" t="s">
        <v>348</v>
      </c>
      <c r="G2595" s="28" t="s">
        <v>3512</v>
      </c>
      <c r="H2595" s="28">
        <v>7555054</v>
      </c>
      <c r="I2595" s="28">
        <v>227500</v>
      </c>
      <c r="J2595" s="28">
        <v>0.99</v>
      </c>
      <c r="K2595" s="28">
        <v>88</v>
      </c>
      <c r="L2595" s="28">
        <v>1</v>
      </c>
    </row>
    <row r="2596" spans="1:12" ht="14.25" customHeight="1" x14ac:dyDescent="0.2">
      <c r="A2596" s="28">
        <v>2595</v>
      </c>
      <c r="B2596" s="28" t="s">
        <v>3516</v>
      </c>
      <c r="C2596" s="28" t="s">
        <v>3510</v>
      </c>
      <c r="D2596" s="28" t="s">
        <v>3511</v>
      </c>
      <c r="E2596" s="28" t="s">
        <v>211</v>
      </c>
      <c r="F2596" s="28" t="s">
        <v>348</v>
      </c>
      <c r="G2596" s="28" t="s">
        <v>3512</v>
      </c>
      <c r="H2596" s="28">
        <v>7883532</v>
      </c>
      <c r="I2596" s="28">
        <v>240640</v>
      </c>
      <c r="J2596" s="28">
        <v>0.99</v>
      </c>
      <c r="K2596" s="28">
        <v>13</v>
      </c>
      <c r="L2596" s="28">
        <v>1</v>
      </c>
    </row>
    <row r="2597" spans="1:12" ht="14.25" customHeight="1" x14ac:dyDescent="0.2">
      <c r="A2597" s="28">
        <v>2596</v>
      </c>
      <c r="B2597" s="28" t="s">
        <v>3517</v>
      </c>
      <c r="C2597" s="28" t="s">
        <v>3510</v>
      </c>
      <c r="D2597" s="28" t="s">
        <v>3511</v>
      </c>
      <c r="E2597" s="28" t="s">
        <v>211</v>
      </c>
      <c r="F2597" s="28" t="s">
        <v>348</v>
      </c>
      <c r="G2597" s="28" t="s">
        <v>3512</v>
      </c>
      <c r="H2597" s="28">
        <v>6399872</v>
      </c>
      <c r="I2597" s="28">
        <v>195526</v>
      </c>
      <c r="J2597" s="28">
        <v>0.99</v>
      </c>
      <c r="K2597" s="28">
        <v>63</v>
      </c>
      <c r="L2597" s="28">
        <v>1</v>
      </c>
    </row>
    <row r="2598" spans="1:12" ht="14.25" customHeight="1" x14ac:dyDescent="0.2">
      <c r="A2598" s="28">
        <v>2597</v>
      </c>
      <c r="B2598" s="28" t="s">
        <v>3518</v>
      </c>
      <c r="C2598" s="28" t="s">
        <v>3510</v>
      </c>
      <c r="D2598" s="28" t="s">
        <v>3511</v>
      </c>
      <c r="E2598" s="28" t="s">
        <v>211</v>
      </c>
      <c r="F2598" s="28" t="s">
        <v>348</v>
      </c>
      <c r="G2598" s="28" t="s">
        <v>3519</v>
      </c>
      <c r="H2598" s="28">
        <v>5111226</v>
      </c>
      <c r="I2598" s="28">
        <v>156708</v>
      </c>
      <c r="J2598" s="28">
        <v>0.99</v>
      </c>
      <c r="K2598" s="28">
        <v>21</v>
      </c>
      <c r="L2598" s="28">
        <v>0</v>
      </c>
    </row>
    <row r="2599" spans="1:12" ht="14.25" customHeight="1" x14ac:dyDescent="0.2">
      <c r="A2599" s="28">
        <v>2598</v>
      </c>
      <c r="B2599" s="28" t="s">
        <v>3520</v>
      </c>
      <c r="C2599" s="28" t="s">
        <v>3510</v>
      </c>
      <c r="D2599" s="28" t="s">
        <v>3511</v>
      </c>
      <c r="E2599" s="28" t="s">
        <v>211</v>
      </c>
      <c r="F2599" s="28" t="s">
        <v>348</v>
      </c>
      <c r="G2599" s="28" t="s">
        <v>3521</v>
      </c>
      <c r="H2599" s="28">
        <v>5245258</v>
      </c>
      <c r="I2599" s="28">
        <v>159764</v>
      </c>
      <c r="J2599" s="28">
        <v>0.99</v>
      </c>
      <c r="K2599" s="28">
        <v>28</v>
      </c>
      <c r="L2599" s="28">
        <v>0</v>
      </c>
    </row>
    <row r="2600" spans="1:12" ht="14.25" customHeight="1" x14ac:dyDescent="0.2">
      <c r="A2600" s="28">
        <v>2599</v>
      </c>
      <c r="B2600" s="28" t="s">
        <v>3522</v>
      </c>
      <c r="C2600" s="28" t="s">
        <v>3510</v>
      </c>
      <c r="D2600" s="28" t="s">
        <v>3511</v>
      </c>
      <c r="E2600" s="28" t="s">
        <v>211</v>
      </c>
      <c r="F2600" s="28" t="s">
        <v>348</v>
      </c>
      <c r="G2600" s="28" t="s">
        <v>3512</v>
      </c>
      <c r="H2600" s="28">
        <v>6569007</v>
      </c>
      <c r="I2600" s="28">
        <v>199706</v>
      </c>
      <c r="J2600" s="28">
        <v>0.99</v>
      </c>
      <c r="K2600" s="28">
        <v>25</v>
      </c>
      <c r="L2600" s="28">
        <v>0</v>
      </c>
    </row>
    <row r="2601" spans="1:12" ht="14.25" customHeight="1" x14ac:dyDescent="0.2">
      <c r="A2601" s="28">
        <v>2600</v>
      </c>
      <c r="B2601" s="28" t="s">
        <v>3523</v>
      </c>
      <c r="C2601" s="28" t="s">
        <v>3510</v>
      </c>
      <c r="D2601" s="28" t="s">
        <v>3511</v>
      </c>
      <c r="E2601" s="28" t="s">
        <v>211</v>
      </c>
      <c r="F2601" s="28" t="s">
        <v>348</v>
      </c>
      <c r="G2601" s="28" t="s">
        <v>3512</v>
      </c>
      <c r="H2601" s="28">
        <v>6329877</v>
      </c>
      <c r="I2601" s="28">
        <v>189675</v>
      </c>
      <c r="J2601" s="28">
        <v>0.99</v>
      </c>
      <c r="K2601" s="28">
        <v>36</v>
      </c>
      <c r="L2601" s="28">
        <v>2</v>
      </c>
    </row>
    <row r="2602" spans="1:12" ht="14.25" customHeight="1" x14ac:dyDescent="0.2">
      <c r="A2602" s="28">
        <v>2601</v>
      </c>
      <c r="B2602" s="28" t="s">
        <v>3524</v>
      </c>
      <c r="C2602" s="28" t="s">
        <v>3510</v>
      </c>
      <c r="D2602" s="28" t="s">
        <v>3511</v>
      </c>
      <c r="E2602" s="28" t="s">
        <v>211</v>
      </c>
      <c r="F2602" s="28" t="s">
        <v>348</v>
      </c>
      <c r="G2602" s="28" t="s">
        <v>3512</v>
      </c>
      <c r="H2602" s="28">
        <v>9067323</v>
      </c>
      <c r="I2602" s="28">
        <v>272431</v>
      </c>
      <c r="J2602" s="28">
        <v>0.99</v>
      </c>
      <c r="K2602" s="28">
        <v>97</v>
      </c>
      <c r="L2602" s="28">
        <v>1</v>
      </c>
    </row>
    <row r="2603" spans="1:12" ht="14.25" customHeight="1" x14ac:dyDescent="0.2">
      <c r="A2603" s="28">
        <v>2602</v>
      </c>
      <c r="B2603" s="28" t="s">
        <v>3525</v>
      </c>
      <c r="C2603" s="28" t="s">
        <v>3510</v>
      </c>
      <c r="D2603" s="28" t="s">
        <v>3511</v>
      </c>
      <c r="E2603" s="28" t="s">
        <v>211</v>
      </c>
      <c r="F2603" s="28" t="s">
        <v>348</v>
      </c>
      <c r="G2603" s="28" t="s">
        <v>3511</v>
      </c>
      <c r="H2603" s="28">
        <v>10746937</v>
      </c>
      <c r="I2603" s="28">
        <v>324336</v>
      </c>
      <c r="J2603" s="28">
        <v>0.99</v>
      </c>
      <c r="K2603" s="28">
        <v>9</v>
      </c>
      <c r="L2603" s="28">
        <v>0</v>
      </c>
    </row>
    <row r="2604" spans="1:12" ht="14.25" customHeight="1" x14ac:dyDescent="0.2">
      <c r="A2604" s="28">
        <v>2603</v>
      </c>
      <c r="B2604" s="28" t="s">
        <v>3526</v>
      </c>
      <c r="C2604" s="28" t="s">
        <v>3510</v>
      </c>
      <c r="D2604" s="28" t="s">
        <v>3511</v>
      </c>
      <c r="E2604" s="28" t="s">
        <v>211</v>
      </c>
      <c r="F2604" s="28" t="s">
        <v>348</v>
      </c>
      <c r="G2604" s="28" t="s">
        <v>3511</v>
      </c>
      <c r="H2604" s="28">
        <v>8606887</v>
      </c>
      <c r="I2604" s="28">
        <v>261433</v>
      </c>
      <c r="J2604" s="28">
        <v>0.99</v>
      </c>
      <c r="K2604" s="28">
        <v>20</v>
      </c>
      <c r="L2604" s="28">
        <v>0</v>
      </c>
    </row>
    <row r="2605" spans="1:12" ht="14.25" customHeight="1" x14ac:dyDescent="0.2">
      <c r="A2605" s="28">
        <v>2604</v>
      </c>
      <c r="B2605" s="28" t="s">
        <v>3527</v>
      </c>
      <c r="C2605" s="28" t="s">
        <v>3510</v>
      </c>
      <c r="D2605" s="28" t="s">
        <v>3511</v>
      </c>
      <c r="E2605" s="28" t="s">
        <v>211</v>
      </c>
      <c r="F2605" s="28" t="s">
        <v>348</v>
      </c>
      <c r="G2605" s="28" t="s">
        <v>3511</v>
      </c>
      <c r="H2605" s="28">
        <v>8889821</v>
      </c>
      <c r="I2605" s="28">
        <v>268486</v>
      </c>
      <c r="J2605" s="28">
        <v>0.99</v>
      </c>
      <c r="K2605" s="28">
        <v>88</v>
      </c>
      <c r="L2605" s="28">
        <v>0</v>
      </c>
    </row>
    <row r="2606" spans="1:12" ht="14.25" customHeight="1" x14ac:dyDescent="0.2">
      <c r="A2606" s="28">
        <v>2605</v>
      </c>
      <c r="B2606" s="28" t="s">
        <v>3528</v>
      </c>
      <c r="C2606" s="28" t="s">
        <v>3510</v>
      </c>
      <c r="D2606" s="28" t="s">
        <v>3511</v>
      </c>
      <c r="E2606" s="28" t="s">
        <v>211</v>
      </c>
      <c r="F2606" s="28" t="s">
        <v>348</v>
      </c>
      <c r="G2606" s="28" t="s">
        <v>3511</v>
      </c>
      <c r="H2606" s="28">
        <v>8366573</v>
      </c>
      <c r="I2606" s="28">
        <v>249756</v>
      </c>
      <c r="J2606" s="28">
        <v>0.99</v>
      </c>
      <c r="K2606" s="28">
        <v>90</v>
      </c>
      <c r="L2606" s="28">
        <v>1</v>
      </c>
    </row>
    <row r="2607" spans="1:12" ht="14.25" customHeight="1" x14ac:dyDescent="0.2">
      <c r="A2607" s="28">
        <v>2606</v>
      </c>
      <c r="B2607" s="28" t="s">
        <v>3529</v>
      </c>
      <c r="C2607" s="28" t="s">
        <v>3510</v>
      </c>
      <c r="D2607" s="28" t="s">
        <v>3511</v>
      </c>
      <c r="E2607" s="28" t="s">
        <v>211</v>
      </c>
      <c r="F2607" s="28" t="s">
        <v>348</v>
      </c>
      <c r="G2607" s="28" t="s">
        <v>3511</v>
      </c>
      <c r="H2607" s="28">
        <v>7195726</v>
      </c>
      <c r="I2607" s="28">
        <v>217678</v>
      </c>
      <c r="J2607" s="28">
        <v>0.99</v>
      </c>
      <c r="K2607" s="28">
        <v>13</v>
      </c>
      <c r="L2607" s="28">
        <v>1</v>
      </c>
    </row>
    <row r="2608" spans="1:12" ht="14.25" customHeight="1" x14ac:dyDescent="0.2">
      <c r="A2608" s="28">
        <v>2607</v>
      </c>
      <c r="B2608" s="28" t="s">
        <v>3530</v>
      </c>
      <c r="C2608" s="28" t="s">
        <v>3510</v>
      </c>
      <c r="D2608" s="28" t="s">
        <v>3511</v>
      </c>
      <c r="E2608" s="28" t="s">
        <v>211</v>
      </c>
      <c r="F2608" s="28" t="s">
        <v>348</v>
      </c>
      <c r="G2608" s="28" t="s">
        <v>3511</v>
      </c>
      <c r="H2608" s="28">
        <v>7361500</v>
      </c>
      <c r="I2608" s="28">
        <v>222145</v>
      </c>
      <c r="J2608" s="28">
        <v>0.99</v>
      </c>
      <c r="K2608" s="28">
        <v>28</v>
      </c>
      <c r="L2608" s="28">
        <v>1</v>
      </c>
    </row>
    <row r="2609" spans="1:12" ht="14.25" customHeight="1" x14ac:dyDescent="0.2">
      <c r="A2609" s="28">
        <v>2608</v>
      </c>
      <c r="B2609" s="28" t="s">
        <v>3531</v>
      </c>
      <c r="C2609" s="28" t="s">
        <v>3510</v>
      </c>
      <c r="D2609" s="28" t="s">
        <v>3511</v>
      </c>
      <c r="E2609" s="28" t="s">
        <v>211</v>
      </c>
      <c r="F2609" s="28" t="s">
        <v>348</v>
      </c>
      <c r="G2609" s="28" t="s">
        <v>3511</v>
      </c>
      <c r="H2609" s="28">
        <v>6188688</v>
      </c>
      <c r="I2609" s="28">
        <v>187219</v>
      </c>
      <c r="J2609" s="28">
        <v>0.99</v>
      </c>
      <c r="K2609" s="28">
        <v>21</v>
      </c>
      <c r="L2609" s="28">
        <v>0</v>
      </c>
    </row>
    <row r="2610" spans="1:12" ht="14.25" customHeight="1" x14ac:dyDescent="0.2">
      <c r="A2610" s="28">
        <v>2609</v>
      </c>
      <c r="B2610" s="28" t="s">
        <v>3532</v>
      </c>
      <c r="C2610" s="28" t="s">
        <v>3533</v>
      </c>
      <c r="D2610" s="28" t="s">
        <v>3534</v>
      </c>
      <c r="E2610" s="28" t="s">
        <v>211</v>
      </c>
      <c r="F2610" s="28" t="s">
        <v>212</v>
      </c>
      <c r="G2610" s="28" t="s">
        <v>3535</v>
      </c>
      <c r="H2610" s="28">
        <v>8254842</v>
      </c>
      <c r="I2610" s="28">
        <v>252630</v>
      </c>
      <c r="J2610" s="28">
        <v>0.99</v>
      </c>
      <c r="K2610" s="28">
        <v>92</v>
      </c>
      <c r="L2610" s="28">
        <v>1</v>
      </c>
    </row>
    <row r="2611" spans="1:12" ht="14.25" customHeight="1" x14ac:dyDescent="0.2">
      <c r="A2611" s="28">
        <v>2610</v>
      </c>
      <c r="B2611" s="28" t="s">
        <v>3536</v>
      </c>
      <c r="C2611" s="28" t="s">
        <v>3533</v>
      </c>
      <c r="D2611" s="28" t="s">
        <v>3534</v>
      </c>
      <c r="E2611" s="28" t="s">
        <v>211</v>
      </c>
      <c r="F2611" s="28" t="s">
        <v>212</v>
      </c>
      <c r="G2611" s="28" t="s">
        <v>3535</v>
      </c>
      <c r="H2611" s="28">
        <v>7061584</v>
      </c>
      <c r="I2611" s="28">
        <v>216215</v>
      </c>
      <c r="J2611" s="28">
        <v>0.99</v>
      </c>
      <c r="K2611" s="28">
        <v>39</v>
      </c>
      <c r="L2611" s="28">
        <v>0</v>
      </c>
    </row>
    <row r="2612" spans="1:12" ht="14.25" customHeight="1" x14ac:dyDescent="0.2">
      <c r="A2612" s="28">
        <v>2611</v>
      </c>
      <c r="B2612" s="28" t="s">
        <v>3537</v>
      </c>
      <c r="C2612" s="28" t="s">
        <v>3533</v>
      </c>
      <c r="D2612" s="28" t="s">
        <v>3534</v>
      </c>
      <c r="E2612" s="28" t="s">
        <v>211</v>
      </c>
      <c r="F2612" s="28" t="s">
        <v>212</v>
      </c>
      <c r="G2612" s="28" t="s">
        <v>3535</v>
      </c>
      <c r="H2612" s="28">
        <v>7106195</v>
      </c>
      <c r="I2612" s="28">
        <v>219088</v>
      </c>
      <c r="J2612" s="28">
        <v>0.99</v>
      </c>
      <c r="K2612" s="28">
        <v>54</v>
      </c>
      <c r="L2612" s="28">
        <v>0</v>
      </c>
    </row>
    <row r="2613" spans="1:12" ht="14.25" customHeight="1" x14ac:dyDescent="0.2">
      <c r="A2613" s="28">
        <v>2612</v>
      </c>
      <c r="B2613" s="28" t="s">
        <v>3538</v>
      </c>
      <c r="C2613" s="28" t="s">
        <v>3533</v>
      </c>
      <c r="D2613" s="28" t="s">
        <v>3534</v>
      </c>
      <c r="E2613" s="28" t="s">
        <v>211</v>
      </c>
      <c r="F2613" s="28" t="s">
        <v>212</v>
      </c>
      <c r="G2613" s="28" t="s">
        <v>3535</v>
      </c>
      <c r="H2613" s="28">
        <v>7650012</v>
      </c>
      <c r="I2613" s="28">
        <v>235755</v>
      </c>
      <c r="J2613" s="28">
        <v>0.99</v>
      </c>
      <c r="K2613" s="28">
        <v>69</v>
      </c>
      <c r="L2613" s="28">
        <v>1</v>
      </c>
    </row>
    <row r="2614" spans="1:12" ht="14.25" customHeight="1" x14ac:dyDescent="0.2">
      <c r="A2614" s="28">
        <v>2613</v>
      </c>
      <c r="B2614" s="28" t="s">
        <v>3539</v>
      </c>
      <c r="C2614" s="28" t="s">
        <v>3533</v>
      </c>
      <c r="D2614" s="28" t="s">
        <v>3534</v>
      </c>
      <c r="E2614" s="28" t="s">
        <v>211</v>
      </c>
      <c r="F2614" s="28" t="s">
        <v>212</v>
      </c>
      <c r="G2614" s="28" t="s">
        <v>3540</v>
      </c>
      <c r="H2614" s="28">
        <v>9742361</v>
      </c>
      <c r="I2614" s="28">
        <v>299781</v>
      </c>
      <c r="J2614" s="28">
        <v>0.99</v>
      </c>
      <c r="K2614" s="28">
        <v>76</v>
      </c>
      <c r="L2614" s="28">
        <v>1</v>
      </c>
    </row>
    <row r="2615" spans="1:12" ht="14.25" customHeight="1" x14ac:dyDescent="0.2">
      <c r="A2615" s="28">
        <v>2614</v>
      </c>
      <c r="B2615" s="28" t="s">
        <v>3541</v>
      </c>
      <c r="C2615" s="28" t="s">
        <v>3533</v>
      </c>
      <c r="D2615" s="28" t="s">
        <v>3534</v>
      </c>
      <c r="E2615" s="28" t="s">
        <v>211</v>
      </c>
      <c r="F2615" s="28" t="s">
        <v>212</v>
      </c>
      <c r="G2615" s="28" t="s">
        <v>3535</v>
      </c>
      <c r="H2615" s="28">
        <v>9412323</v>
      </c>
      <c r="I2615" s="28">
        <v>289488</v>
      </c>
      <c r="J2615" s="28">
        <v>0.99</v>
      </c>
      <c r="K2615" s="28">
        <v>32</v>
      </c>
      <c r="L2615" s="28">
        <v>1</v>
      </c>
    </row>
    <row r="2616" spans="1:12" ht="14.25" customHeight="1" x14ac:dyDescent="0.2">
      <c r="A2616" s="28">
        <v>2615</v>
      </c>
      <c r="B2616" s="28" t="s">
        <v>3542</v>
      </c>
      <c r="C2616" s="28" t="s">
        <v>3533</v>
      </c>
      <c r="D2616" s="28" t="s">
        <v>3534</v>
      </c>
      <c r="E2616" s="28" t="s">
        <v>211</v>
      </c>
      <c r="F2616" s="28" t="s">
        <v>212</v>
      </c>
      <c r="G2616" s="28" t="s">
        <v>3535</v>
      </c>
      <c r="H2616" s="28">
        <v>7739840</v>
      </c>
      <c r="I2616" s="28">
        <v>236878</v>
      </c>
      <c r="J2616" s="28">
        <v>0.99</v>
      </c>
      <c r="K2616" s="28">
        <v>53</v>
      </c>
      <c r="L2616" s="28">
        <v>0</v>
      </c>
    </row>
    <row r="2617" spans="1:12" ht="14.25" customHeight="1" x14ac:dyDescent="0.2">
      <c r="A2617" s="28">
        <v>2616</v>
      </c>
      <c r="B2617" s="28" t="s">
        <v>3543</v>
      </c>
      <c r="C2617" s="28" t="s">
        <v>3533</v>
      </c>
      <c r="D2617" s="28" t="s">
        <v>3534</v>
      </c>
      <c r="E2617" s="28" t="s">
        <v>211</v>
      </c>
      <c r="F2617" s="28" t="s">
        <v>212</v>
      </c>
      <c r="G2617" s="28" t="s">
        <v>3544</v>
      </c>
      <c r="H2617" s="28">
        <v>9787692</v>
      </c>
      <c r="I2617" s="28">
        <v>300591</v>
      </c>
      <c r="J2617" s="28">
        <v>0.99</v>
      </c>
      <c r="K2617" s="28">
        <v>75</v>
      </c>
      <c r="L2617" s="28">
        <v>0</v>
      </c>
    </row>
    <row r="2618" spans="1:12" ht="14.25" customHeight="1" x14ac:dyDescent="0.2">
      <c r="A2618" s="28">
        <v>2617</v>
      </c>
      <c r="B2618" s="28" t="s">
        <v>3545</v>
      </c>
      <c r="C2618" s="28" t="s">
        <v>3533</v>
      </c>
      <c r="D2618" s="28" t="s">
        <v>3534</v>
      </c>
      <c r="E2618" s="28" t="s">
        <v>211</v>
      </c>
      <c r="F2618" s="28" t="s">
        <v>212</v>
      </c>
      <c r="G2618" s="28" t="s">
        <v>3535</v>
      </c>
      <c r="H2618" s="28">
        <v>6885647</v>
      </c>
      <c r="I2618" s="28">
        <v>209789</v>
      </c>
      <c r="J2618" s="28">
        <v>0.99</v>
      </c>
      <c r="K2618" s="28">
        <v>59</v>
      </c>
      <c r="L2618" s="28">
        <v>0</v>
      </c>
    </row>
    <row r="2619" spans="1:12" ht="14.25" customHeight="1" x14ac:dyDescent="0.2">
      <c r="A2619" s="28">
        <v>2618</v>
      </c>
      <c r="B2619" s="28" t="s">
        <v>3546</v>
      </c>
      <c r="C2619" s="28" t="s">
        <v>3533</v>
      </c>
      <c r="D2619" s="28" t="s">
        <v>3534</v>
      </c>
      <c r="E2619" s="28" t="s">
        <v>211</v>
      </c>
      <c r="F2619" s="28" t="s">
        <v>212</v>
      </c>
      <c r="G2619" s="28" t="s">
        <v>3544</v>
      </c>
      <c r="H2619" s="28">
        <v>8563352</v>
      </c>
      <c r="I2619" s="28">
        <v>262817</v>
      </c>
      <c r="J2619" s="28">
        <v>0.99</v>
      </c>
      <c r="K2619" s="28">
        <v>75</v>
      </c>
      <c r="L2619" s="28">
        <v>2</v>
      </c>
    </row>
    <row r="2620" spans="1:12" ht="14.25" customHeight="1" x14ac:dyDescent="0.2">
      <c r="A2620" s="28">
        <v>2619</v>
      </c>
      <c r="B2620" s="28" t="s">
        <v>3547</v>
      </c>
      <c r="C2620" s="28" t="s">
        <v>3533</v>
      </c>
      <c r="D2620" s="28" t="s">
        <v>3534</v>
      </c>
      <c r="E2620" s="28" t="s">
        <v>211</v>
      </c>
      <c r="F2620" s="28" t="s">
        <v>212</v>
      </c>
      <c r="G2620" s="28" t="s">
        <v>3535</v>
      </c>
      <c r="H2620" s="28">
        <v>9981359</v>
      </c>
      <c r="I2620" s="28">
        <v>308009</v>
      </c>
      <c r="J2620" s="28">
        <v>0.99</v>
      </c>
      <c r="K2620" s="28">
        <v>36</v>
      </c>
      <c r="L2620" s="28">
        <v>1</v>
      </c>
    </row>
    <row r="2621" spans="1:12" ht="14.25" customHeight="1" x14ac:dyDescent="0.2">
      <c r="A2621" s="28">
        <v>2620</v>
      </c>
      <c r="B2621" s="28" t="s">
        <v>3548</v>
      </c>
      <c r="C2621" s="28" t="s">
        <v>3533</v>
      </c>
      <c r="D2621" s="28" t="s">
        <v>3534</v>
      </c>
      <c r="E2621" s="28" t="s">
        <v>211</v>
      </c>
      <c r="F2621" s="28" t="s">
        <v>212</v>
      </c>
      <c r="G2621" s="28" t="s">
        <v>3535</v>
      </c>
      <c r="H2621" s="28">
        <v>7571370</v>
      </c>
      <c r="I2621" s="28">
        <v>231862</v>
      </c>
      <c r="J2621" s="28">
        <v>0.99</v>
      </c>
      <c r="K2621" s="28">
        <v>12</v>
      </c>
      <c r="L2621" s="28">
        <v>0</v>
      </c>
    </row>
    <row r="2622" spans="1:12" ht="14.25" customHeight="1" x14ac:dyDescent="0.2">
      <c r="A2622" s="28">
        <v>2621</v>
      </c>
      <c r="B2622" s="28" t="s">
        <v>3549</v>
      </c>
      <c r="C2622" s="28" t="s">
        <v>3550</v>
      </c>
      <c r="D2622" s="28" t="s">
        <v>3534</v>
      </c>
      <c r="E2622" s="28" t="s">
        <v>211</v>
      </c>
      <c r="F2622" s="28" t="s">
        <v>212</v>
      </c>
      <c r="G2622" s="28"/>
      <c r="H2622" s="28">
        <v>8368634</v>
      </c>
      <c r="I2622" s="28">
        <v>253727</v>
      </c>
      <c r="J2622" s="28">
        <v>0.99</v>
      </c>
      <c r="K2622" s="28">
        <v>48</v>
      </c>
      <c r="L2622" s="28">
        <v>0</v>
      </c>
    </row>
    <row r="2623" spans="1:12" ht="14.25" customHeight="1" x14ac:dyDescent="0.2">
      <c r="A2623" s="28">
        <v>2622</v>
      </c>
      <c r="B2623" s="28" t="s">
        <v>3551</v>
      </c>
      <c r="C2623" s="28" t="s">
        <v>3550</v>
      </c>
      <c r="D2623" s="28" t="s">
        <v>3534</v>
      </c>
      <c r="E2623" s="28" t="s">
        <v>211</v>
      </c>
      <c r="F2623" s="28" t="s">
        <v>212</v>
      </c>
      <c r="G2623" s="28"/>
      <c r="H2623" s="28">
        <v>10196995</v>
      </c>
      <c r="I2623" s="28">
        <v>312790</v>
      </c>
      <c r="J2623" s="28">
        <v>0.99</v>
      </c>
      <c r="K2623" s="28">
        <v>25</v>
      </c>
      <c r="L2623" s="28">
        <v>0</v>
      </c>
    </row>
    <row r="2624" spans="1:12" ht="14.25" customHeight="1" x14ac:dyDescent="0.2">
      <c r="A2624" s="28">
        <v>2623</v>
      </c>
      <c r="B2624" s="28" t="s">
        <v>3552</v>
      </c>
      <c r="C2624" s="28" t="s">
        <v>3550</v>
      </c>
      <c r="D2624" s="28" t="s">
        <v>3534</v>
      </c>
      <c r="E2624" s="28" t="s">
        <v>211</v>
      </c>
      <c r="F2624" s="28" t="s">
        <v>212</v>
      </c>
      <c r="G2624" s="28"/>
      <c r="H2624" s="28">
        <v>5419655</v>
      </c>
      <c r="I2624" s="28">
        <v>165825</v>
      </c>
      <c r="J2624" s="28">
        <v>0.99</v>
      </c>
      <c r="K2624" s="28">
        <v>53</v>
      </c>
      <c r="L2624" s="28">
        <v>1</v>
      </c>
    </row>
    <row r="2625" spans="1:12" ht="14.25" customHeight="1" x14ac:dyDescent="0.2">
      <c r="A2625" s="28">
        <v>2624</v>
      </c>
      <c r="B2625" s="28" t="s">
        <v>3553</v>
      </c>
      <c r="C2625" s="28" t="s">
        <v>3550</v>
      </c>
      <c r="D2625" s="28" t="s">
        <v>3534</v>
      </c>
      <c r="E2625" s="28" t="s">
        <v>211</v>
      </c>
      <c r="F2625" s="28" t="s">
        <v>212</v>
      </c>
      <c r="G2625" s="28"/>
      <c r="H2625" s="28">
        <v>7555897</v>
      </c>
      <c r="I2625" s="28">
        <v>230060</v>
      </c>
      <c r="J2625" s="28">
        <v>0.99</v>
      </c>
      <c r="K2625" s="28">
        <v>78</v>
      </c>
      <c r="L2625" s="28">
        <v>1</v>
      </c>
    </row>
    <row r="2626" spans="1:12" ht="14.25" customHeight="1" x14ac:dyDescent="0.2">
      <c r="A2626" s="28">
        <v>2625</v>
      </c>
      <c r="B2626" s="28" t="s">
        <v>3554</v>
      </c>
      <c r="C2626" s="28" t="s">
        <v>3550</v>
      </c>
      <c r="D2626" s="28" t="s">
        <v>3534</v>
      </c>
      <c r="E2626" s="28" t="s">
        <v>211</v>
      </c>
      <c r="F2626" s="28" t="s">
        <v>212</v>
      </c>
      <c r="G2626" s="28"/>
      <c r="H2626" s="28">
        <v>8725403</v>
      </c>
      <c r="I2626" s="28">
        <v>258768</v>
      </c>
      <c r="J2626" s="28">
        <v>0.99</v>
      </c>
      <c r="K2626" s="28">
        <v>38</v>
      </c>
      <c r="L2626" s="28">
        <v>0</v>
      </c>
    </row>
    <row r="2627" spans="1:12" ht="14.25" customHeight="1" x14ac:dyDescent="0.2">
      <c r="A2627" s="28">
        <v>2626</v>
      </c>
      <c r="B2627" s="28" t="s">
        <v>3555</v>
      </c>
      <c r="C2627" s="28" t="s">
        <v>3550</v>
      </c>
      <c r="D2627" s="28" t="s">
        <v>3534</v>
      </c>
      <c r="E2627" s="28" t="s">
        <v>211</v>
      </c>
      <c r="F2627" s="28" t="s">
        <v>212</v>
      </c>
      <c r="G2627" s="28"/>
      <c r="H2627" s="28">
        <v>8371254</v>
      </c>
      <c r="I2627" s="28">
        <v>256026</v>
      </c>
      <c r="J2627" s="28">
        <v>0.99</v>
      </c>
      <c r="K2627" s="28">
        <v>2</v>
      </c>
      <c r="L2627" s="28">
        <v>0</v>
      </c>
    </row>
    <row r="2628" spans="1:12" ht="14.25" customHeight="1" x14ac:dyDescent="0.2">
      <c r="A2628" s="28">
        <v>2627</v>
      </c>
      <c r="B2628" s="28" t="s">
        <v>3556</v>
      </c>
      <c r="C2628" s="28" t="s">
        <v>3550</v>
      </c>
      <c r="D2628" s="28" t="s">
        <v>3534</v>
      </c>
      <c r="E2628" s="28" t="s">
        <v>211</v>
      </c>
      <c r="F2628" s="28" t="s">
        <v>212</v>
      </c>
      <c r="G2628" s="28"/>
      <c r="H2628" s="28">
        <v>8670550</v>
      </c>
      <c r="I2628" s="28">
        <v>266893</v>
      </c>
      <c r="J2628" s="28">
        <v>0.99</v>
      </c>
      <c r="K2628" s="28">
        <v>59</v>
      </c>
      <c r="L2628" s="28">
        <v>1</v>
      </c>
    </row>
    <row r="2629" spans="1:12" ht="14.25" customHeight="1" x14ac:dyDescent="0.2">
      <c r="A2629" s="28">
        <v>2628</v>
      </c>
      <c r="B2629" s="28" t="s">
        <v>3557</v>
      </c>
      <c r="C2629" s="28" t="s">
        <v>3550</v>
      </c>
      <c r="D2629" s="28" t="s">
        <v>3534</v>
      </c>
      <c r="E2629" s="28" t="s">
        <v>211</v>
      </c>
      <c r="F2629" s="28" t="s">
        <v>212</v>
      </c>
      <c r="G2629" s="28"/>
      <c r="H2629" s="28">
        <v>8412167</v>
      </c>
      <c r="I2629" s="28">
        <v>257619</v>
      </c>
      <c r="J2629" s="28">
        <v>0.99</v>
      </c>
      <c r="K2629" s="28">
        <v>8</v>
      </c>
      <c r="L2629" s="28">
        <v>1</v>
      </c>
    </row>
    <row r="2630" spans="1:12" ht="14.25" customHeight="1" x14ac:dyDescent="0.2">
      <c r="A2630" s="28">
        <v>2629</v>
      </c>
      <c r="B2630" s="28" t="s">
        <v>3558</v>
      </c>
      <c r="C2630" s="28" t="s">
        <v>3550</v>
      </c>
      <c r="D2630" s="28" t="s">
        <v>3534</v>
      </c>
      <c r="E2630" s="28" t="s">
        <v>211</v>
      </c>
      <c r="F2630" s="28" t="s">
        <v>212</v>
      </c>
      <c r="G2630" s="28"/>
      <c r="H2630" s="28">
        <v>7788461</v>
      </c>
      <c r="I2630" s="28">
        <v>236669</v>
      </c>
      <c r="J2630" s="28">
        <v>0.99</v>
      </c>
      <c r="K2630" s="28">
        <v>0</v>
      </c>
      <c r="L2630" s="28">
        <v>0</v>
      </c>
    </row>
    <row r="2631" spans="1:12" ht="14.25" customHeight="1" x14ac:dyDescent="0.2">
      <c r="A2631" s="28">
        <v>2630</v>
      </c>
      <c r="B2631" s="28" t="s">
        <v>3559</v>
      </c>
      <c r="C2631" s="28" t="s">
        <v>3550</v>
      </c>
      <c r="D2631" s="28" t="s">
        <v>3534</v>
      </c>
      <c r="E2631" s="28" t="s">
        <v>211</v>
      </c>
      <c r="F2631" s="28" t="s">
        <v>212</v>
      </c>
      <c r="G2631" s="28"/>
      <c r="H2631" s="28">
        <v>7846177</v>
      </c>
      <c r="I2631" s="28">
        <v>241632</v>
      </c>
      <c r="J2631" s="28">
        <v>0.99</v>
      </c>
      <c r="K2631" s="28">
        <v>67</v>
      </c>
      <c r="L2631" s="28">
        <v>1</v>
      </c>
    </row>
    <row r="2632" spans="1:12" ht="14.25" customHeight="1" x14ac:dyDescent="0.2">
      <c r="A2632" s="28">
        <v>2631</v>
      </c>
      <c r="B2632" s="28" t="s">
        <v>3560</v>
      </c>
      <c r="C2632" s="28" t="s">
        <v>3550</v>
      </c>
      <c r="D2632" s="28" t="s">
        <v>3534</v>
      </c>
      <c r="E2632" s="28" t="s">
        <v>211</v>
      </c>
      <c r="F2632" s="28" t="s">
        <v>212</v>
      </c>
      <c r="G2632" s="28"/>
      <c r="H2632" s="28">
        <v>8967257</v>
      </c>
      <c r="I2632" s="28">
        <v>274207</v>
      </c>
      <c r="J2632" s="28">
        <v>0.99</v>
      </c>
      <c r="K2632" s="28">
        <v>63</v>
      </c>
      <c r="L2632" s="28">
        <v>0</v>
      </c>
    </row>
    <row r="2633" spans="1:12" ht="14.25" customHeight="1" x14ac:dyDescent="0.2">
      <c r="A2633" s="28">
        <v>2632</v>
      </c>
      <c r="B2633" s="28" t="s">
        <v>3561</v>
      </c>
      <c r="C2633" s="28" t="s">
        <v>3550</v>
      </c>
      <c r="D2633" s="28" t="s">
        <v>3534</v>
      </c>
      <c r="E2633" s="28" t="s">
        <v>211</v>
      </c>
      <c r="F2633" s="28" t="s">
        <v>212</v>
      </c>
      <c r="G2633" s="28"/>
      <c r="H2633" s="28">
        <v>10729824</v>
      </c>
      <c r="I2633" s="28">
        <v>326739</v>
      </c>
      <c r="J2633" s="28">
        <v>0.99</v>
      </c>
      <c r="K2633" s="28">
        <v>86</v>
      </c>
      <c r="L2633" s="28">
        <v>1</v>
      </c>
    </row>
    <row r="2634" spans="1:12" ht="14.25" customHeight="1" x14ac:dyDescent="0.2">
      <c r="A2634" s="28">
        <v>2633</v>
      </c>
      <c r="B2634" s="28" t="s">
        <v>3562</v>
      </c>
      <c r="C2634" s="28" t="s">
        <v>3550</v>
      </c>
      <c r="D2634" s="28" t="s">
        <v>3534</v>
      </c>
      <c r="E2634" s="28" t="s">
        <v>211</v>
      </c>
      <c r="F2634" s="28" t="s">
        <v>212</v>
      </c>
      <c r="G2634" s="28"/>
      <c r="H2634" s="28">
        <v>7084321</v>
      </c>
      <c r="I2634" s="28">
        <v>215536</v>
      </c>
      <c r="J2634" s="28">
        <v>0.99</v>
      </c>
      <c r="K2634" s="28">
        <v>97</v>
      </c>
      <c r="L2634" s="28">
        <v>0</v>
      </c>
    </row>
    <row r="2635" spans="1:12" ht="14.25" customHeight="1" x14ac:dyDescent="0.2">
      <c r="A2635" s="28">
        <v>2634</v>
      </c>
      <c r="B2635" s="28" t="s">
        <v>3563</v>
      </c>
      <c r="C2635" s="28" t="s">
        <v>3550</v>
      </c>
      <c r="D2635" s="28" t="s">
        <v>3534</v>
      </c>
      <c r="E2635" s="28" t="s">
        <v>211</v>
      </c>
      <c r="F2635" s="28" t="s">
        <v>212</v>
      </c>
      <c r="G2635" s="28"/>
      <c r="H2635" s="28">
        <v>7777749</v>
      </c>
      <c r="I2635" s="28">
        <v>238158</v>
      </c>
      <c r="J2635" s="28">
        <v>0.99</v>
      </c>
      <c r="K2635" s="28">
        <v>78</v>
      </c>
      <c r="L2635" s="28">
        <v>0</v>
      </c>
    </row>
    <row r="2636" spans="1:12" ht="14.25" customHeight="1" x14ac:dyDescent="0.2">
      <c r="A2636" s="28">
        <v>2635</v>
      </c>
      <c r="B2636" s="28" t="s">
        <v>3564</v>
      </c>
      <c r="C2636" s="28" t="s">
        <v>3550</v>
      </c>
      <c r="D2636" s="28" t="s">
        <v>3534</v>
      </c>
      <c r="E2636" s="28" t="s">
        <v>211</v>
      </c>
      <c r="F2636" s="28" t="s">
        <v>212</v>
      </c>
      <c r="G2636" s="28"/>
      <c r="H2636" s="28">
        <v>8532840</v>
      </c>
      <c r="I2636" s="28">
        <v>255451</v>
      </c>
      <c r="J2636" s="28">
        <v>0.99</v>
      </c>
      <c r="K2636" s="28">
        <v>19</v>
      </c>
      <c r="L2636" s="28">
        <v>0</v>
      </c>
    </row>
    <row r="2637" spans="1:12" ht="14.25" customHeight="1" x14ac:dyDescent="0.2">
      <c r="A2637" s="28">
        <v>2636</v>
      </c>
      <c r="B2637" s="28" t="s">
        <v>3565</v>
      </c>
      <c r="C2637" s="28" t="s">
        <v>3550</v>
      </c>
      <c r="D2637" s="28" t="s">
        <v>3534</v>
      </c>
      <c r="E2637" s="28" t="s">
        <v>211</v>
      </c>
      <c r="F2637" s="28" t="s">
        <v>212</v>
      </c>
      <c r="G2637" s="28"/>
      <c r="H2637" s="28">
        <v>12010865</v>
      </c>
      <c r="I2637" s="28">
        <v>368431</v>
      </c>
      <c r="J2637" s="28">
        <v>0.99</v>
      </c>
      <c r="K2637" s="28">
        <v>40</v>
      </c>
      <c r="L2637" s="28">
        <v>2</v>
      </c>
    </row>
    <row r="2638" spans="1:12" ht="14.25" customHeight="1" x14ac:dyDescent="0.2">
      <c r="A2638" s="28">
        <v>2637</v>
      </c>
      <c r="B2638" s="28" t="s">
        <v>3566</v>
      </c>
      <c r="C2638" s="28" t="s">
        <v>3550</v>
      </c>
      <c r="D2638" s="28" t="s">
        <v>3534</v>
      </c>
      <c r="E2638" s="28" t="s">
        <v>211</v>
      </c>
      <c r="F2638" s="28" t="s">
        <v>212</v>
      </c>
      <c r="G2638" s="28"/>
      <c r="H2638" s="28">
        <v>6889883</v>
      </c>
      <c r="I2638" s="28">
        <v>212009</v>
      </c>
      <c r="J2638" s="28">
        <v>0.99</v>
      </c>
      <c r="K2638" s="28">
        <v>28</v>
      </c>
      <c r="L2638" s="28">
        <v>1</v>
      </c>
    </row>
    <row r="2639" spans="1:12" ht="14.25" customHeight="1" x14ac:dyDescent="0.2">
      <c r="A2639" s="28">
        <v>2638</v>
      </c>
      <c r="B2639" s="28" t="s">
        <v>3567</v>
      </c>
      <c r="C2639" s="28" t="s">
        <v>3550</v>
      </c>
      <c r="D2639" s="28" t="s">
        <v>3534</v>
      </c>
      <c r="E2639" s="28" t="s">
        <v>211</v>
      </c>
      <c r="F2639" s="28" t="s">
        <v>212</v>
      </c>
      <c r="G2639" s="28"/>
      <c r="H2639" s="28">
        <v>9204581</v>
      </c>
      <c r="I2639" s="28">
        <v>282200</v>
      </c>
      <c r="J2639" s="28">
        <v>0.99</v>
      </c>
      <c r="K2639" s="28">
        <v>57</v>
      </c>
      <c r="L2639" s="28">
        <v>0</v>
      </c>
    </row>
    <row r="2640" spans="1:12" ht="14.25" customHeight="1" x14ac:dyDescent="0.2">
      <c r="A2640" s="28">
        <v>2639</v>
      </c>
      <c r="B2640" s="28" t="s">
        <v>3568</v>
      </c>
      <c r="C2640" s="28" t="s">
        <v>3569</v>
      </c>
      <c r="D2640" s="28" t="s">
        <v>3569</v>
      </c>
      <c r="E2640" s="28" t="s">
        <v>211</v>
      </c>
      <c r="F2640" s="28" t="s">
        <v>212</v>
      </c>
      <c r="G2640" s="28" t="s">
        <v>3570</v>
      </c>
      <c r="H2640" s="28">
        <v>4943144</v>
      </c>
      <c r="I2640" s="28">
        <v>149342</v>
      </c>
      <c r="J2640" s="28">
        <v>0.99</v>
      </c>
      <c r="K2640" s="28">
        <v>25</v>
      </c>
      <c r="L2640" s="28">
        <v>0</v>
      </c>
    </row>
    <row r="2641" spans="1:12" ht="14.25" customHeight="1" x14ac:dyDescent="0.2">
      <c r="A2641" s="28">
        <v>2640</v>
      </c>
      <c r="B2641" s="28" t="s">
        <v>3571</v>
      </c>
      <c r="C2641" s="28" t="s">
        <v>3569</v>
      </c>
      <c r="D2641" s="28" t="s">
        <v>3569</v>
      </c>
      <c r="E2641" s="28" t="s">
        <v>211</v>
      </c>
      <c r="F2641" s="28" t="s">
        <v>212</v>
      </c>
      <c r="G2641" s="28" t="s">
        <v>3570</v>
      </c>
      <c r="H2641" s="28">
        <v>7040865</v>
      </c>
      <c r="I2641" s="28">
        <v>215066</v>
      </c>
      <c r="J2641" s="28">
        <v>0.99</v>
      </c>
      <c r="K2641" s="28">
        <v>27</v>
      </c>
      <c r="L2641" s="28">
        <v>0</v>
      </c>
    </row>
    <row r="2642" spans="1:12" ht="14.25" customHeight="1" x14ac:dyDescent="0.2">
      <c r="A2642" s="28">
        <v>2641</v>
      </c>
      <c r="B2642" s="28" t="s">
        <v>3572</v>
      </c>
      <c r="C2642" s="28" t="s">
        <v>3569</v>
      </c>
      <c r="D2642" s="28" t="s">
        <v>3569</v>
      </c>
      <c r="E2642" s="28" t="s">
        <v>211</v>
      </c>
      <c r="F2642" s="28" t="s">
        <v>212</v>
      </c>
      <c r="G2642" s="28" t="s">
        <v>3570</v>
      </c>
      <c r="H2642" s="28">
        <v>5052658</v>
      </c>
      <c r="I2642" s="28">
        <v>154853</v>
      </c>
      <c r="J2642" s="28">
        <v>0.99</v>
      </c>
      <c r="K2642" s="28">
        <v>88</v>
      </c>
      <c r="L2642" s="28">
        <v>1</v>
      </c>
    </row>
    <row r="2643" spans="1:12" ht="14.25" customHeight="1" x14ac:dyDescent="0.2">
      <c r="A2643" s="28">
        <v>2642</v>
      </c>
      <c r="B2643" s="28" t="s">
        <v>3573</v>
      </c>
      <c r="C2643" s="28" t="s">
        <v>3569</v>
      </c>
      <c r="D2643" s="28" t="s">
        <v>3569</v>
      </c>
      <c r="E2643" s="28" t="s">
        <v>211</v>
      </c>
      <c r="F2643" s="28" t="s">
        <v>212</v>
      </c>
      <c r="G2643" s="28" t="s">
        <v>3570</v>
      </c>
      <c r="H2643" s="28">
        <v>5069211</v>
      </c>
      <c r="I2643" s="28">
        <v>153913</v>
      </c>
      <c r="J2643" s="28">
        <v>0.99</v>
      </c>
      <c r="K2643" s="28">
        <v>24</v>
      </c>
      <c r="L2643" s="28">
        <v>1</v>
      </c>
    </row>
    <row r="2644" spans="1:12" ht="14.25" customHeight="1" x14ac:dyDescent="0.2">
      <c r="A2644" s="28">
        <v>2643</v>
      </c>
      <c r="B2644" s="28" t="s">
        <v>3574</v>
      </c>
      <c r="C2644" s="28" t="s">
        <v>3569</v>
      </c>
      <c r="D2644" s="28" t="s">
        <v>3569</v>
      </c>
      <c r="E2644" s="28" t="s">
        <v>211</v>
      </c>
      <c r="F2644" s="28" t="s">
        <v>212</v>
      </c>
      <c r="G2644" s="28" t="s">
        <v>3575</v>
      </c>
      <c r="H2644" s="28">
        <v>6563411</v>
      </c>
      <c r="I2644" s="28">
        <v>200097</v>
      </c>
      <c r="J2644" s="28">
        <v>0.99</v>
      </c>
      <c r="K2644" s="28">
        <v>73</v>
      </c>
      <c r="L2644" s="28">
        <v>0</v>
      </c>
    </row>
    <row r="2645" spans="1:12" ht="14.25" customHeight="1" x14ac:dyDescent="0.2">
      <c r="A2645" s="28">
        <v>2644</v>
      </c>
      <c r="B2645" s="28" t="s">
        <v>3576</v>
      </c>
      <c r="C2645" s="28" t="s">
        <v>3569</v>
      </c>
      <c r="D2645" s="28" t="s">
        <v>3569</v>
      </c>
      <c r="E2645" s="28" t="s">
        <v>211</v>
      </c>
      <c r="F2645" s="28" t="s">
        <v>212</v>
      </c>
      <c r="G2645" s="28" t="s">
        <v>3570</v>
      </c>
      <c r="H2645" s="28">
        <v>13963351</v>
      </c>
      <c r="I2645" s="28">
        <v>428329</v>
      </c>
      <c r="J2645" s="28">
        <v>0.99</v>
      </c>
      <c r="K2645" s="28">
        <v>66</v>
      </c>
      <c r="L2645" s="28">
        <v>0</v>
      </c>
    </row>
    <row r="2646" spans="1:12" ht="14.25" customHeight="1" x14ac:dyDescent="0.2">
      <c r="A2646" s="28">
        <v>2645</v>
      </c>
      <c r="B2646" s="28" t="s">
        <v>3577</v>
      </c>
      <c r="C2646" s="28" t="s">
        <v>3569</v>
      </c>
      <c r="D2646" s="28" t="s">
        <v>3569</v>
      </c>
      <c r="E2646" s="28" t="s">
        <v>211</v>
      </c>
      <c r="F2646" s="28" t="s">
        <v>212</v>
      </c>
      <c r="G2646" s="28" t="s">
        <v>3578</v>
      </c>
      <c r="H2646" s="28">
        <v>7035636</v>
      </c>
      <c r="I2646" s="28">
        <v>214360</v>
      </c>
      <c r="J2646" s="28">
        <v>0.99</v>
      </c>
      <c r="K2646" s="28">
        <v>91</v>
      </c>
      <c r="L2646" s="28">
        <v>1</v>
      </c>
    </row>
    <row r="2647" spans="1:12" ht="14.25" customHeight="1" x14ac:dyDescent="0.2">
      <c r="A2647" s="28">
        <v>2646</v>
      </c>
      <c r="B2647" s="28" t="s">
        <v>3579</v>
      </c>
      <c r="C2647" s="28" t="s">
        <v>3569</v>
      </c>
      <c r="D2647" s="28" t="s">
        <v>3569</v>
      </c>
      <c r="E2647" s="28" t="s">
        <v>211</v>
      </c>
      <c r="F2647" s="28" t="s">
        <v>212</v>
      </c>
      <c r="G2647" s="28" t="s">
        <v>3570</v>
      </c>
      <c r="H2647" s="28">
        <v>4663988</v>
      </c>
      <c r="I2647" s="28">
        <v>142080</v>
      </c>
      <c r="J2647" s="28">
        <v>0.99</v>
      </c>
      <c r="K2647" s="28">
        <v>27</v>
      </c>
      <c r="L2647" s="28">
        <v>1</v>
      </c>
    </row>
    <row r="2648" spans="1:12" ht="14.25" customHeight="1" x14ac:dyDescent="0.2">
      <c r="A2648" s="28">
        <v>2647</v>
      </c>
      <c r="B2648" s="28" t="s">
        <v>3580</v>
      </c>
      <c r="C2648" s="28" t="s">
        <v>3569</v>
      </c>
      <c r="D2648" s="28" t="s">
        <v>3569</v>
      </c>
      <c r="E2648" s="28" t="s">
        <v>211</v>
      </c>
      <c r="F2648" s="28" t="s">
        <v>212</v>
      </c>
      <c r="G2648" s="28" t="s">
        <v>3570</v>
      </c>
      <c r="H2648" s="28">
        <v>5589732</v>
      </c>
      <c r="I2648" s="28">
        <v>172695</v>
      </c>
      <c r="J2648" s="28">
        <v>0.99</v>
      </c>
      <c r="K2648" s="28">
        <v>70</v>
      </c>
      <c r="L2648" s="28">
        <v>0</v>
      </c>
    </row>
    <row r="2649" spans="1:12" ht="14.25" customHeight="1" x14ac:dyDescent="0.2">
      <c r="A2649" s="28">
        <v>2648</v>
      </c>
      <c r="B2649" s="28" t="s">
        <v>3581</v>
      </c>
      <c r="C2649" s="28" t="s">
        <v>3569</v>
      </c>
      <c r="D2649" s="28" t="s">
        <v>3569</v>
      </c>
      <c r="E2649" s="28" t="s">
        <v>211</v>
      </c>
      <c r="F2649" s="28" t="s">
        <v>212</v>
      </c>
      <c r="G2649" s="28" t="s">
        <v>3570</v>
      </c>
      <c r="H2649" s="28">
        <v>4512656</v>
      </c>
      <c r="I2649" s="28">
        <v>137168</v>
      </c>
      <c r="J2649" s="28">
        <v>0.99</v>
      </c>
      <c r="K2649" s="28">
        <v>64</v>
      </c>
      <c r="L2649" s="28">
        <v>0</v>
      </c>
    </row>
    <row r="2650" spans="1:12" ht="14.25" customHeight="1" x14ac:dyDescent="0.2">
      <c r="A2650" s="28">
        <v>2649</v>
      </c>
      <c r="B2650" s="28" t="s">
        <v>3582</v>
      </c>
      <c r="C2650" s="28" t="s">
        <v>3569</v>
      </c>
      <c r="D2650" s="28" t="s">
        <v>3569</v>
      </c>
      <c r="E2650" s="28" t="s">
        <v>211</v>
      </c>
      <c r="F2650" s="28" t="s">
        <v>212</v>
      </c>
      <c r="G2650" s="28" t="s">
        <v>3570</v>
      </c>
      <c r="H2650" s="28">
        <v>22927336</v>
      </c>
      <c r="I2650" s="28">
        <v>701831</v>
      </c>
      <c r="J2650" s="28">
        <v>0.99</v>
      </c>
      <c r="K2650" s="28">
        <v>93</v>
      </c>
      <c r="L2650" s="28">
        <v>0</v>
      </c>
    </row>
    <row r="2651" spans="1:12" ht="14.25" customHeight="1" x14ac:dyDescent="0.2">
      <c r="A2651" s="28">
        <v>2650</v>
      </c>
      <c r="B2651" s="28" t="s">
        <v>3583</v>
      </c>
      <c r="C2651" s="28" t="s">
        <v>3584</v>
      </c>
      <c r="D2651" s="28" t="s">
        <v>3585</v>
      </c>
      <c r="E2651" s="28" t="s">
        <v>211</v>
      </c>
      <c r="F2651" s="28" t="s">
        <v>212</v>
      </c>
      <c r="G2651" s="28" t="s">
        <v>3586</v>
      </c>
      <c r="H2651" s="28">
        <v>6330159</v>
      </c>
      <c r="I2651" s="28">
        <v>192992</v>
      </c>
      <c r="J2651" s="28">
        <v>0.99</v>
      </c>
      <c r="K2651" s="28">
        <v>5</v>
      </c>
      <c r="L2651" s="28">
        <v>1</v>
      </c>
    </row>
    <row r="2652" spans="1:12" ht="14.25" customHeight="1" x14ac:dyDescent="0.2">
      <c r="A2652" s="28">
        <v>2651</v>
      </c>
      <c r="B2652" s="28" t="s">
        <v>3587</v>
      </c>
      <c r="C2652" s="28" t="s">
        <v>3584</v>
      </c>
      <c r="D2652" s="28" t="s">
        <v>3585</v>
      </c>
      <c r="E2652" s="28" t="s">
        <v>211</v>
      </c>
      <c r="F2652" s="28" t="s">
        <v>212</v>
      </c>
      <c r="G2652" s="28" t="s">
        <v>3586</v>
      </c>
      <c r="H2652" s="28">
        <v>5971983</v>
      </c>
      <c r="I2652" s="28">
        <v>181159</v>
      </c>
      <c r="J2652" s="28">
        <v>0.99</v>
      </c>
      <c r="K2652" s="28">
        <v>92</v>
      </c>
      <c r="L2652" s="28">
        <v>1</v>
      </c>
    </row>
    <row r="2653" spans="1:12" ht="14.25" customHeight="1" x14ac:dyDescent="0.2">
      <c r="A2653" s="28">
        <v>2652</v>
      </c>
      <c r="B2653" s="28" t="s">
        <v>3588</v>
      </c>
      <c r="C2653" s="28" t="s">
        <v>3584</v>
      </c>
      <c r="D2653" s="28" t="s">
        <v>3585</v>
      </c>
      <c r="E2653" s="28" t="s">
        <v>211</v>
      </c>
      <c r="F2653" s="28" t="s">
        <v>212</v>
      </c>
      <c r="G2653" s="28" t="s">
        <v>3586</v>
      </c>
      <c r="H2653" s="28">
        <v>9647829</v>
      </c>
      <c r="I2653" s="28">
        <v>291474</v>
      </c>
      <c r="J2653" s="28">
        <v>0.99</v>
      </c>
      <c r="K2653" s="28">
        <v>79</v>
      </c>
      <c r="L2653" s="28">
        <v>0</v>
      </c>
    </row>
    <row r="2654" spans="1:12" ht="14.25" customHeight="1" x14ac:dyDescent="0.2">
      <c r="A2654" s="28">
        <v>2653</v>
      </c>
      <c r="B2654" s="28" t="s">
        <v>3589</v>
      </c>
      <c r="C2654" s="28" t="s">
        <v>3584</v>
      </c>
      <c r="D2654" s="28" t="s">
        <v>3585</v>
      </c>
      <c r="E2654" s="28" t="s">
        <v>211</v>
      </c>
      <c r="F2654" s="28" t="s">
        <v>212</v>
      </c>
      <c r="G2654" s="28" t="s">
        <v>3586</v>
      </c>
      <c r="H2654" s="28">
        <v>10019861</v>
      </c>
      <c r="I2654" s="28">
        <v>302080</v>
      </c>
      <c r="J2654" s="28">
        <v>0.99</v>
      </c>
      <c r="K2654" s="28">
        <v>86</v>
      </c>
      <c r="L2654" s="28">
        <v>0</v>
      </c>
    </row>
    <row r="2655" spans="1:12" ht="14.25" customHeight="1" x14ac:dyDescent="0.2">
      <c r="A2655" s="28">
        <v>2654</v>
      </c>
      <c r="B2655" s="28" t="s">
        <v>3590</v>
      </c>
      <c r="C2655" s="28" t="s">
        <v>3584</v>
      </c>
      <c r="D2655" s="28" t="s">
        <v>3585</v>
      </c>
      <c r="E2655" s="28" t="s">
        <v>211</v>
      </c>
      <c r="F2655" s="28" t="s">
        <v>212</v>
      </c>
      <c r="G2655" s="28" t="s">
        <v>3586</v>
      </c>
      <c r="H2655" s="28">
        <v>7956658</v>
      </c>
      <c r="I2655" s="28">
        <v>241031</v>
      </c>
      <c r="J2655" s="28">
        <v>0.99</v>
      </c>
      <c r="K2655" s="28">
        <v>55</v>
      </c>
      <c r="L2655" s="28">
        <v>1</v>
      </c>
    </row>
    <row r="2656" spans="1:12" ht="14.25" customHeight="1" x14ac:dyDescent="0.2">
      <c r="A2656" s="28">
        <v>2655</v>
      </c>
      <c r="B2656" s="28" t="s">
        <v>3591</v>
      </c>
      <c r="C2656" s="28" t="s">
        <v>3584</v>
      </c>
      <c r="D2656" s="28" t="s">
        <v>3585</v>
      </c>
      <c r="E2656" s="28" t="s">
        <v>211</v>
      </c>
      <c r="F2656" s="28" t="s">
        <v>212</v>
      </c>
      <c r="G2656" s="28" t="s">
        <v>3586</v>
      </c>
      <c r="H2656" s="28">
        <v>8227075</v>
      </c>
      <c r="I2656" s="28">
        <v>247196</v>
      </c>
      <c r="J2656" s="28">
        <v>0.99</v>
      </c>
      <c r="K2656" s="28">
        <v>34</v>
      </c>
      <c r="L2656" s="28">
        <v>1</v>
      </c>
    </row>
    <row r="2657" spans="1:12" ht="14.25" customHeight="1" x14ac:dyDescent="0.2">
      <c r="A2657" s="28">
        <v>2656</v>
      </c>
      <c r="B2657" s="28" t="s">
        <v>3592</v>
      </c>
      <c r="C2657" s="28" t="s">
        <v>3584</v>
      </c>
      <c r="D2657" s="28" t="s">
        <v>3585</v>
      </c>
      <c r="E2657" s="28" t="s">
        <v>211</v>
      </c>
      <c r="F2657" s="28" t="s">
        <v>212</v>
      </c>
      <c r="G2657" s="28" t="s">
        <v>3586</v>
      </c>
      <c r="H2657" s="28">
        <v>8646853</v>
      </c>
      <c r="I2657" s="28">
        <v>261120</v>
      </c>
      <c r="J2657" s="28">
        <v>0.99</v>
      </c>
      <c r="K2657" s="28">
        <v>48</v>
      </c>
      <c r="L2657" s="28">
        <v>0</v>
      </c>
    </row>
    <row r="2658" spans="1:12" ht="14.25" customHeight="1" x14ac:dyDescent="0.2">
      <c r="A2658" s="28">
        <v>2657</v>
      </c>
      <c r="B2658" s="28" t="s">
        <v>3593</v>
      </c>
      <c r="C2658" s="28" t="s">
        <v>3584</v>
      </c>
      <c r="D2658" s="28" t="s">
        <v>3585</v>
      </c>
      <c r="E2658" s="28" t="s">
        <v>211</v>
      </c>
      <c r="F2658" s="28" t="s">
        <v>212</v>
      </c>
      <c r="G2658" s="28" t="s">
        <v>3586</v>
      </c>
      <c r="H2658" s="28">
        <v>7304320</v>
      </c>
      <c r="I2658" s="28">
        <v>225593</v>
      </c>
      <c r="J2658" s="28">
        <v>0.99</v>
      </c>
      <c r="K2658" s="28">
        <v>88</v>
      </c>
      <c r="L2658" s="28">
        <v>0</v>
      </c>
    </row>
    <row r="2659" spans="1:12" ht="14.25" customHeight="1" x14ac:dyDescent="0.2">
      <c r="A2659" s="28">
        <v>2658</v>
      </c>
      <c r="B2659" s="28" t="s">
        <v>3594</v>
      </c>
      <c r="C2659" s="28" t="s">
        <v>3584</v>
      </c>
      <c r="D2659" s="28" t="s">
        <v>3585</v>
      </c>
      <c r="E2659" s="28" t="s">
        <v>211</v>
      </c>
      <c r="F2659" s="28" t="s">
        <v>212</v>
      </c>
      <c r="G2659" s="28" t="s">
        <v>3586</v>
      </c>
      <c r="H2659" s="28">
        <v>5986622</v>
      </c>
      <c r="I2659" s="28">
        <v>181133</v>
      </c>
      <c r="J2659" s="28">
        <v>0.99</v>
      </c>
      <c r="K2659" s="28">
        <v>98</v>
      </c>
      <c r="L2659" s="28">
        <v>0</v>
      </c>
    </row>
    <row r="2660" spans="1:12" ht="14.25" customHeight="1" x14ac:dyDescent="0.2">
      <c r="A2660" s="28">
        <v>2659</v>
      </c>
      <c r="B2660" s="28" t="s">
        <v>3595</v>
      </c>
      <c r="C2660" s="28" t="s">
        <v>3584</v>
      </c>
      <c r="D2660" s="28" t="s">
        <v>3585</v>
      </c>
      <c r="E2660" s="28" t="s">
        <v>211</v>
      </c>
      <c r="F2660" s="28" t="s">
        <v>212</v>
      </c>
      <c r="G2660" s="28" t="s">
        <v>3586</v>
      </c>
      <c r="H2660" s="28">
        <v>8364520</v>
      </c>
      <c r="I2660" s="28">
        <v>254615</v>
      </c>
      <c r="J2660" s="28">
        <v>0.99</v>
      </c>
      <c r="K2660" s="28">
        <v>84</v>
      </c>
      <c r="L2660" s="28">
        <v>1</v>
      </c>
    </row>
    <row r="2661" spans="1:12" ht="14.25" customHeight="1" x14ac:dyDescent="0.2">
      <c r="A2661" s="28">
        <v>2660</v>
      </c>
      <c r="B2661" s="28" t="s">
        <v>3596</v>
      </c>
      <c r="C2661" s="28" t="s">
        <v>3584</v>
      </c>
      <c r="D2661" s="28" t="s">
        <v>3585</v>
      </c>
      <c r="E2661" s="28" t="s">
        <v>211</v>
      </c>
      <c r="F2661" s="28" t="s">
        <v>212</v>
      </c>
      <c r="G2661" s="28" t="s">
        <v>3586</v>
      </c>
      <c r="H2661" s="28">
        <v>9880303</v>
      </c>
      <c r="I2661" s="28">
        <v>300512</v>
      </c>
      <c r="J2661" s="28">
        <v>0.99</v>
      </c>
      <c r="K2661" s="28">
        <v>16</v>
      </c>
      <c r="L2661" s="28">
        <v>1</v>
      </c>
    </row>
    <row r="2662" spans="1:12" ht="14.25" customHeight="1" x14ac:dyDescent="0.2">
      <c r="A2662" s="28">
        <v>2661</v>
      </c>
      <c r="B2662" s="28" t="s">
        <v>3597</v>
      </c>
      <c r="C2662" s="28" t="s">
        <v>3584</v>
      </c>
      <c r="D2662" s="28" t="s">
        <v>3585</v>
      </c>
      <c r="E2662" s="28" t="s">
        <v>211</v>
      </c>
      <c r="F2662" s="28" t="s">
        <v>212</v>
      </c>
      <c r="G2662" s="28" t="s">
        <v>3586</v>
      </c>
      <c r="H2662" s="28">
        <v>10361490</v>
      </c>
      <c r="I2662" s="28">
        <v>315454</v>
      </c>
      <c r="J2662" s="28">
        <v>0.99</v>
      </c>
      <c r="K2662" s="28">
        <v>38</v>
      </c>
      <c r="L2662" s="28">
        <v>0</v>
      </c>
    </row>
    <row r="2663" spans="1:12" ht="14.25" customHeight="1" x14ac:dyDescent="0.2">
      <c r="A2663" s="28">
        <v>2662</v>
      </c>
      <c r="B2663" s="28" t="s">
        <v>3598</v>
      </c>
      <c r="C2663" s="28" t="s">
        <v>3584</v>
      </c>
      <c r="D2663" s="28" t="s">
        <v>3585</v>
      </c>
      <c r="E2663" s="28" t="s">
        <v>211</v>
      </c>
      <c r="F2663" s="28" t="s">
        <v>212</v>
      </c>
      <c r="G2663" s="28" t="s">
        <v>3586</v>
      </c>
      <c r="H2663" s="28">
        <v>9636683</v>
      </c>
      <c r="I2663" s="28">
        <v>293590</v>
      </c>
      <c r="J2663" s="28">
        <v>0.99</v>
      </c>
      <c r="K2663" s="28">
        <v>76</v>
      </c>
      <c r="L2663" s="28">
        <v>0</v>
      </c>
    </row>
    <row r="2664" spans="1:12" ht="14.25" customHeight="1" x14ac:dyDescent="0.2">
      <c r="A2664" s="28">
        <v>2663</v>
      </c>
      <c r="B2664" s="28" t="s">
        <v>3599</v>
      </c>
      <c r="C2664" s="28" t="s">
        <v>3584</v>
      </c>
      <c r="D2664" s="28" t="s">
        <v>3585</v>
      </c>
      <c r="E2664" s="28" t="s">
        <v>211</v>
      </c>
      <c r="F2664" s="28" t="s">
        <v>212</v>
      </c>
      <c r="G2664" s="28" t="s">
        <v>3586</v>
      </c>
      <c r="H2664" s="28">
        <v>9640349</v>
      </c>
      <c r="I2664" s="28">
        <v>290951</v>
      </c>
      <c r="J2664" s="28">
        <v>0.99</v>
      </c>
      <c r="K2664" s="28">
        <v>20</v>
      </c>
      <c r="L2664" s="28">
        <v>1</v>
      </c>
    </row>
    <row r="2665" spans="1:12" ht="14.25" customHeight="1" x14ac:dyDescent="0.2">
      <c r="A2665" s="28">
        <v>2664</v>
      </c>
      <c r="B2665" s="28" t="s">
        <v>3600</v>
      </c>
      <c r="C2665" s="28" t="s">
        <v>3601</v>
      </c>
      <c r="D2665" s="28" t="s">
        <v>3602</v>
      </c>
      <c r="E2665" s="28" t="s">
        <v>211</v>
      </c>
      <c r="F2665" s="28" t="s">
        <v>212</v>
      </c>
      <c r="G2665" s="28" t="s">
        <v>3603</v>
      </c>
      <c r="H2665" s="28">
        <v>5855836</v>
      </c>
      <c r="I2665" s="28">
        <v>179983</v>
      </c>
      <c r="J2665" s="28">
        <v>0.99</v>
      </c>
      <c r="K2665" s="28">
        <v>94</v>
      </c>
      <c r="L2665" s="28">
        <v>1</v>
      </c>
    </row>
    <row r="2666" spans="1:12" ht="14.25" customHeight="1" x14ac:dyDescent="0.2">
      <c r="A2666" s="28">
        <v>2665</v>
      </c>
      <c r="B2666" s="28" t="s">
        <v>3604</v>
      </c>
      <c r="C2666" s="28" t="s">
        <v>3601</v>
      </c>
      <c r="D2666" s="28" t="s">
        <v>3602</v>
      </c>
      <c r="E2666" s="28" t="s">
        <v>211</v>
      </c>
      <c r="F2666" s="28" t="s">
        <v>212</v>
      </c>
      <c r="G2666" s="28" t="s">
        <v>3605</v>
      </c>
      <c r="H2666" s="28">
        <v>5329538</v>
      </c>
      <c r="I2666" s="28">
        <v>164493</v>
      </c>
      <c r="J2666" s="28">
        <v>0.99</v>
      </c>
      <c r="K2666" s="28">
        <v>45</v>
      </c>
      <c r="L2666" s="28">
        <v>0</v>
      </c>
    </row>
    <row r="2667" spans="1:12" ht="14.25" customHeight="1" x14ac:dyDescent="0.2">
      <c r="A2667" s="28">
        <v>2666</v>
      </c>
      <c r="B2667" s="28" t="s">
        <v>3606</v>
      </c>
      <c r="C2667" s="28" t="s">
        <v>3601</v>
      </c>
      <c r="D2667" s="28" t="s">
        <v>3602</v>
      </c>
      <c r="E2667" s="28" t="s">
        <v>211</v>
      </c>
      <c r="F2667" s="28" t="s">
        <v>212</v>
      </c>
      <c r="G2667" s="28" t="s">
        <v>3607</v>
      </c>
      <c r="H2667" s="28">
        <v>4265297</v>
      </c>
      <c r="I2667" s="28">
        <v>132022</v>
      </c>
      <c r="J2667" s="28">
        <v>0.99</v>
      </c>
      <c r="K2667" s="28">
        <v>88</v>
      </c>
      <c r="L2667" s="28">
        <v>0</v>
      </c>
    </row>
    <row r="2668" spans="1:12" ht="14.25" customHeight="1" x14ac:dyDescent="0.2">
      <c r="A2668" s="28">
        <v>2667</v>
      </c>
      <c r="B2668" s="28" t="s">
        <v>3608</v>
      </c>
      <c r="C2668" s="28" t="s">
        <v>3601</v>
      </c>
      <c r="D2668" s="28" t="s">
        <v>3602</v>
      </c>
      <c r="E2668" s="28" t="s">
        <v>211</v>
      </c>
      <c r="F2668" s="28" t="s">
        <v>212</v>
      </c>
      <c r="G2668" s="28" t="s">
        <v>3605</v>
      </c>
      <c r="H2668" s="28">
        <v>7398766</v>
      </c>
      <c r="I2668" s="28">
        <v>226612</v>
      </c>
      <c r="J2668" s="28">
        <v>0.99</v>
      </c>
      <c r="K2668" s="28">
        <v>85</v>
      </c>
      <c r="L2668" s="28">
        <v>0</v>
      </c>
    </row>
    <row r="2669" spans="1:12" ht="14.25" customHeight="1" x14ac:dyDescent="0.2">
      <c r="A2669" s="28">
        <v>2668</v>
      </c>
      <c r="B2669" s="28" t="s">
        <v>3609</v>
      </c>
      <c r="C2669" s="28" t="s">
        <v>3601</v>
      </c>
      <c r="D2669" s="28" t="s">
        <v>3602</v>
      </c>
      <c r="E2669" s="28" t="s">
        <v>211</v>
      </c>
      <c r="F2669" s="28" t="s">
        <v>212</v>
      </c>
      <c r="G2669" s="28" t="s">
        <v>3610</v>
      </c>
      <c r="H2669" s="28">
        <v>5357350</v>
      </c>
      <c r="I2669" s="28">
        <v>164284</v>
      </c>
      <c r="J2669" s="28">
        <v>0.99</v>
      </c>
      <c r="K2669" s="28">
        <v>45</v>
      </c>
      <c r="L2669" s="28">
        <v>1</v>
      </c>
    </row>
    <row r="2670" spans="1:12" ht="14.25" customHeight="1" x14ac:dyDescent="0.2">
      <c r="A2670" s="28">
        <v>2669</v>
      </c>
      <c r="B2670" s="28" t="s">
        <v>3611</v>
      </c>
      <c r="C2670" s="28" t="s">
        <v>3601</v>
      </c>
      <c r="D2670" s="28" t="s">
        <v>3602</v>
      </c>
      <c r="E2670" s="28" t="s">
        <v>211</v>
      </c>
      <c r="F2670" s="28" t="s">
        <v>212</v>
      </c>
      <c r="G2670" s="28" t="s">
        <v>3605</v>
      </c>
      <c r="H2670" s="28">
        <v>5719514</v>
      </c>
      <c r="I2670" s="28">
        <v>176013</v>
      </c>
      <c r="J2670" s="28">
        <v>0.99</v>
      </c>
      <c r="K2670" s="28">
        <v>93</v>
      </c>
      <c r="L2670" s="28">
        <v>1</v>
      </c>
    </row>
    <row r="2671" spans="1:12" ht="14.25" customHeight="1" x14ac:dyDescent="0.2">
      <c r="A2671" s="28">
        <v>2670</v>
      </c>
      <c r="B2671" s="28" t="s">
        <v>3612</v>
      </c>
      <c r="C2671" s="28" t="s">
        <v>3601</v>
      </c>
      <c r="D2671" s="28" t="s">
        <v>3602</v>
      </c>
      <c r="E2671" s="28" t="s">
        <v>211</v>
      </c>
      <c r="F2671" s="28" t="s">
        <v>212</v>
      </c>
      <c r="G2671" s="28" t="s">
        <v>3605</v>
      </c>
      <c r="H2671" s="28">
        <v>5422434</v>
      </c>
      <c r="I2671" s="28">
        <v>167549</v>
      </c>
      <c r="J2671" s="28">
        <v>0.99</v>
      </c>
      <c r="K2671" s="28">
        <v>44</v>
      </c>
      <c r="L2671" s="28">
        <v>0</v>
      </c>
    </row>
    <row r="2672" spans="1:12" ht="14.25" customHeight="1" x14ac:dyDescent="0.2">
      <c r="A2672" s="28">
        <v>2671</v>
      </c>
      <c r="B2672" s="28" t="s">
        <v>3613</v>
      </c>
      <c r="C2672" s="28" t="s">
        <v>3601</v>
      </c>
      <c r="D2672" s="28" t="s">
        <v>3602</v>
      </c>
      <c r="E2672" s="28" t="s">
        <v>211</v>
      </c>
      <c r="F2672" s="28" t="s">
        <v>212</v>
      </c>
      <c r="G2672" s="28" t="s">
        <v>3605</v>
      </c>
      <c r="H2672" s="28">
        <v>7742984</v>
      </c>
      <c r="I2672" s="28">
        <v>237923</v>
      </c>
      <c r="J2672" s="28">
        <v>0.99</v>
      </c>
      <c r="K2672" s="28">
        <v>13</v>
      </c>
      <c r="L2672" s="28">
        <v>0</v>
      </c>
    </row>
    <row r="2673" spans="1:12" ht="14.25" customHeight="1" x14ac:dyDescent="0.2">
      <c r="A2673" s="28">
        <v>2672</v>
      </c>
      <c r="B2673" s="28" t="s">
        <v>3614</v>
      </c>
      <c r="C2673" s="28" t="s">
        <v>3601</v>
      </c>
      <c r="D2673" s="28" t="s">
        <v>3602</v>
      </c>
      <c r="E2673" s="28" t="s">
        <v>211</v>
      </c>
      <c r="F2673" s="28" t="s">
        <v>212</v>
      </c>
      <c r="G2673" s="28" t="s">
        <v>3605</v>
      </c>
      <c r="H2673" s="28">
        <v>7442888</v>
      </c>
      <c r="I2673" s="28">
        <v>226063</v>
      </c>
      <c r="J2673" s="28">
        <v>0.99</v>
      </c>
      <c r="K2673" s="28">
        <v>35</v>
      </c>
      <c r="L2673" s="28">
        <v>1</v>
      </c>
    </row>
    <row r="2674" spans="1:12" ht="14.25" customHeight="1" x14ac:dyDescent="0.2">
      <c r="A2674" s="28">
        <v>2673</v>
      </c>
      <c r="B2674" s="28" t="s">
        <v>3615</v>
      </c>
      <c r="C2674" s="28" t="s">
        <v>3601</v>
      </c>
      <c r="D2674" s="28" t="s">
        <v>3602</v>
      </c>
      <c r="E2674" s="28" t="s">
        <v>211</v>
      </c>
      <c r="F2674" s="28" t="s">
        <v>212</v>
      </c>
      <c r="G2674" s="28" t="s">
        <v>3605</v>
      </c>
      <c r="H2674" s="28">
        <v>7371799</v>
      </c>
      <c r="I2674" s="28">
        <v>221387</v>
      </c>
      <c r="J2674" s="28">
        <v>0.99</v>
      </c>
      <c r="K2674" s="28">
        <v>19</v>
      </c>
      <c r="L2674" s="28">
        <v>1</v>
      </c>
    </row>
    <row r="2675" spans="1:12" ht="14.25" customHeight="1" x14ac:dyDescent="0.2">
      <c r="A2675" s="28">
        <v>2674</v>
      </c>
      <c r="B2675" s="28" t="s">
        <v>3616</v>
      </c>
      <c r="C2675" s="28" t="s">
        <v>3601</v>
      </c>
      <c r="D2675" s="28" t="s">
        <v>3602</v>
      </c>
      <c r="E2675" s="28" t="s">
        <v>211</v>
      </c>
      <c r="F2675" s="28" t="s">
        <v>212</v>
      </c>
      <c r="G2675" s="28" t="s">
        <v>3605</v>
      </c>
      <c r="H2675" s="28">
        <v>6433467</v>
      </c>
      <c r="I2675" s="28">
        <v>197459</v>
      </c>
      <c r="J2675" s="28">
        <v>0.99</v>
      </c>
      <c r="K2675" s="28">
        <v>47</v>
      </c>
      <c r="L2675" s="28">
        <v>0</v>
      </c>
    </row>
    <row r="2676" spans="1:12" ht="14.25" customHeight="1" x14ac:dyDescent="0.2">
      <c r="A2676" s="28">
        <v>2675</v>
      </c>
      <c r="B2676" s="28" t="s">
        <v>3617</v>
      </c>
      <c r="C2676" s="28" t="s">
        <v>3601</v>
      </c>
      <c r="D2676" s="28" t="s">
        <v>3602</v>
      </c>
      <c r="E2676" s="28" t="s">
        <v>211</v>
      </c>
      <c r="F2676" s="28" t="s">
        <v>212</v>
      </c>
      <c r="G2676" s="28" t="s">
        <v>3605</v>
      </c>
      <c r="H2676" s="28">
        <v>7137048</v>
      </c>
      <c r="I2676" s="28">
        <v>217495</v>
      </c>
      <c r="J2676" s="28">
        <v>0.99</v>
      </c>
      <c r="K2676" s="28">
        <v>36</v>
      </c>
      <c r="L2676" s="28">
        <v>0</v>
      </c>
    </row>
    <row r="2677" spans="1:12" ht="14.25" customHeight="1" x14ac:dyDescent="0.2">
      <c r="A2677" s="28">
        <v>2676</v>
      </c>
      <c r="B2677" s="28" t="s">
        <v>1978</v>
      </c>
      <c r="C2677" s="28" t="s">
        <v>3618</v>
      </c>
      <c r="D2677" s="28" t="s">
        <v>3602</v>
      </c>
      <c r="E2677" s="28" t="s">
        <v>211</v>
      </c>
      <c r="F2677" s="28" t="s">
        <v>212</v>
      </c>
      <c r="G2677" s="28" t="s">
        <v>3605</v>
      </c>
      <c r="H2677" s="28">
        <v>1618591</v>
      </c>
      <c r="I2677" s="28">
        <v>49737</v>
      </c>
      <c r="J2677" s="28">
        <v>0.99</v>
      </c>
      <c r="K2677" s="28">
        <v>1</v>
      </c>
      <c r="L2677" s="28">
        <v>0</v>
      </c>
    </row>
    <row r="2678" spans="1:12" ht="14.25" customHeight="1" x14ac:dyDescent="0.2">
      <c r="A2678" s="28">
        <v>2677</v>
      </c>
      <c r="B2678" s="28" t="s">
        <v>3619</v>
      </c>
      <c r="C2678" s="28" t="s">
        <v>3618</v>
      </c>
      <c r="D2678" s="28" t="s">
        <v>3602</v>
      </c>
      <c r="E2678" s="28" t="s">
        <v>211</v>
      </c>
      <c r="F2678" s="28" t="s">
        <v>212</v>
      </c>
      <c r="G2678" s="28" t="s">
        <v>3605</v>
      </c>
      <c r="H2678" s="28">
        <v>6734385</v>
      </c>
      <c r="I2678" s="28">
        <v>205766</v>
      </c>
      <c r="J2678" s="28">
        <v>0.99</v>
      </c>
      <c r="K2678" s="28">
        <v>88</v>
      </c>
      <c r="L2678" s="28">
        <v>1</v>
      </c>
    </row>
    <row r="2679" spans="1:12" ht="14.25" customHeight="1" x14ac:dyDescent="0.2">
      <c r="A2679" s="28">
        <v>2678</v>
      </c>
      <c r="B2679" s="28" t="s">
        <v>3620</v>
      </c>
      <c r="C2679" s="28" t="s">
        <v>3618</v>
      </c>
      <c r="D2679" s="28" t="s">
        <v>3602</v>
      </c>
      <c r="E2679" s="28" t="s">
        <v>211</v>
      </c>
      <c r="F2679" s="28" t="s">
        <v>212</v>
      </c>
      <c r="G2679" s="28" t="s">
        <v>3605</v>
      </c>
      <c r="H2679" s="28">
        <v>12528764</v>
      </c>
      <c r="I2679" s="28">
        <v>382119</v>
      </c>
      <c r="J2679" s="28">
        <v>0.99</v>
      </c>
      <c r="K2679" s="28">
        <v>7</v>
      </c>
      <c r="L2679" s="28">
        <v>1</v>
      </c>
    </row>
    <row r="2680" spans="1:12" ht="14.25" customHeight="1" x14ac:dyDescent="0.2">
      <c r="A2680" s="28">
        <v>2679</v>
      </c>
      <c r="B2680" s="28" t="s">
        <v>3621</v>
      </c>
      <c r="C2680" s="28" t="s">
        <v>3618</v>
      </c>
      <c r="D2680" s="28" t="s">
        <v>3602</v>
      </c>
      <c r="E2680" s="28" t="s">
        <v>211</v>
      </c>
      <c r="F2680" s="28" t="s">
        <v>212</v>
      </c>
      <c r="G2680" s="28" t="s">
        <v>3605</v>
      </c>
      <c r="H2680" s="28">
        <v>8336591</v>
      </c>
      <c r="I2680" s="28">
        <v>252421</v>
      </c>
      <c r="J2680" s="28">
        <v>0.99</v>
      </c>
      <c r="K2680" s="28">
        <v>46</v>
      </c>
      <c r="L2680" s="28">
        <v>0</v>
      </c>
    </row>
    <row r="2681" spans="1:12" ht="14.25" customHeight="1" x14ac:dyDescent="0.2">
      <c r="A2681" s="28">
        <v>2680</v>
      </c>
      <c r="B2681" s="28" t="s">
        <v>3622</v>
      </c>
      <c r="C2681" s="28" t="s">
        <v>3618</v>
      </c>
      <c r="D2681" s="28" t="s">
        <v>3602</v>
      </c>
      <c r="E2681" s="28" t="s">
        <v>211</v>
      </c>
      <c r="F2681" s="28" t="s">
        <v>212</v>
      </c>
      <c r="G2681" s="28" t="s">
        <v>3605</v>
      </c>
      <c r="H2681" s="28">
        <v>11982431</v>
      </c>
      <c r="I2681" s="28">
        <v>365844</v>
      </c>
      <c r="J2681" s="28">
        <v>0.99</v>
      </c>
      <c r="K2681" s="28">
        <v>4</v>
      </c>
      <c r="L2681" s="28">
        <v>0</v>
      </c>
    </row>
    <row r="2682" spans="1:12" ht="14.25" customHeight="1" x14ac:dyDescent="0.2">
      <c r="A2682" s="28">
        <v>2681</v>
      </c>
      <c r="B2682" s="28" t="s">
        <v>3623</v>
      </c>
      <c r="C2682" s="28" t="s">
        <v>3618</v>
      </c>
      <c r="D2682" s="28" t="s">
        <v>3602</v>
      </c>
      <c r="E2682" s="28" t="s">
        <v>211</v>
      </c>
      <c r="F2682" s="28" t="s">
        <v>212</v>
      </c>
      <c r="G2682" s="28" t="s">
        <v>3624</v>
      </c>
      <c r="H2682" s="28">
        <v>8449471</v>
      </c>
      <c r="I2682" s="28">
        <v>257488</v>
      </c>
      <c r="J2682" s="28">
        <v>0.99</v>
      </c>
      <c r="K2682" s="28">
        <v>2</v>
      </c>
      <c r="L2682" s="28">
        <v>1</v>
      </c>
    </row>
    <row r="2683" spans="1:12" ht="14.25" customHeight="1" x14ac:dyDescent="0.2">
      <c r="A2683" s="28">
        <v>2682</v>
      </c>
      <c r="B2683" s="28" t="s">
        <v>3625</v>
      </c>
      <c r="C2683" s="28" t="s">
        <v>3618</v>
      </c>
      <c r="D2683" s="28" t="s">
        <v>3602</v>
      </c>
      <c r="E2683" s="28" t="s">
        <v>211</v>
      </c>
      <c r="F2683" s="28" t="s">
        <v>212</v>
      </c>
      <c r="G2683" s="28" t="s">
        <v>3605</v>
      </c>
      <c r="H2683" s="28">
        <v>10725160</v>
      </c>
      <c r="I2683" s="28">
        <v>325694</v>
      </c>
      <c r="J2683" s="28">
        <v>0.99</v>
      </c>
      <c r="K2683" s="28">
        <v>74</v>
      </c>
      <c r="L2683" s="28">
        <v>1</v>
      </c>
    </row>
    <row r="2684" spans="1:12" ht="14.25" customHeight="1" x14ac:dyDescent="0.2">
      <c r="A2684" s="28">
        <v>2683</v>
      </c>
      <c r="B2684" s="28" t="s">
        <v>3626</v>
      </c>
      <c r="C2684" s="28" t="s">
        <v>3618</v>
      </c>
      <c r="D2684" s="28" t="s">
        <v>3602</v>
      </c>
      <c r="E2684" s="28" t="s">
        <v>211</v>
      </c>
      <c r="F2684" s="28" t="s">
        <v>212</v>
      </c>
      <c r="G2684" s="28" t="s">
        <v>3605</v>
      </c>
      <c r="H2684" s="28">
        <v>9978046</v>
      </c>
      <c r="I2684" s="28">
        <v>302497</v>
      </c>
      <c r="J2684" s="28">
        <v>0.99</v>
      </c>
      <c r="K2684" s="28">
        <v>72</v>
      </c>
      <c r="L2684" s="28">
        <v>0</v>
      </c>
    </row>
    <row r="2685" spans="1:12" ht="14.25" customHeight="1" x14ac:dyDescent="0.2">
      <c r="A2685" s="28">
        <v>2684</v>
      </c>
      <c r="B2685" s="28" t="s">
        <v>3627</v>
      </c>
      <c r="C2685" s="28" t="s">
        <v>3618</v>
      </c>
      <c r="D2685" s="28" t="s">
        <v>3602</v>
      </c>
      <c r="E2685" s="28" t="s">
        <v>211</v>
      </c>
      <c r="F2685" s="28" t="s">
        <v>212</v>
      </c>
      <c r="G2685" s="28" t="s">
        <v>3628</v>
      </c>
      <c r="H2685" s="28">
        <v>12345289</v>
      </c>
      <c r="I2685" s="28">
        <v>376215</v>
      </c>
      <c r="J2685" s="28">
        <v>0.99</v>
      </c>
      <c r="K2685" s="28">
        <v>46</v>
      </c>
      <c r="L2685" s="28">
        <v>0</v>
      </c>
    </row>
    <row r="2686" spans="1:12" ht="14.25" customHeight="1" x14ac:dyDescent="0.2">
      <c r="A2686" s="28">
        <v>2685</v>
      </c>
      <c r="B2686" s="28" t="s">
        <v>3629</v>
      </c>
      <c r="C2686" s="28" t="s">
        <v>3618</v>
      </c>
      <c r="D2686" s="28" t="s">
        <v>3602</v>
      </c>
      <c r="E2686" s="28" t="s">
        <v>211</v>
      </c>
      <c r="F2686" s="28" t="s">
        <v>212</v>
      </c>
      <c r="G2686" s="28" t="s">
        <v>3605</v>
      </c>
      <c r="H2686" s="28">
        <v>7709006</v>
      </c>
      <c r="I2686" s="28">
        <v>234893</v>
      </c>
      <c r="J2686" s="28">
        <v>0.99</v>
      </c>
      <c r="K2686" s="28">
        <v>78</v>
      </c>
      <c r="L2686" s="28">
        <v>0</v>
      </c>
    </row>
    <row r="2687" spans="1:12" ht="14.25" customHeight="1" x14ac:dyDescent="0.2">
      <c r="A2687" s="28">
        <v>2686</v>
      </c>
      <c r="B2687" s="28" t="s">
        <v>3630</v>
      </c>
      <c r="C2687" s="28" t="s">
        <v>3618</v>
      </c>
      <c r="D2687" s="28" t="s">
        <v>3602</v>
      </c>
      <c r="E2687" s="28" t="s">
        <v>211</v>
      </c>
      <c r="F2687" s="28" t="s">
        <v>212</v>
      </c>
      <c r="G2687" s="28" t="s">
        <v>3605</v>
      </c>
      <c r="H2687" s="28">
        <v>7099669</v>
      </c>
      <c r="I2687" s="28">
        <v>215693</v>
      </c>
      <c r="J2687" s="28">
        <v>0.99</v>
      </c>
      <c r="K2687" s="28">
        <v>77</v>
      </c>
      <c r="L2687" s="28">
        <v>1</v>
      </c>
    </row>
    <row r="2688" spans="1:12" ht="14.25" customHeight="1" x14ac:dyDescent="0.2">
      <c r="A2688" s="28">
        <v>2687</v>
      </c>
      <c r="B2688" s="28" t="s">
        <v>3631</v>
      </c>
      <c r="C2688" s="28" t="s">
        <v>3618</v>
      </c>
      <c r="D2688" s="28" t="s">
        <v>3602</v>
      </c>
      <c r="E2688" s="28" t="s">
        <v>211</v>
      </c>
      <c r="F2688" s="28" t="s">
        <v>212</v>
      </c>
      <c r="G2688" s="28" t="s">
        <v>3632</v>
      </c>
      <c r="H2688" s="28">
        <v>10952756</v>
      </c>
      <c r="I2688" s="28">
        <v>337266</v>
      </c>
      <c r="J2688" s="28">
        <v>0.99</v>
      </c>
      <c r="K2688" s="28">
        <v>93</v>
      </c>
      <c r="L2688" s="28">
        <v>1</v>
      </c>
    </row>
    <row r="2689" spans="1:12" ht="14.25" customHeight="1" x14ac:dyDescent="0.2">
      <c r="A2689" s="28">
        <v>2688</v>
      </c>
      <c r="B2689" s="28" t="s">
        <v>3633</v>
      </c>
      <c r="C2689" s="28" t="s">
        <v>3618</v>
      </c>
      <c r="D2689" s="28" t="s">
        <v>3602</v>
      </c>
      <c r="E2689" s="28" t="s">
        <v>211</v>
      </c>
      <c r="F2689" s="28" t="s">
        <v>212</v>
      </c>
      <c r="G2689" s="28" t="s">
        <v>3605</v>
      </c>
      <c r="H2689" s="28">
        <v>9498758</v>
      </c>
      <c r="I2689" s="28">
        <v>287294</v>
      </c>
      <c r="J2689" s="28">
        <v>0.99</v>
      </c>
      <c r="K2689" s="28">
        <v>90</v>
      </c>
      <c r="L2689" s="28">
        <v>0</v>
      </c>
    </row>
    <row r="2690" spans="1:12" ht="14.25" customHeight="1" x14ac:dyDescent="0.2">
      <c r="A2690" s="28">
        <v>2689</v>
      </c>
      <c r="B2690" s="28" t="s">
        <v>3634</v>
      </c>
      <c r="C2690" s="28" t="s">
        <v>3618</v>
      </c>
      <c r="D2690" s="28" t="s">
        <v>3602</v>
      </c>
      <c r="E2690" s="28" t="s">
        <v>211</v>
      </c>
      <c r="F2690" s="28" t="s">
        <v>212</v>
      </c>
      <c r="G2690" s="28" t="s">
        <v>3605</v>
      </c>
      <c r="H2690" s="28">
        <v>15749289</v>
      </c>
      <c r="I2690" s="28">
        <v>479242</v>
      </c>
      <c r="J2690" s="28">
        <v>0.99</v>
      </c>
      <c r="K2690" s="28">
        <v>86</v>
      </c>
      <c r="L2690" s="28">
        <v>0</v>
      </c>
    </row>
    <row r="2691" spans="1:12" ht="14.25" customHeight="1" x14ac:dyDescent="0.2">
      <c r="A2691" s="28">
        <v>2690</v>
      </c>
      <c r="B2691" s="28" t="s">
        <v>3635</v>
      </c>
      <c r="C2691" s="28" t="s">
        <v>3636</v>
      </c>
      <c r="D2691" s="28" t="s">
        <v>3602</v>
      </c>
      <c r="E2691" s="28" t="s">
        <v>211</v>
      </c>
      <c r="F2691" s="28" t="s">
        <v>212</v>
      </c>
      <c r="G2691" s="28" t="s">
        <v>3605</v>
      </c>
      <c r="H2691" s="28">
        <v>7639774</v>
      </c>
      <c r="I2691" s="28">
        <v>230896</v>
      </c>
      <c r="J2691" s="28">
        <v>0.99</v>
      </c>
      <c r="K2691" s="28">
        <v>85</v>
      </c>
      <c r="L2691" s="28">
        <v>1</v>
      </c>
    </row>
    <row r="2692" spans="1:12" ht="14.25" customHeight="1" x14ac:dyDescent="0.2">
      <c r="A2692" s="28">
        <v>2691</v>
      </c>
      <c r="B2692" s="28" t="s">
        <v>3619</v>
      </c>
      <c r="C2692" s="28" t="s">
        <v>3636</v>
      </c>
      <c r="D2692" s="28" t="s">
        <v>3602</v>
      </c>
      <c r="E2692" s="28" t="s">
        <v>211</v>
      </c>
      <c r="F2692" s="28" t="s">
        <v>212</v>
      </c>
      <c r="G2692" s="28" t="s">
        <v>3605</v>
      </c>
      <c r="H2692" s="28">
        <v>7162159</v>
      </c>
      <c r="I2692" s="28">
        <v>215928</v>
      </c>
      <c r="J2692" s="28">
        <v>0.99</v>
      </c>
      <c r="K2692" s="28">
        <v>11</v>
      </c>
      <c r="L2692" s="28">
        <v>1</v>
      </c>
    </row>
    <row r="2693" spans="1:12" ht="14.25" customHeight="1" x14ac:dyDescent="0.2">
      <c r="A2693" s="28">
        <v>2692</v>
      </c>
      <c r="B2693" s="28" t="s">
        <v>3637</v>
      </c>
      <c r="C2693" s="28" t="s">
        <v>3636</v>
      </c>
      <c r="D2693" s="28" t="s">
        <v>3602</v>
      </c>
      <c r="E2693" s="28" t="s">
        <v>211</v>
      </c>
      <c r="F2693" s="28" t="s">
        <v>212</v>
      </c>
      <c r="G2693" s="28" t="s">
        <v>3605</v>
      </c>
      <c r="H2693" s="28">
        <v>6492847</v>
      </c>
      <c r="I2693" s="28">
        <v>196466</v>
      </c>
      <c r="J2693" s="28">
        <v>0.99</v>
      </c>
      <c r="K2693" s="28">
        <v>28</v>
      </c>
      <c r="L2693" s="28">
        <v>0</v>
      </c>
    </row>
    <row r="2694" spans="1:12" ht="14.25" customHeight="1" x14ac:dyDescent="0.2">
      <c r="A2694" s="28">
        <v>2693</v>
      </c>
      <c r="B2694" s="28" t="s">
        <v>3638</v>
      </c>
      <c r="C2694" s="28" t="s">
        <v>3636</v>
      </c>
      <c r="D2694" s="28" t="s">
        <v>3602</v>
      </c>
      <c r="E2694" s="28" t="s">
        <v>211</v>
      </c>
      <c r="F2694" s="28" t="s">
        <v>212</v>
      </c>
      <c r="G2694" s="28" t="s">
        <v>3605</v>
      </c>
      <c r="H2694" s="28">
        <v>4750094</v>
      </c>
      <c r="I2694" s="28">
        <v>144613</v>
      </c>
      <c r="J2694" s="28">
        <v>0.99</v>
      </c>
      <c r="K2694" s="28">
        <v>25</v>
      </c>
      <c r="L2694" s="28">
        <v>0</v>
      </c>
    </row>
    <row r="2695" spans="1:12" ht="14.25" customHeight="1" x14ac:dyDescent="0.2">
      <c r="A2695" s="28">
        <v>2694</v>
      </c>
      <c r="B2695" s="28" t="s">
        <v>3639</v>
      </c>
      <c r="C2695" s="28" t="s">
        <v>3636</v>
      </c>
      <c r="D2695" s="28" t="s">
        <v>3602</v>
      </c>
      <c r="E2695" s="28" t="s">
        <v>211</v>
      </c>
      <c r="F2695" s="28" t="s">
        <v>212</v>
      </c>
      <c r="G2695" s="28" t="s">
        <v>3605</v>
      </c>
      <c r="H2695" s="28">
        <v>5689122</v>
      </c>
      <c r="I2695" s="28">
        <v>172146</v>
      </c>
      <c r="J2695" s="28">
        <v>0.99</v>
      </c>
      <c r="K2695" s="28">
        <v>31</v>
      </c>
      <c r="L2695" s="28">
        <v>0</v>
      </c>
    </row>
    <row r="2696" spans="1:12" ht="14.25" customHeight="1" x14ac:dyDescent="0.2">
      <c r="A2696" s="28">
        <v>2695</v>
      </c>
      <c r="B2696" s="28" t="s">
        <v>3640</v>
      </c>
      <c r="C2696" s="28" t="s">
        <v>3636</v>
      </c>
      <c r="D2696" s="28" t="s">
        <v>3602</v>
      </c>
      <c r="E2696" s="28" t="s">
        <v>211</v>
      </c>
      <c r="F2696" s="28" t="s">
        <v>212</v>
      </c>
      <c r="G2696" s="28" t="s">
        <v>3605</v>
      </c>
      <c r="H2696" s="28">
        <v>7366316</v>
      </c>
      <c r="I2696" s="28">
        <v>222119</v>
      </c>
      <c r="J2696" s="28">
        <v>0.99</v>
      </c>
      <c r="K2696" s="28">
        <v>57</v>
      </c>
      <c r="L2696" s="28">
        <v>1</v>
      </c>
    </row>
    <row r="2697" spans="1:12" ht="14.25" customHeight="1" x14ac:dyDescent="0.2">
      <c r="A2697" s="28">
        <v>2696</v>
      </c>
      <c r="B2697" s="28" t="s">
        <v>3641</v>
      </c>
      <c r="C2697" s="28" t="s">
        <v>3636</v>
      </c>
      <c r="D2697" s="28" t="s">
        <v>3602</v>
      </c>
      <c r="E2697" s="28" t="s">
        <v>211</v>
      </c>
      <c r="F2697" s="28" t="s">
        <v>212</v>
      </c>
      <c r="G2697" s="28" t="s">
        <v>3605</v>
      </c>
      <c r="H2697" s="28">
        <v>10677236</v>
      </c>
      <c r="I2697" s="28">
        <v>327418</v>
      </c>
      <c r="J2697" s="28">
        <v>0.99</v>
      </c>
      <c r="K2697" s="28">
        <v>9</v>
      </c>
      <c r="L2697" s="28">
        <v>1</v>
      </c>
    </row>
    <row r="2698" spans="1:12" ht="14.25" customHeight="1" x14ac:dyDescent="0.2">
      <c r="A2698" s="28">
        <v>2697</v>
      </c>
      <c r="B2698" s="28" t="s">
        <v>3642</v>
      </c>
      <c r="C2698" s="28" t="s">
        <v>3636</v>
      </c>
      <c r="D2698" s="28" t="s">
        <v>3602</v>
      </c>
      <c r="E2698" s="28" t="s">
        <v>211</v>
      </c>
      <c r="F2698" s="28" t="s">
        <v>212</v>
      </c>
      <c r="G2698" s="28" t="s">
        <v>3605</v>
      </c>
      <c r="H2698" s="28">
        <v>8630833</v>
      </c>
      <c r="I2698" s="28">
        <v>264019</v>
      </c>
      <c r="J2698" s="28">
        <v>0.99</v>
      </c>
      <c r="K2698" s="28">
        <v>37</v>
      </c>
      <c r="L2698" s="28">
        <v>0</v>
      </c>
    </row>
    <row r="2699" spans="1:12" ht="14.25" customHeight="1" x14ac:dyDescent="0.2">
      <c r="A2699" s="28">
        <v>2698</v>
      </c>
      <c r="B2699" s="28" t="s">
        <v>3643</v>
      </c>
      <c r="C2699" s="28" t="s">
        <v>3636</v>
      </c>
      <c r="D2699" s="28" t="s">
        <v>3602</v>
      </c>
      <c r="E2699" s="28" t="s">
        <v>211</v>
      </c>
      <c r="F2699" s="28" t="s">
        <v>212</v>
      </c>
      <c r="G2699" s="28" t="s">
        <v>3605</v>
      </c>
      <c r="H2699" s="28">
        <v>8459344</v>
      </c>
      <c r="I2699" s="28">
        <v>256052</v>
      </c>
      <c r="J2699" s="28">
        <v>0.99</v>
      </c>
      <c r="K2699" s="28">
        <v>17</v>
      </c>
      <c r="L2699" s="28">
        <v>0</v>
      </c>
    </row>
    <row r="2700" spans="1:12" ht="14.25" customHeight="1" x14ac:dyDescent="0.2">
      <c r="A2700" s="28">
        <v>2699</v>
      </c>
      <c r="B2700" s="28" t="s">
        <v>3644</v>
      </c>
      <c r="C2700" s="28" t="s">
        <v>3636</v>
      </c>
      <c r="D2700" s="28" t="s">
        <v>3602</v>
      </c>
      <c r="E2700" s="28" t="s">
        <v>211</v>
      </c>
      <c r="F2700" s="28" t="s">
        <v>212</v>
      </c>
      <c r="G2700" s="28" t="s">
        <v>3605</v>
      </c>
      <c r="H2700" s="28">
        <v>9550459</v>
      </c>
      <c r="I2700" s="28">
        <v>285492</v>
      </c>
      <c r="J2700" s="28">
        <v>0.99</v>
      </c>
      <c r="K2700" s="28">
        <v>43</v>
      </c>
      <c r="L2700" s="28">
        <v>1</v>
      </c>
    </row>
    <row r="2701" spans="1:12" ht="14.25" customHeight="1" x14ac:dyDescent="0.2">
      <c r="A2701" s="28">
        <v>2700</v>
      </c>
      <c r="B2701" s="28" t="s">
        <v>3645</v>
      </c>
      <c r="C2701" s="28" t="s">
        <v>3636</v>
      </c>
      <c r="D2701" s="28" t="s">
        <v>3602</v>
      </c>
      <c r="E2701" s="28" t="s">
        <v>211</v>
      </c>
      <c r="F2701" s="28" t="s">
        <v>212</v>
      </c>
      <c r="G2701" s="28" t="s">
        <v>3605</v>
      </c>
      <c r="H2701" s="28">
        <v>8920566</v>
      </c>
      <c r="I2701" s="28">
        <v>268225</v>
      </c>
      <c r="J2701" s="28">
        <v>0.99</v>
      </c>
      <c r="K2701" s="28">
        <v>79</v>
      </c>
      <c r="L2701" s="28">
        <v>1</v>
      </c>
    </row>
    <row r="2702" spans="1:12" ht="14.25" customHeight="1" x14ac:dyDescent="0.2">
      <c r="A2702" s="28">
        <v>2701</v>
      </c>
      <c r="B2702" s="28" t="s">
        <v>3646</v>
      </c>
      <c r="C2702" s="28" t="s">
        <v>3636</v>
      </c>
      <c r="D2702" s="28" t="s">
        <v>3602</v>
      </c>
      <c r="E2702" s="28" t="s">
        <v>211</v>
      </c>
      <c r="F2702" s="28" t="s">
        <v>212</v>
      </c>
      <c r="G2702" s="28" t="s">
        <v>3605</v>
      </c>
      <c r="H2702" s="28">
        <v>8971343</v>
      </c>
      <c r="I2702" s="28">
        <v>273946</v>
      </c>
      <c r="J2702" s="28">
        <v>0.99</v>
      </c>
      <c r="K2702" s="28">
        <v>52</v>
      </c>
      <c r="L2702" s="28">
        <v>0</v>
      </c>
    </row>
    <row r="2703" spans="1:12" ht="14.25" customHeight="1" x14ac:dyDescent="0.2">
      <c r="A2703" s="28">
        <v>2702</v>
      </c>
      <c r="B2703" s="28" t="s">
        <v>3647</v>
      </c>
      <c r="C2703" s="28" t="s">
        <v>3636</v>
      </c>
      <c r="D2703" s="28" t="s">
        <v>3602</v>
      </c>
      <c r="E2703" s="28" t="s">
        <v>211</v>
      </c>
      <c r="F2703" s="28" t="s">
        <v>212</v>
      </c>
      <c r="G2703" s="28" t="s">
        <v>3605</v>
      </c>
      <c r="H2703" s="28">
        <v>8197309</v>
      </c>
      <c r="I2703" s="28">
        <v>249417</v>
      </c>
      <c r="J2703" s="28">
        <v>0.99</v>
      </c>
      <c r="K2703" s="28">
        <v>53</v>
      </c>
      <c r="L2703" s="28">
        <v>0</v>
      </c>
    </row>
    <row r="2704" spans="1:12" ht="14.25" customHeight="1" x14ac:dyDescent="0.2">
      <c r="A2704" s="28">
        <v>2703</v>
      </c>
      <c r="B2704" s="28" t="s">
        <v>3648</v>
      </c>
      <c r="C2704" s="28" t="s">
        <v>3636</v>
      </c>
      <c r="D2704" s="28" t="s">
        <v>3602</v>
      </c>
      <c r="E2704" s="28" t="s">
        <v>211</v>
      </c>
      <c r="F2704" s="28" t="s">
        <v>212</v>
      </c>
      <c r="G2704" s="28" t="s">
        <v>3605</v>
      </c>
      <c r="H2704" s="28">
        <v>12175406</v>
      </c>
      <c r="I2704" s="28">
        <v>375092</v>
      </c>
      <c r="J2704" s="28">
        <v>0.99</v>
      </c>
      <c r="K2704" s="28">
        <v>35</v>
      </c>
      <c r="L2704" s="28">
        <v>0</v>
      </c>
    </row>
    <row r="2705" spans="1:12" ht="14.25" customHeight="1" x14ac:dyDescent="0.2">
      <c r="A2705" s="28">
        <v>2704</v>
      </c>
      <c r="B2705" s="28" t="s">
        <v>3649</v>
      </c>
      <c r="C2705" s="28" t="s">
        <v>3636</v>
      </c>
      <c r="D2705" s="28" t="s">
        <v>3602</v>
      </c>
      <c r="E2705" s="28" t="s">
        <v>211</v>
      </c>
      <c r="F2705" s="28" t="s">
        <v>212</v>
      </c>
      <c r="G2705" s="28" t="s">
        <v>3605</v>
      </c>
      <c r="H2705" s="28">
        <v>8273602</v>
      </c>
      <c r="I2705" s="28">
        <v>249155</v>
      </c>
      <c r="J2705" s="28">
        <v>0.99</v>
      </c>
      <c r="K2705" s="28">
        <v>0</v>
      </c>
      <c r="L2705" s="28">
        <v>1</v>
      </c>
    </row>
    <row r="2706" spans="1:12" ht="14.25" customHeight="1" x14ac:dyDescent="0.2">
      <c r="A2706" s="28">
        <v>2705</v>
      </c>
      <c r="B2706" s="28" t="s">
        <v>3650</v>
      </c>
      <c r="C2706" s="28" t="s">
        <v>3651</v>
      </c>
      <c r="D2706" s="28" t="s">
        <v>3652</v>
      </c>
      <c r="E2706" s="28" t="s">
        <v>211</v>
      </c>
      <c r="F2706" s="28" t="s">
        <v>348</v>
      </c>
      <c r="G2706" s="28" t="s">
        <v>3652</v>
      </c>
      <c r="H2706" s="28">
        <v>9184345</v>
      </c>
      <c r="I2706" s="28">
        <v>277968</v>
      </c>
      <c r="J2706" s="28">
        <v>0.99</v>
      </c>
      <c r="K2706" s="28">
        <v>82</v>
      </c>
      <c r="L2706" s="28">
        <v>1</v>
      </c>
    </row>
    <row r="2707" spans="1:12" ht="14.25" customHeight="1" x14ac:dyDescent="0.2">
      <c r="A2707" s="28">
        <v>2706</v>
      </c>
      <c r="B2707" s="28" t="s">
        <v>3653</v>
      </c>
      <c r="C2707" s="28" t="s">
        <v>3651</v>
      </c>
      <c r="D2707" s="28" t="s">
        <v>3652</v>
      </c>
      <c r="E2707" s="28" t="s">
        <v>211</v>
      </c>
      <c r="F2707" s="28" t="s">
        <v>348</v>
      </c>
      <c r="G2707" s="28" t="s">
        <v>3652</v>
      </c>
      <c r="H2707" s="28">
        <v>6711943</v>
      </c>
      <c r="I2707" s="28">
        <v>205087</v>
      </c>
      <c r="J2707" s="28">
        <v>0.99</v>
      </c>
      <c r="K2707" s="28">
        <v>19</v>
      </c>
      <c r="L2707" s="28">
        <v>0</v>
      </c>
    </row>
    <row r="2708" spans="1:12" ht="14.25" customHeight="1" x14ac:dyDescent="0.2">
      <c r="A2708" s="28">
        <v>2707</v>
      </c>
      <c r="B2708" s="28" t="s">
        <v>3654</v>
      </c>
      <c r="C2708" s="28" t="s">
        <v>3651</v>
      </c>
      <c r="D2708" s="28" t="s">
        <v>3652</v>
      </c>
      <c r="E2708" s="28" t="s">
        <v>211</v>
      </c>
      <c r="F2708" s="28" t="s">
        <v>348</v>
      </c>
      <c r="G2708" s="28" t="s">
        <v>3655</v>
      </c>
      <c r="H2708" s="28">
        <v>6975437</v>
      </c>
      <c r="I2708" s="28">
        <v>212062</v>
      </c>
      <c r="J2708" s="28">
        <v>0.99</v>
      </c>
      <c r="K2708" s="28">
        <v>82</v>
      </c>
      <c r="L2708" s="28">
        <v>0</v>
      </c>
    </row>
    <row r="2709" spans="1:12" ht="14.25" customHeight="1" x14ac:dyDescent="0.2">
      <c r="A2709" s="28">
        <v>2708</v>
      </c>
      <c r="B2709" s="28" t="s">
        <v>3656</v>
      </c>
      <c r="C2709" s="28" t="s">
        <v>3651</v>
      </c>
      <c r="D2709" s="28" t="s">
        <v>3652</v>
      </c>
      <c r="E2709" s="28" t="s">
        <v>211</v>
      </c>
      <c r="F2709" s="28" t="s">
        <v>348</v>
      </c>
      <c r="G2709" s="28" t="s">
        <v>3652</v>
      </c>
      <c r="H2709" s="28">
        <v>10295199</v>
      </c>
      <c r="I2709" s="28">
        <v>315559</v>
      </c>
      <c r="J2709" s="28">
        <v>0.99</v>
      </c>
      <c r="K2709" s="28">
        <v>40</v>
      </c>
      <c r="L2709" s="28">
        <v>0</v>
      </c>
    </row>
    <row r="2710" spans="1:12" ht="14.25" customHeight="1" x14ac:dyDescent="0.2">
      <c r="A2710" s="28">
        <v>2709</v>
      </c>
      <c r="B2710" s="28" t="s">
        <v>3657</v>
      </c>
      <c r="C2710" s="28" t="s">
        <v>3651</v>
      </c>
      <c r="D2710" s="28" t="s">
        <v>3652</v>
      </c>
      <c r="E2710" s="28" t="s">
        <v>211</v>
      </c>
      <c r="F2710" s="28" t="s">
        <v>348</v>
      </c>
      <c r="G2710" s="28" t="s">
        <v>3652</v>
      </c>
      <c r="H2710" s="28">
        <v>11299407</v>
      </c>
      <c r="I2710" s="28">
        <v>343875</v>
      </c>
      <c r="J2710" s="28">
        <v>0.99</v>
      </c>
      <c r="K2710" s="28">
        <v>90</v>
      </c>
      <c r="L2710" s="28">
        <v>1</v>
      </c>
    </row>
    <row r="2711" spans="1:12" ht="14.25" customHeight="1" x14ac:dyDescent="0.2">
      <c r="A2711" s="28">
        <v>2710</v>
      </c>
      <c r="B2711" s="28" t="s">
        <v>3658</v>
      </c>
      <c r="C2711" s="28" t="s">
        <v>3651</v>
      </c>
      <c r="D2711" s="28" t="s">
        <v>3652</v>
      </c>
      <c r="E2711" s="28" t="s">
        <v>211</v>
      </c>
      <c r="F2711" s="28" t="s">
        <v>348</v>
      </c>
      <c r="G2711" s="28" t="s">
        <v>3652</v>
      </c>
      <c r="H2711" s="28">
        <v>7245691</v>
      </c>
      <c r="I2711" s="28">
        <v>222458</v>
      </c>
      <c r="J2711" s="28">
        <v>0.99</v>
      </c>
      <c r="K2711" s="28">
        <v>48</v>
      </c>
      <c r="L2711" s="28">
        <v>0</v>
      </c>
    </row>
    <row r="2712" spans="1:12" ht="14.25" customHeight="1" x14ac:dyDescent="0.2">
      <c r="A2712" s="28">
        <v>2711</v>
      </c>
      <c r="B2712" s="28" t="s">
        <v>3659</v>
      </c>
      <c r="C2712" s="28" t="s">
        <v>3651</v>
      </c>
      <c r="D2712" s="28" t="s">
        <v>3652</v>
      </c>
      <c r="E2712" s="28" t="s">
        <v>211</v>
      </c>
      <c r="F2712" s="28" t="s">
        <v>348</v>
      </c>
      <c r="G2712" s="28" t="s">
        <v>3652</v>
      </c>
      <c r="H2712" s="28">
        <v>13053839</v>
      </c>
      <c r="I2712" s="28">
        <v>396303</v>
      </c>
      <c r="J2712" s="28">
        <v>0.99</v>
      </c>
      <c r="K2712" s="28">
        <v>69</v>
      </c>
      <c r="L2712" s="28">
        <v>0</v>
      </c>
    </row>
    <row r="2713" spans="1:12" ht="14.25" customHeight="1" x14ac:dyDescent="0.2">
      <c r="A2713" s="28">
        <v>2712</v>
      </c>
      <c r="B2713" s="28" t="s">
        <v>3660</v>
      </c>
      <c r="C2713" s="28" t="s">
        <v>3651</v>
      </c>
      <c r="D2713" s="28" t="s">
        <v>3652</v>
      </c>
      <c r="E2713" s="28" t="s">
        <v>211</v>
      </c>
      <c r="F2713" s="28" t="s">
        <v>348</v>
      </c>
      <c r="G2713" s="28" t="s">
        <v>3652</v>
      </c>
      <c r="H2713" s="28">
        <v>10005675</v>
      </c>
      <c r="I2713" s="28">
        <v>306337</v>
      </c>
      <c r="J2713" s="28">
        <v>0.99</v>
      </c>
      <c r="K2713" s="28">
        <v>19</v>
      </c>
      <c r="L2713" s="28">
        <v>0</v>
      </c>
    </row>
    <row r="2714" spans="1:12" ht="14.25" customHeight="1" x14ac:dyDescent="0.2">
      <c r="A2714" s="28">
        <v>2713</v>
      </c>
      <c r="B2714" s="28" t="s">
        <v>3029</v>
      </c>
      <c r="C2714" s="28" t="s">
        <v>3651</v>
      </c>
      <c r="D2714" s="28" t="s">
        <v>3652</v>
      </c>
      <c r="E2714" s="28" t="s">
        <v>211</v>
      </c>
      <c r="F2714" s="28" t="s">
        <v>348</v>
      </c>
      <c r="G2714" s="28" t="s">
        <v>3652</v>
      </c>
      <c r="H2714" s="28">
        <v>8014606</v>
      </c>
      <c r="I2714" s="28">
        <v>244114</v>
      </c>
      <c r="J2714" s="28">
        <v>0.99</v>
      </c>
      <c r="K2714" s="28">
        <v>40</v>
      </c>
      <c r="L2714" s="28">
        <v>2</v>
      </c>
    </row>
    <row r="2715" spans="1:12" ht="14.25" customHeight="1" x14ac:dyDescent="0.2">
      <c r="A2715" s="28">
        <v>2714</v>
      </c>
      <c r="B2715" s="28" t="s">
        <v>3661</v>
      </c>
      <c r="C2715" s="28" t="s">
        <v>3651</v>
      </c>
      <c r="D2715" s="28" t="s">
        <v>3652</v>
      </c>
      <c r="E2715" s="28" t="s">
        <v>211</v>
      </c>
      <c r="F2715" s="28" t="s">
        <v>348</v>
      </c>
      <c r="G2715" s="28" t="s">
        <v>3652</v>
      </c>
      <c r="H2715" s="28">
        <v>7846459</v>
      </c>
      <c r="I2715" s="28">
        <v>241867</v>
      </c>
      <c r="J2715" s="28">
        <v>0.99</v>
      </c>
      <c r="K2715" s="28">
        <v>26</v>
      </c>
      <c r="L2715" s="28">
        <v>2</v>
      </c>
    </row>
    <row r="2716" spans="1:12" ht="14.25" customHeight="1" x14ac:dyDescent="0.2">
      <c r="A2716" s="28">
        <v>2715</v>
      </c>
      <c r="B2716" s="28" t="s">
        <v>3662</v>
      </c>
      <c r="C2716" s="28" t="s">
        <v>3651</v>
      </c>
      <c r="D2716" s="28" t="s">
        <v>3652</v>
      </c>
      <c r="E2716" s="28" t="s">
        <v>211</v>
      </c>
      <c r="F2716" s="28" t="s">
        <v>348</v>
      </c>
      <c r="G2716" s="28" t="s">
        <v>3652</v>
      </c>
      <c r="H2716" s="28">
        <v>11193268</v>
      </c>
      <c r="I2716" s="28">
        <v>343170</v>
      </c>
      <c r="J2716" s="28">
        <v>0.99</v>
      </c>
      <c r="K2716" s="28">
        <v>39</v>
      </c>
      <c r="L2716" s="28">
        <v>1</v>
      </c>
    </row>
    <row r="2717" spans="1:12" ht="14.25" customHeight="1" x14ac:dyDescent="0.2">
      <c r="A2717" s="28">
        <v>2716</v>
      </c>
      <c r="B2717" s="28" t="s">
        <v>3663</v>
      </c>
      <c r="C2717" s="28" t="s">
        <v>3651</v>
      </c>
      <c r="D2717" s="28" t="s">
        <v>3652</v>
      </c>
      <c r="E2717" s="28" t="s">
        <v>211</v>
      </c>
      <c r="F2717" s="28" t="s">
        <v>348</v>
      </c>
      <c r="G2717" s="28" t="s">
        <v>3652</v>
      </c>
      <c r="H2717" s="28">
        <v>5568808</v>
      </c>
      <c r="I2717" s="28">
        <v>169795</v>
      </c>
      <c r="J2717" s="28">
        <v>0.99</v>
      </c>
      <c r="K2717" s="28">
        <v>44</v>
      </c>
      <c r="L2717" s="28">
        <v>0</v>
      </c>
    </row>
    <row r="2718" spans="1:12" ht="14.25" customHeight="1" x14ac:dyDescent="0.2">
      <c r="A2718" s="28">
        <v>2717</v>
      </c>
      <c r="B2718" s="28" t="s">
        <v>3664</v>
      </c>
      <c r="C2718" s="28" t="s">
        <v>3651</v>
      </c>
      <c r="D2718" s="28" t="s">
        <v>3652</v>
      </c>
      <c r="E2718" s="28" t="s">
        <v>211</v>
      </c>
      <c r="F2718" s="28" t="s">
        <v>348</v>
      </c>
      <c r="G2718" s="28" t="s">
        <v>3652</v>
      </c>
      <c r="H2718" s="28">
        <v>8558590</v>
      </c>
      <c r="I2718" s="28">
        <v>261903</v>
      </c>
      <c r="J2718" s="28">
        <v>0.99</v>
      </c>
      <c r="K2718" s="28">
        <v>80</v>
      </c>
      <c r="L2718" s="28">
        <v>1</v>
      </c>
    </row>
    <row r="2719" spans="1:12" ht="14.25" customHeight="1" x14ac:dyDescent="0.2">
      <c r="A2719" s="28">
        <v>2718</v>
      </c>
      <c r="B2719" s="28" t="s">
        <v>3665</v>
      </c>
      <c r="C2719" s="28" t="s">
        <v>3651</v>
      </c>
      <c r="D2719" s="28" t="s">
        <v>3652</v>
      </c>
      <c r="E2719" s="28" t="s">
        <v>211</v>
      </c>
      <c r="F2719" s="28" t="s">
        <v>348</v>
      </c>
      <c r="G2719" s="28" t="s">
        <v>3652</v>
      </c>
      <c r="H2719" s="28">
        <v>9082773</v>
      </c>
      <c r="I2719" s="28">
        <v>277786</v>
      </c>
      <c r="J2719" s="28">
        <v>0.99</v>
      </c>
      <c r="K2719" s="28">
        <v>51</v>
      </c>
      <c r="L2719" s="28">
        <v>1</v>
      </c>
    </row>
    <row r="2720" spans="1:12" ht="14.25" customHeight="1" x14ac:dyDescent="0.2">
      <c r="A2720" s="28">
        <v>2719</v>
      </c>
      <c r="B2720" s="28" t="s">
        <v>3614</v>
      </c>
      <c r="C2720" s="28" t="s">
        <v>3651</v>
      </c>
      <c r="D2720" s="28" t="s">
        <v>3652</v>
      </c>
      <c r="E2720" s="28" t="s">
        <v>211</v>
      </c>
      <c r="F2720" s="28" t="s">
        <v>348</v>
      </c>
      <c r="G2720" s="28" t="s">
        <v>3666</v>
      </c>
      <c r="H2720" s="28">
        <v>7101572</v>
      </c>
      <c r="I2720" s="28">
        <v>214752</v>
      </c>
      <c r="J2720" s="28">
        <v>0.99</v>
      </c>
      <c r="K2720" s="28">
        <v>23</v>
      </c>
      <c r="L2720" s="28">
        <v>1</v>
      </c>
    </row>
    <row r="2721" spans="1:12" ht="14.25" customHeight="1" x14ac:dyDescent="0.2">
      <c r="A2721" s="28">
        <v>2720</v>
      </c>
      <c r="B2721" s="28" t="s">
        <v>3653</v>
      </c>
      <c r="C2721" s="28" t="s">
        <v>3667</v>
      </c>
      <c r="D2721" s="28" t="s">
        <v>3652</v>
      </c>
      <c r="E2721" s="28" t="s">
        <v>211</v>
      </c>
      <c r="F2721" s="28" t="s">
        <v>348</v>
      </c>
      <c r="G2721" s="28" t="s">
        <v>3652</v>
      </c>
      <c r="H2721" s="28">
        <v>6719465</v>
      </c>
      <c r="I2721" s="28">
        <v>205244</v>
      </c>
      <c r="J2721" s="28">
        <v>0.99</v>
      </c>
      <c r="K2721" s="28">
        <v>40</v>
      </c>
      <c r="L2721" s="28">
        <v>0</v>
      </c>
    </row>
    <row r="2722" spans="1:12" ht="14.25" customHeight="1" x14ac:dyDescent="0.2">
      <c r="A2722" s="28">
        <v>2721</v>
      </c>
      <c r="B2722" s="28" t="s">
        <v>3668</v>
      </c>
      <c r="C2722" s="28" t="s">
        <v>3667</v>
      </c>
      <c r="D2722" s="28" t="s">
        <v>3652</v>
      </c>
      <c r="E2722" s="28" t="s">
        <v>211</v>
      </c>
      <c r="F2722" s="28" t="s">
        <v>348</v>
      </c>
      <c r="G2722" s="28" t="s">
        <v>3652</v>
      </c>
      <c r="H2722" s="28">
        <v>7075838</v>
      </c>
      <c r="I2722" s="28">
        <v>215405</v>
      </c>
      <c r="J2722" s="28">
        <v>0.99</v>
      </c>
      <c r="K2722" s="28">
        <v>32</v>
      </c>
      <c r="L2722" s="28">
        <v>1</v>
      </c>
    </row>
    <row r="2723" spans="1:12" ht="14.25" customHeight="1" x14ac:dyDescent="0.2">
      <c r="A2723" s="28">
        <v>2722</v>
      </c>
      <c r="B2723" s="28" t="s">
        <v>3656</v>
      </c>
      <c r="C2723" s="28" t="s">
        <v>3667</v>
      </c>
      <c r="D2723" s="28" t="s">
        <v>3652</v>
      </c>
      <c r="E2723" s="28" t="s">
        <v>211</v>
      </c>
      <c r="F2723" s="28" t="s">
        <v>348</v>
      </c>
      <c r="G2723" s="28" t="s">
        <v>3652</v>
      </c>
      <c r="H2723" s="28">
        <v>10351778</v>
      </c>
      <c r="I2723" s="28">
        <v>317231</v>
      </c>
      <c r="J2723" s="28">
        <v>0.99</v>
      </c>
      <c r="K2723" s="28">
        <v>26</v>
      </c>
      <c r="L2723" s="28">
        <v>1</v>
      </c>
    </row>
    <row r="2724" spans="1:12" ht="14.25" customHeight="1" x14ac:dyDescent="0.2">
      <c r="A2724" s="28">
        <v>2723</v>
      </c>
      <c r="B2724" s="28" t="s">
        <v>3669</v>
      </c>
      <c r="C2724" s="28" t="s">
        <v>3667</v>
      </c>
      <c r="D2724" s="28" t="s">
        <v>3652</v>
      </c>
      <c r="E2724" s="28" t="s">
        <v>211</v>
      </c>
      <c r="F2724" s="28" t="s">
        <v>348</v>
      </c>
      <c r="G2724" s="28" t="s">
        <v>3652</v>
      </c>
      <c r="H2724" s="28">
        <v>5810323</v>
      </c>
      <c r="I2724" s="28">
        <v>177711</v>
      </c>
      <c r="J2724" s="28">
        <v>0.99</v>
      </c>
      <c r="K2724" s="28">
        <v>70</v>
      </c>
      <c r="L2724" s="28">
        <v>2</v>
      </c>
    </row>
    <row r="2725" spans="1:12" ht="14.25" customHeight="1" x14ac:dyDescent="0.2">
      <c r="A2725" s="28">
        <v>2724</v>
      </c>
      <c r="B2725" s="28" t="s">
        <v>3670</v>
      </c>
      <c r="C2725" s="28" t="s">
        <v>3667</v>
      </c>
      <c r="D2725" s="28" t="s">
        <v>3652</v>
      </c>
      <c r="E2725" s="28" t="s">
        <v>211</v>
      </c>
      <c r="F2725" s="28" t="s">
        <v>348</v>
      </c>
      <c r="G2725" s="28" t="s">
        <v>3652</v>
      </c>
      <c r="H2725" s="28">
        <v>9712545</v>
      </c>
      <c r="I2725" s="28">
        <v>298187</v>
      </c>
      <c r="J2725" s="28">
        <v>0.99</v>
      </c>
      <c r="K2725" s="28">
        <v>90</v>
      </c>
      <c r="L2725" s="28">
        <v>0</v>
      </c>
    </row>
    <row r="2726" spans="1:12" ht="14.25" customHeight="1" x14ac:dyDescent="0.2">
      <c r="A2726" s="28">
        <v>2725</v>
      </c>
      <c r="B2726" s="28" t="s">
        <v>3029</v>
      </c>
      <c r="C2726" s="28" t="s">
        <v>3667</v>
      </c>
      <c r="D2726" s="28" t="s">
        <v>3652</v>
      </c>
      <c r="E2726" s="28" t="s">
        <v>211</v>
      </c>
      <c r="F2726" s="28" t="s">
        <v>348</v>
      </c>
      <c r="G2726" s="28" t="s">
        <v>3652</v>
      </c>
      <c r="H2726" s="28">
        <v>8725824</v>
      </c>
      <c r="I2726" s="28">
        <v>266292</v>
      </c>
      <c r="J2726" s="28">
        <v>0.99</v>
      </c>
      <c r="K2726" s="28">
        <v>60</v>
      </c>
      <c r="L2726" s="28">
        <v>1</v>
      </c>
    </row>
    <row r="2727" spans="1:12" ht="14.25" customHeight="1" x14ac:dyDescent="0.2">
      <c r="A2727" s="28">
        <v>2726</v>
      </c>
      <c r="B2727" s="28" t="s">
        <v>3667</v>
      </c>
      <c r="C2727" s="28" t="s">
        <v>3667</v>
      </c>
      <c r="D2727" s="28" t="s">
        <v>3652</v>
      </c>
      <c r="E2727" s="28" t="s">
        <v>211</v>
      </c>
      <c r="F2727" s="28" t="s">
        <v>348</v>
      </c>
      <c r="G2727" s="28" t="s">
        <v>3652</v>
      </c>
      <c r="H2727" s="28">
        <v>10351152</v>
      </c>
      <c r="I2727" s="28">
        <v>317257</v>
      </c>
      <c r="J2727" s="28">
        <v>0.99</v>
      </c>
      <c r="K2727" s="28">
        <v>65</v>
      </c>
      <c r="L2727" s="28">
        <v>0</v>
      </c>
    </row>
    <row r="2728" spans="1:12" ht="14.25" customHeight="1" x14ac:dyDescent="0.2">
      <c r="A2728" s="28">
        <v>2727</v>
      </c>
      <c r="B2728" s="28" t="s">
        <v>3663</v>
      </c>
      <c r="C2728" s="28" t="s">
        <v>3667</v>
      </c>
      <c r="D2728" s="28" t="s">
        <v>3652</v>
      </c>
      <c r="E2728" s="28" t="s">
        <v>211</v>
      </c>
      <c r="F2728" s="28" t="s">
        <v>348</v>
      </c>
      <c r="G2728" s="28" t="s">
        <v>3652</v>
      </c>
      <c r="H2728" s="28">
        <v>9601786</v>
      </c>
      <c r="I2728" s="28">
        <v>292466</v>
      </c>
      <c r="J2728" s="28">
        <v>0.99</v>
      </c>
      <c r="K2728" s="28">
        <v>21</v>
      </c>
      <c r="L2728" s="28">
        <v>2</v>
      </c>
    </row>
    <row r="2729" spans="1:12" ht="14.25" customHeight="1" x14ac:dyDescent="0.2">
      <c r="A2729" s="28">
        <v>2728</v>
      </c>
      <c r="B2729" s="28" t="s">
        <v>3671</v>
      </c>
      <c r="C2729" s="28" t="s">
        <v>3667</v>
      </c>
      <c r="D2729" s="28" t="s">
        <v>3652</v>
      </c>
      <c r="E2729" s="28" t="s">
        <v>211</v>
      </c>
      <c r="F2729" s="28" t="s">
        <v>348</v>
      </c>
      <c r="G2729" s="28" t="s">
        <v>3652</v>
      </c>
      <c r="H2729" s="28">
        <v>8183872</v>
      </c>
      <c r="I2729" s="28">
        <v>250253</v>
      </c>
      <c r="J2729" s="28">
        <v>0.99</v>
      </c>
      <c r="K2729" s="28">
        <v>68</v>
      </c>
      <c r="L2729" s="28">
        <v>0</v>
      </c>
    </row>
    <row r="2730" spans="1:12" ht="14.25" customHeight="1" x14ac:dyDescent="0.2">
      <c r="A2730" s="28">
        <v>2729</v>
      </c>
      <c r="B2730" s="28" t="s">
        <v>3672</v>
      </c>
      <c r="C2730" s="28" t="s">
        <v>3667</v>
      </c>
      <c r="D2730" s="28" t="s">
        <v>3652</v>
      </c>
      <c r="E2730" s="28" t="s">
        <v>211</v>
      </c>
      <c r="F2730" s="28" t="s">
        <v>348</v>
      </c>
      <c r="G2730" s="28" t="s">
        <v>3652</v>
      </c>
      <c r="H2730" s="28">
        <v>9543789</v>
      </c>
      <c r="I2730" s="28">
        <v>289750</v>
      </c>
      <c r="J2730" s="28">
        <v>0.99</v>
      </c>
      <c r="K2730" s="28">
        <v>98</v>
      </c>
      <c r="L2730" s="28">
        <v>0</v>
      </c>
    </row>
    <row r="2731" spans="1:12" ht="14.25" customHeight="1" x14ac:dyDescent="0.2">
      <c r="A2731" s="28">
        <v>2730</v>
      </c>
      <c r="B2731" s="28" t="s">
        <v>3673</v>
      </c>
      <c r="C2731" s="28" t="s">
        <v>3667</v>
      </c>
      <c r="D2731" s="28" t="s">
        <v>3652</v>
      </c>
      <c r="E2731" s="28" t="s">
        <v>211</v>
      </c>
      <c r="F2731" s="28" t="s">
        <v>348</v>
      </c>
      <c r="G2731" s="28" t="s">
        <v>3652</v>
      </c>
      <c r="H2731" s="28">
        <v>11085607</v>
      </c>
      <c r="I2731" s="28">
        <v>343745</v>
      </c>
      <c r="J2731" s="28">
        <v>0.99</v>
      </c>
      <c r="K2731" s="28">
        <v>75</v>
      </c>
      <c r="L2731" s="28">
        <v>0</v>
      </c>
    </row>
    <row r="2732" spans="1:12" ht="14.25" customHeight="1" x14ac:dyDescent="0.2">
      <c r="A2732" s="28">
        <v>2731</v>
      </c>
      <c r="B2732" s="28" t="s">
        <v>3674</v>
      </c>
      <c r="C2732" s="28" t="s">
        <v>3675</v>
      </c>
      <c r="D2732" s="28" t="s">
        <v>3676</v>
      </c>
      <c r="E2732" s="28" t="s">
        <v>211</v>
      </c>
      <c r="F2732" s="28" t="s">
        <v>212</v>
      </c>
      <c r="G2732" s="28" t="s">
        <v>3677</v>
      </c>
      <c r="H2732" s="28">
        <v>4082896</v>
      </c>
      <c r="I2732" s="28">
        <v>125152</v>
      </c>
      <c r="J2732" s="28">
        <v>0.99</v>
      </c>
      <c r="K2732" s="28">
        <v>72</v>
      </c>
      <c r="L2732" s="28">
        <v>1</v>
      </c>
    </row>
    <row r="2733" spans="1:12" ht="14.25" customHeight="1" x14ac:dyDescent="0.2">
      <c r="A2733" s="28">
        <v>2732</v>
      </c>
      <c r="B2733" s="28" t="s">
        <v>3678</v>
      </c>
      <c r="C2733" s="28" t="s">
        <v>3675</v>
      </c>
      <c r="D2733" s="28" t="s">
        <v>3676</v>
      </c>
      <c r="E2733" s="28" t="s">
        <v>211</v>
      </c>
      <c r="F2733" s="28" t="s">
        <v>212</v>
      </c>
      <c r="G2733" s="28" t="s">
        <v>3679</v>
      </c>
      <c r="H2733" s="28">
        <v>5234173</v>
      </c>
      <c r="I2733" s="28">
        <v>161253</v>
      </c>
      <c r="J2733" s="28">
        <v>0.99</v>
      </c>
      <c r="K2733" s="28">
        <v>72</v>
      </c>
      <c r="L2733" s="28">
        <v>1</v>
      </c>
    </row>
    <row r="2734" spans="1:12" ht="14.25" customHeight="1" x14ac:dyDescent="0.2">
      <c r="A2734" s="28">
        <v>2733</v>
      </c>
      <c r="B2734" s="28" t="s">
        <v>3680</v>
      </c>
      <c r="C2734" s="28" t="s">
        <v>3675</v>
      </c>
      <c r="D2734" s="28" t="s">
        <v>3676</v>
      </c>
      <c r="E2734" s="28" t="s">
        <v>211</v>
      </c>
      <c r="F2734" s="28" t="s">
        <v>212</v>
      </c>
      <c r="G2734" s="28" t="s">
        <v>3681</v>
      </c>
      <c r="H2734" s="28">
        <v>6446634</v>
      </c>
      <c r="I2734" s="28">
        <v>197825</v>
      </c>
      <c r="J2734" s="28">
        <v>0.99</v>
      </c>
      <c r="K2734" s="28">
        <v>99</v>
      </c>
      <c r="L2734" s="28">
        <v>0</v>
      </c>
    </row>
    <row r="2735" spans="1:12" ht="14.25" customHeight="1" x14ac:dyDescent="0.2">
      <c r="A2735" s="28">
        <v>2734</v>
      </c>
      <c r="B2735" s="28" t="s">
        <v>3682</v>
      </c>
      <c r="C2735" s="28" t="s">
        <v>3675</v>
      </c>
      <c r="D2735" s="28" t="s">
        <v>3676</v>
      </c>
      <c r="E2735" s="28" t="s">
        <v>211</v>
      </c>
      <c r="F2735" s="28" t="s">
        <v>212</v>
      </c>
      <c r="G2735" s="28" t="s">
        <v>3677</v>
      </c>
      <c r="H2735" s="28">
        <v>7409995</v>
      </c>
      <c r="I2735" s="28">
        <v>228022</v>
      </c>
      <c r="J2735" s="28">
        <v>0.99</v>
      </c>
      <c r="K2735" s="28">
        <v>50</v>
      </c>
      <c r="L2735" s="28">
        <v>0</v>
      </c>
    </row>
    <row r="2736" spans="1:12" ht="14.25" customHeight="1" x14ac:dyDescent="0.2">
      <c r="A2736" s="28">
        <v>2735</v>
      </c>
      <c r="B2736" s="28" t="s">
        <v>3683</v>
      </c>
      <c r="C2736" s="28" t="s">
        <v>3675</v>
      </c>
      <c r="D2736" s="28" t="s">
        <v>3676</v>
      </c>
      <c r="E2736" s="28" t="s">
        <v>211</v>
      </c>
      <c r="F2736" s="28" t="s">
        <v>212</v>
      </c>
      <c r="G2736" s="28" t="s">
        <v>3677</v>
      </c>
      <c r="H2736" s="28">
        <v>5120605</v>
      </c>
      <c r="I2736" s="28">
        <v>157126</v>
      </c>
      <c r="J2736" s="28">
        <v>0.99</v>
      </c>
      <c r="K2736" s="28">
        <v>19</v>
      </c>
      <c r="L2736" s="28">
        <v>1</v>
      </c>
    </row>
    <row r="2737" spans="1:12" ht="14.25" customHeight="1" x14ac:dyDescent="0.2">
      <c r="A2737" s="28">
        <v>2736</v>
      </c>
      <c r="B2737" s="28" t="s">
        <v>3684</v>
      </c>
      <c r="C2737" s="28" t="s">
        <v>3675</v>
      </c>
      <c r="D2737" s="28" t="s">
        <v>3676</v>
      </c>
      <c r="E2737" s="28" t="s">
        <v>211</v>
      </c>
      <c r="F2737" s="28" t="s">
        <v>212</v>
      </c>
      <c r="G2737" s="28" t="s">
        <v>3685</v>
      </c>
      <c r="H2737" s="28">
        <v>4835202</v>
      </c>
      <c r="I2737" s="28">
        <v>149472</v>
      </c>
      <c r="J2737" s="28">
        <v>0.99</v>
      </c>
      <c r="K2737" s="28">
        <v>60</v>
      </c>
      <c r="L2737" s="28">
        <v>2</v>
      </c>
    </row>
    <row r="2738" spans="1:12" ht="14.25" customHeight="1" x14ac:dyDescent="0.2">
      <c r="A2738" s="28">
        <v>2737</v>
      </c>
      <c r="B2738" s="28" t="s">
        <v>3686</v>
      </c>
      <c r="C2738" s="28" t="s">
        <v>3675</v>
      </c>
      <c r="D2738" s="28" t="s">
        <v>3676</v>
      </c>
      <c r="E2738" s="28" t="s">
        <v>211</v>
      </c>
      <c r="F2738" s="28" t="s">
        <v>212</v>
      </c>
      <c r="G2738" s="28" t="s">
        <v>3677</v>
      </c>
      <c r="H2738" s="28">
        <v>4353063</v>
      </c>
      <c r="I2738" s="28">
        <v>132310</v>
      </c>
      <c r="J2738" s="28">
        <v>0.99</v>
      </c>
      <c r="K2738" s="28">
        <v>6</v>
      </c>
      <c r="L2738" s="28">
        <v>1</v>
      </c>
    </row>
    <row r="2739" spans="1:12" ht="14.25" customHeight="1" x14ac:dyDescent="0.2">
      <c r="A2739" s="28">
        <v>2738</v>
      </c>
      <c r="B2739" s="28" t="s">
        <v>3687</v>
      </c>
      <c r="C2739" s="28" t="s">
        <v>3675</v>
      </c>
      <c r="D2739" s="28" t="s">
        <v>3676</v>
      </c>
      <c r="E2739" s="28" t="s">
        <v>211</v>
      </c>
      <c r="F2739" s="28" t="s">
        <v>212</v>
      </c>
      <c r="G2739" s="28" t="s">
        <v>3677</v>
      </c>
      <c r="H2739" s="28">
        <v>5329751</v>
      </c>
      <c r="I2739" s="28">
        <v>164414</v>
      </c>
      <c r="J2739" s="28">
        <v>0.99</v>
      </c>
      <c r="K2739" s="28">
        <v>2</v>
      </c>
      <c r="L2739" s="28">
        <v>1</v>
      </c>
    </row>
    <row r="2740" spans="1:12" ht="14.25" customHeight="1" x14ac:dyDescent="0.2">
      <c r="A2740" s="28">
        <v>2739</v>
      </c>
      <c r="B2740" s="28" t="s">
        <v>3688</v>
      </c>
      <c r="C2740" s="28" t="s">
        <v>3675</v>
      </c>
      <c r="D2740" s="28" t="s">
        <v>3676</v>
      </c>
      <c r="E2740" s="28" t="s">
        <v>211</v>
      </c>
      <c r="F2740" s="28" t="s">
        <v>212</v>
      </c>
      <c r="G2740" s="28" t="s">
        <v>3677</v>
      </c>
      <c r="H2740" s="28">
        <v>8604989</v>
      </c>
      <c r="I2740" s="28">
        <v>262791</v>
      </c>
      <c r="J2740" s="28">
        <v>0.99</v>
      </c>
      <c r="K2740" s="28">
        <v>60</v>
      </c>
      <c r="L2740" s="28">
        <v>1</v>
      </c>
    </row>
    <row r="2741" spans="1:12" ht="14.25" customHeight="1" x14ac:dyDescent="0.2">
      <c r="A2741" s="28">
        <v>2740</v>
      </c>
      <c r="B2741" s="28" t="s">
        <v>3689</v>
      </c>
      <c r="C2741" s="28" t="s">
        <v>3675</v>
      </c>
      <c r="D2741" s="28" t="s">
        <v>3676</v>
      </c>
      <c r="E2741" s="28" t="s">
        <v>211</v>
      </c>
      <c r="F2741" s="28" t="s">
        <v>212</v>
      </c>
      <c r="G2741" s="28" t="s">
        <v>3677</v>
      </c>
      <c r="H2741" s="28">
        <v>6452700</v>
      </c>
      <c r="I2741" s="28">
        <v>197224</v>
      </c>
      <c r="J2741" s="28">
        <v>0.99</v>
      </c>
      <c r="K2741" s="28">
        <v>54</v>
      </c>
      <c r="L2741" s="28">
        <v>1</v>
      </c>
    </row>
    <row r="2742" spans="1:12" ht="14.25" customHeight="1" x14ac:dyDescent="0.2">
      <c r="A2742" s="28">
        <v>2741</v>
      </c>
      <c r="B2742" s="28" t="s">
        <v>3690</v>
      </c>
      <c r="C2742" s="28" t="s">
        <v>3675</v>
      </c>
      <c r="D2742" s="28" t="s">
        <v>3676</v>
      </c>
      <c r="E2742" s="28" t="s">
        <v>211</v>
      </c>
      <c r="F2742" s="28" t="s">
        <v>212</v>
      </c>
      <c r="G2742" s="28" t="s">
        <v>3681</v>
      </c>
      <c r="H2742" s="28">
        <v>6055580</v>
      </c>
      <c r="I2742" s="28">
        <v>181890</v>
      </c>
      <c r="J2742" s="28">
        <v>0.99</v>
      </c>
      <c r="K2742" s="28">
        <v>31</v>
      </c>
      <c r="L2742" s="28">
        <v>1</v>
      </c>
    </row>
    <row r="2743" spans="1:12" ht="14.25" customHeight="1" x14ac:dyDescent="0.2">
      <c r="A2743" s="28">
        <v>2742</v>
      </c>
      <c r="B2743" s="28" t="s">
        <v>3691</v>
      </c>
      <c r="C2743" s="28" t="s">
        <v>3675</v>
      </c>
      <c r="D2743" s="28" t="s">
        <v>3676</v>
      </c>
      <c r="E2743" s="28" t="s">
        <v>211</v>
      </c>
      <c r="F2743" s="28" t="s">
        <v>212</v>
      </c>
      <c r="G2743" s="28" t="s">
        <v>3677</v>
      </c>
      <c r="H2743" s="28">
        <v>6736866</v>
      </c>
      <c r="I2743" s="28">
        <v>204643</v>
      </c>
      <c r="J2743" s="28">
        <v>0.99</v>
      </c>
      <c r="K2743" s="28">
        <v>2</v>
      </c>
      <c r="L2743" s="28">
        <v>1</v>
      </c>
    </row>
    <row r="2744" spans="1:12" ht="14.25" customHeight="1" x14ac:dyDescent="0.2">
      <c r="A2744" s="28">
        <v>2743</v>
      </c>
      <c r="B2744" s="28" t="s">
        <v>3692</v>
      </c>
      <c r="C2744" s="28" t="s">
        <v>3675</v>
      </c>
      <c r="D2744" s="28" t="s">
        <v>3676</v>
      </c>
      <c r="E2744" s="28" t="s">
        <v>211</v>
      </c>
      <c r="F2744" s="28" t="s">
        <v>212</v>
      </c>
      <c r="G2744" s="28" t="s">
        <v>3681</v>
      </c>
      <c r="H2744" s="28">
        <v>10141660</v>
      </c>
      <c r="I2744" s="28">
        <v>309472</v>
      </c>
      <c r="J2744" s="28">
        <v>0.99</v>
      </c>
      <c r="K2744" s="28">
        <v>28</v>
      </c>
      <c r="L2744" s="28">
        <v>1</v>
      </c>
    </row>
    <row r="2745" spans="1:12" ht="14.25" customHeight="1" x14ac:dyDescent="0.2">
      <c r="A2745" s="28">
        <v>2744</v>
      </c>
      <c r="B2745" s="28" t="s">
        <v>3693</v>
      </c>
      <c r="C2745" s="28" t="s">
        <v>3675</v>
      </c>
      <c r="D2745" s="28" t="s">
        <v>3676</v>
      </c>
      <c r="E2745" s="28" t="s">
        <v>211</v>
      </c>
      <c r="F2745" s="28" t="s">
        <v>212</v>
      </c>
      <c r="G2745" s="28" t="s">
        <v>3681</v>
      </c>
      <c r="H2745" s="28">
        <v>16855521</v>
      </c>
      <c r="I2745" s="28">
        <v>513750</v>
      </c>
      <c r="J2745" s="28">
        <v>0.99</v>
      </c>
      <c r="K2745" s="28">
        <v>72</v>
      </c>
      <c r="L2745" s="28">
        <v>1</v>
      </c>
    </row>
    <row r="2746" spans="1:12" ht="14.25" customHeight="1" x14ac:dyDescent="0.2">
      <c r="A2746" s="28">
        <v>2745</v>
      </c>
      <c r="B2746" s="28" t="s">
        <v>3694</v>
      </c>
      <c r="C2746" s="28" t="s">
        <v>3675</v>
      </c>
      <c r="D2746" s="28" t="s">
        <v>3676</v>
      </c>
      <c r="E2746" s="28" t="s">
        <v>211</v>
      </c>
      <c r="F2746" s="28" t="s">
        <v>212</v>
      </c>
      <c r="G2746" s="28" t="s">
        <v>3677</v>
      </c>
      <c r="H2746" s="28">
        <v>8078418</v>
      </c>
      <c r="I2746" s="28">
        <v>243513</v>
      </c>
      <c r="J2746" s="28">
        <v>0.99</v>
      </c>
      <c r="K2746" s="28">
        <v>44</v>
      </c>
      <c r="L2746" s="28">
        <v>1</v>
      </c>
    </row>
    <row r="2747" spans="1:12" ht="14.25" customHeight="1" x14ac:dyDescent="0.2">
      <c r="A2747" s="28">
        <v>2746</v>
      </c>
      <c r="B2747" s="28">
        <v>5.15</v>
      </c>
      <c r="C2747" s="28" t="s">
        <v>3675</v>
      </c>
      <c r="D2747" s="28" t="s">
        <v>3676</v>
      </c>
      <c r="E2747" s="28" t="s">
        <v>211</v>
      </c>
      <c r="F2747" s="28" t="s">
        <v>212</v>
      </c>
      <c r="G2747" s="28" t="s">
        <v>3677</v>
      </c>
      <c r="H2747" s="28">
        <v>9458549</v>
      </c>
      <c r="I2747" s="28">
        <v>289619</v>
      </c>
      <c r="J2747" s="28">
        <v>0.99</v>
      </c>
      <c r="K2747" s="28">
        <v>35</v>
      </c>
      <c r="L2747" s="28">
        <v>1</v>
      </c>
    </row>
    <row r="2748" spans="1:12" ht="14.25" customHeight="1" x14ac:dyDescent="0.2">
      <c r="A2748" s="28">
        <v>2747</v>
      </c>
      <c r="B2748" s="28" t="s">
        <v>3695</v>
      </c>
      <c r="C2748" s="28" t="s">
        <v>3675</v>
      </c>
      <c r="D2748" s="28" t="s">
        <v>3676</v>
      </c>
      <c r="E2748" s="28" t="s">
        <v>211</v>
      </c>
      <c r="F2748" s="28" t="s">
        <v>212</v>
      </c>
      <c r="G2748" s="28" t="s">
        <v>3677</v>
      </c>
      <c r="H2748" s="28">
        <v>8602485</v>
      </c>
      <c r="I2748" s="28">
        <v>262556</v>
      </c>
      <c r="J2748" s="28">
        <v>0.99</v>
      </c>
      <c r="K2748" s="28">
        <v>69</v>
      </c>
      <c r="L2748" s="28">
        <v>1</v>
      </c>
    </row>
    <row r="2749" spans="1:12" ht="14.25" customHeight="1" x14ac:dyDescent="0.2">
      <c r="A2749" s="28">
        <v>2748</v>
      </c>
      <c r="B2749" s="28" t="s">
        <v>3696</v>
      </c>
      <c r="C2749" s="28" t="s">
        <v>3675</v>
      </c>
      <c r="D2749" s="28" t="s">
        <v>3676</v>
      </c>
      <c r="E2749" s="28" t="s">
        <v>211</v>
      </c>
      <c r="F2749" s="28" t="s">
        <v>212</v>
      </c>
      <c r="G2749" s="28" t="s">
        <v>3677</v>
      </c>
      <c r="H2749" s="28">
        <v>5256508</v>
      </c>
      <c r="I2749" s="28">
        <v>161280</v>
      </c>
      <c r="J2749" s="28">
        <v>0.99</v>
      </c>
      <c r="K2749" s="28">
        <v>23</v>
      </c>
      <c r="L2749" s="28">
        <v>1</v>
      </c>
    </row>
    <row r="2750" spans="1:12" ht="14.25" customHeight="1" x14ac:dyDescent="0.2">
      <c r="A2750" s="28">
        <v>2749</v>
      </c>
      <c r="B2750" s="28" t="s">
        <v>3697</v>
      </c>
      <c r="C2750" s="28" t="s">
        <v>3675</v>
      </c>
      <c r="D2750" s="28" t="s">
        <v>3676</v>
      </c>
      <c r="E2750" s="28" t="s">
        <v>211</v>
      </c>
      <c r="F2750" s="28" t="s">
        <v>212</v>
      </c>
      <c r="G2750" s="28" t="s">
        <v>3681</v>
      </c>
      <c r="H2750" s="28">
        <v>9900469</v>
      </c>
      <c r="I2750" s="28">
        <v>299232</v>
      </c>
      <c r="J2750" s="28">
        <v>0.99</v>
      </c>
      <c r="K2750" s="28">
        <v>11</v>
      </c>
      <c r="L2750" s="28">
        <v>0</v>
      </c>
    </row>
    <row r="2751" spans="1:12" ht="14.25" customHeight="1" x14ac:dyDescent="0.2">
      <c r="A2751" s="28">
        <v>2750</v>
      </c>
      <c r="B2751" s="28" t="s">
        <v>3698</v>
      </c>
      <c r="C2751" s="28" t="s">
        <v>3675</v>
      </c>
      <c r="D2751" s="28" t="s">
        <v>3676</v>
      </c>
      <c r="E2751" s="28" t="s">
        <v>211</v>
      </c>
      <c r="F2751" s="28" t="s">
        <v>212</v>
      </c>
      <c r="G2751" s="28" t="s">
        <v>3677</v>
      </c>
      <c r="H2751" s="28">
        <v>11160877</v>
      </c>
      <c r="I2751" s="28">
        <v>338520</v>
      </c>
      <c r="J2751" s="28">
        <v>0.99</v>
      </c>
      <c r="K2751" s="28">
        <v>49</v>
      </c>
      <c r="L2751" s="28">
        <v>2</v>
      </c>
    </row>
    <row r="2752" spans="1:12" ht="14.25" customHeight="1" x14ac:dyDescent="0.2">
      <c r="A2752" s="28">
        <v>2751</v>
      </c>
      <c r="B2752" s="28" t="s">
        <v>1039</v>
      </c>
      <c r="C2752" s="28" t="s">
        <v>3699</v>
      </c>
      <c r="D2752" s="28" t="s">
        <v>3700</v>
      </c>
      <c r="E2752" s="28" t="s">
        <v>211</v>
      </c>
      <c r="F2752" s="28" t="s">
        <v>490</v>
      </c>
      <c r="G2752" s="28" t="s">
        <v>3701</v>
      </c>
      <c r="H2752" s="28">
        <v>4152604</v>
      </c>
      <c r="I2752" s="28">
        <v>126615</v>
      </c>
      <c r="J2752" s="28">
        <v>0.99</v>
      </c>
      <c r="K2752" s="28">
        <v>43</v>
      </c>
      <c r="L2752" s="28">
        <v>1</v>
      </c>
    </row>
    <row r="2753" spans="1:12" ht="14.25" customHeight="1" x14ac:dyDescent="0.2">
      <c r="A2753" s="28">
        <v>2752</v>
      </c>
      <c r="B2753" s="28" t="s">
        <v>3702</v>
      </c>
      <c r="C2753" s="28" t="s">
        <v>3699</v>
      </c>
      <c r="D2753" s="28" t="s">
        <v>3700</v>
      </c>
      <c r="E2753" s="28" t="s">
        <v>211</v>
      </c>
      <c r="F2753" s="28" t="s">
        <v>490</v>
      </c>
      <c r="G2753" s="28" t="s">
        <v>3700</v>
      </c>
      <c r="H2753" s="28">
        <v>6411587</v>
      </c>
      <c r="I2753" s="28">
        <v>194690</v>
      </c>
      <c r="J2753" s="28">
        <v>0.99</v>
      </c>
      <c r="K2753" s="28">
        <v>51</v>
      </c>
      <c r="L2753" s="28">
        <v>0</v>
      </c>
    </row>
    <row r="2754" spans="1:12" ht="14.25" customHeight="1" x14ac:dyDescent="0.2">
      <c r="A2754" s="28">
        <v>2753</v>
      </c>
      <c r="B2754" s="28" t="s">
        <v>3703</v>
      </c>
      <c r="C2754" s="28" t="s">
        <v>3699</v>
      </c>
      <c r="D2754" s="28" t="s">
        <v>3700</v>
      </c>
      <c r="E2754" s="28" t="s">
        <v>211</v>
      </c>
      <c r="F2754" s="28" t="s">
        <v>490</v>
      </c>
      <c r="G2754" s="28" t="s">
        <v>3700</v>
      </c>
      <c r="H2754" s="28">
        <v>6475007</v>
      </c>
      <c r="I2754" s="28">
        <v>197955</v>
      </c>
      <c r="J2754" s="28">
        <v>0.99</v>
      </c>
      <c r="K2754" s="28">
        <v>83</v>
      </c>
      <c r="L2754" s="28">
        <v>0</v>
      </c>
    </row>
    <row r="2755" spans="1:12" ht="14.25" customHeight="1" x14ac:dyDescent="0.2">
      <c r="A2755" s="28">
        <v>2754</v>
      </c>
      <c r="B2755" s="28" t="s">
        <v>2424</v>
      </c>
      <c r="C2755" s="28" t="s">
        <v>3699</v>
      </c>
      <c r="D2755" s="28" t="s">
        <v>3700</v>
      </c>
      <c r="E2755" s="28" t="s">
        <v>211</v>
      </c>
      <c r="F2755" s="28" t="s">
        <v>490</v>
      </c>
      <c r="G2755" s="28" t="s">
        <v>3704</v>
      </c>
      <c r="H2755" s="28">
        <v>8749583</v>
      </c>
      <c r="I2755" s="28">
        <v>262974</v>
      </c>
      <c r="J2755" s="28">
        <v>0.99</v>
      </c>
      <c r="K2755" s="28">
        <v>62</v>
      </c>
      <c r="L2755" s="28">
        <v>1</v>
      </c>
    </row>
    <row r="2756" spans="1:12" ht="14.25" customHeight="1" x14ac:dyDescent="0.2">
      <c r="A2756" s="28">
        <v>2755</v>
      </c>
      <c r="B2756" s="28" t="s">
        <v>3705</v>
      </c>
      <c r="C2756" s="28" t="s">
        <v>3699</v>
      </c>
      <c r="D2756" s="28" t="s">
        <v>3700</v>
      </c>
      <c r="E2756" s="28" t="s">
        <v>211</v>
      </c>
      <c r="F2756" s="28" t="s">
        <v>490</v>
      </c>
      <c r="G2756" s="28" t="s">
        <v>3700</v>
      </c>
      <c r="H2756" s="28">
        <v>3477751</v>
      </c>
      <c r="I2756" s="28">
        <v>105064</v>
      </c>
      <c r="J2756" s="28">
        <v>0.99</v>
      </c>
      <c r="K2756" s="28">
        <v>71</v>
      </c>
      <c r="L2756" s="28">
        <v>0</v>
      </c>
    </row>
    <row r="2757" spans="1:12" ht="14.25" customHeight="1" x14ac:dyDescent="0.2">
      <c r="A2757" s="28">
        <v>2756</v>
      </c>
      <c r="B2757" s="28" t="s">
        <v>1203</v>
      </c>
      <c r="C2757" s="28" t="s">
        <v>3699</v>
      </c>
      <c r="D2757" s="28" t="s">
        <v>3700</v>
      </c>
      <c r="E2757" s="28" t="s">
        <v>211</v>
      </c>
      <c r="F2757" s="28" t="s">
        <v>490</v>
      </c>
      <c r="G2757" s="28" t="s">
        <v>3706</v>
      </c>
      <c r="H2757" s="28">
        <v>4340326</v>
      </c>
      <c r="I2757" s="28">
        <v>131317</v>
      </c>
      <c r="J2757" s="28">
        <v>0.99</v>
      </c>
      <c r="K2757" s="28">
        <v>16</v>
      </c>
      <c r="L2757" s="28">
        <v>0</v>
      </c>
    </row>
    <row r="2758" spans="1:12" ht="14.25" customHeight="1" x14ac:dyDescent="0.2">
      <c r="A2758" s="28">
        <v>2757</v>
      </c>
      <c r="B2758" s="28" t="s">
        <v>3707</v>
      </c>
      <c r="C2758" s="28" t="s">
        <v>3699</v>
      </c>
      <c r="D2758" s="28" t="s">
        <v>3700</v>
      </c>
      <c r="E2758" s="28" t="s">
        <v>211</v>
      </c>
      <c r="F2758" s="28" t="s">
        <v>490</v>
      </c>
      <c r="G2758" s="28" t="s">
        <v>3700</v>
      </c>
      <c r="H2758" s="28">
        <v>7786824</v>
      </c>
      <c r="I2758" s="28">
        <v>237897</v>
      </c>
      <c r="J2758" s="28">
        <v>0.99</v>
      </c>
      <c r="K2758" s="28">
        <v>49</v>
      </c>
      <c r="L2758" s="28">
        <v>1</v>
      </c>
    </row>
    <row r="2759" spans="1:12" ht="14.25" customHeight="1" x14ac:dyDescent="0.2">
      <c r="A2759" s="28">
        <v>2758</v>
      </c>
      <c r="B2759" s="28" t="s">
        <v>3708</v>
      </c>
      <c r="C2759" s="28" t="s">
        <v>3699</v>
      </c>
      <c r="D2759" s="28" t="s">
        <v>3700</v>
      </c>
      <c r="E2759" s="28" t="s">
        <v>211</v>
      </c>
      <c r="F2759" s="28" t="s">
        <v>490</v>
      </c>
      <c r="G2759" s="28" t="s">
        <v>3700</v>
      </c>
      <c r="H2759" s="28">
        <v>5642919</v>
      </c>
      <c r="I2759" s="28">
        <v>172068</v>
      </c>
      <c r="J2759" s="28">
        <v>0.99</v>
      </c>
      <c r="K2759" s="28">
        <v>8</v>
      </c>
      <c r="L2759" s="28">
        <v>1</v>
      </c>
    </row>
    <row r="2760" spans="1:12" ht="14.25" customHeight="1" x14ac:dyDescent="0.2">
      <c r="A2760" s="28">
        <v>2759</v>
      </c>
      <c r="B2760" s="28" t="s">
        <v>3709</v>
      </c>
      <c r="C2760" s="28" t="s">
        <v>3699</v>
      </c>
      <c r="D2760" s="28" t="s">
        <v>3700</v>
      </c>
      <c r="E2760" s="28" t="s">
        <v>211</v>
      </c>
      <c r="F2760" s="28" t="s">
        <v>490</v>
      </c>
      <c r="G2760" s="28" t="s">
        <v>3700</v>
      </c>
      <c r="H2760" s="28">
        <v>5184891</v>
      </c>
      <c r="I2760" s="28">
        <v>158511</v>
      </c>
      <c r="J2760" s="28">
        <v>0.99</v>
      </c>
      <c r="K2760" s="28">
        <v>24</v>
      </c>
      <c r="L2760" s="28">
        <v>2</v>
      </c>
    </row>
    <row r="2761" spans="1:12" ht="14.25" customHeight="1" x14ac:dyDescent="0.2">
      <c r="A2761" s="28">
        <v>2760</v>
      </c>
      <c r="B2761" s="28" t="s">
        <v>3710</v>
      </c>
      <c r="C2761" s="28" t="s">
        <v>3699</v>
      </c>
      <c r="D2761" s="28" t="s">
        <v>3700</v>
      </c>
      <c r="E2761" s="28" t="s">
        <v>211</v>
      </c>
      <c r="F2761" s="28" t="s">
        <v>490</v>
      </c>
      <c r="G2761" s="28" t="s">
        <v>3711</v>
      </c>
      <c r="H2761" s="28">
        <v>3827629</v>
      </c>
      <c r="I2761" s="28">
        <v>115461</v>
      </c>
      <c r="J2761" s="28">
        <v>0.99</v>
      </c>
      <c r="K2761" s="28">
        <v>20</v>
      </c>
      <c r="L2761" s="28">
        <v>1</v>
      </c>
    </row>
    <row r="2762" spans="1:12" ht="14.25" customHeight="1" x14ac:dyDescent="0.2">
      <c r="A2762" s="28">
        <v>2761</v>
      </c>
      <c r="B2762" s="28" t="s">
        <v>3712</v>
      </c>
      <c r="C2762" s="28" t="s">
        <v>3699</v>
      </c>
      <c r="D2762" s="28" t="s">
        <v>3700</v>
      </c>
      <c r="E2762" s="28" t="s">
        <v>211</v>
      </c>
      <c r="F2762" s="28" t="s">
        <v>490</v>
      </c>
      <c r="G2762" s="28" t="s">
        <v>3713</v>
      </c>
      <c r="H2762" s="28">
        <v>7971147</v>
      </c>
      <c r="I2762" s="28">
        <v>238367</v>
      </c>
      <c r="J2762" s="28">
        <v>0.99</v>
      </c>
      <c r="K2762" s="28">
        <v>24</v>
      </c>
      <c r="L2762" s="28">
        <v>1</v>
      </c>
    </row>
    <row r="2763" spans="1:12" ht="14.25" customHeight="1" x14ac:dyDescent="0.2">
      <c r="A2763" s="28">
        <v>2762</v>
      </c>
      <c r="B2763" s="28" t="s">
        <v>3714</v>
      </c>
      <c r="C2763" s="28" t="s">
        <v>3699</v>
      </c>
      <c r="D2763" s="28" t="s">
        <v>3700</v>
      </c>
      <c r="E2763" s="28" t="s">
        <v>211</v>
      </c>
      <c r="F2763" s="28" t="s">
        <v>490</v>
      </c>
      <c r="G2763" s="28" t="s">
        <v>3715</v>
      </c>
      <c r="H2763" s="28">
        <v>2978589</v>
      </c>
      <c r="I2763" s="28">
        <v>90148</v>
      </c>
      <c r="J2763" s="28">
        <v>0.99</v>
      </c>
      <c r="K2763" s="28">
        <v>5</v>
      </c>
      <c r="L2763" s="28">
        <v>1</v>
      </c>
    </row>
    <row r="2764" spans="1:12" ht="14.25" customHeight="1" x14ac:dyDescent="0.2">
      <c r="A2764" s="28">
        <v>2763</v>
      </c>
      <c r="B2764" s="28" t="s">
        <v>3716</v>
      </c>
      <c r="C2764" s="28" t="s">
        <v>3699</v>
      </c>
      <c r="D2764" s="28" t="s">
        <v>3700</v>
      </c>
      <c r="E2764" s="28" t="s">
        <v>211</v>
      </c>
      <c r="F2764" s="28" t="s">
        <v>490</v>
      </c>
      <c r="G2764" s="28" t="s">
        <v>3700</v>
      </c>
      <c r="H2764" s="28">
        <v>5631446</v>
      </c>
      <c r="I2764" s="28">
        <v>171389</v>
      </c>
      <c r="J2764" s="28">
        <v>0.99</v>
      </c>
      <c r="K2764" s="28">
        <v>65</v>
      </c>
      <c r="L2764" s="28">
        <v>2</v>
      </c>
    </row>
    <row r="2765" spans="1:12" ht="14.25" customHeight="1" x14ac:dyDescent="0.2">
      <c r="A2765" s="28">
        <v>2764</v>
      </c>
      <c r="B2765" s="28" t="s">
        <v>3717</v>
      </c>
      <c r="C2765" s="28" t="s">
        <v>3699</v>
      </c>
      <c r="D2765" s="28" t="s">
        <v>3700</v>
      </c>
      <c r="E2765" s="28" t="s">
        <v>211</v>
      </c>
      <c r="F2765" s="28" t="s">
        <v>490</v>
      </c>
      <c r="G2765" s="28" t="s">
        <v>3700</v>
      </c>
      <c r="H2765" s="28">
        <v>6612634</v>
      </c>
      <c r="I2765" s="28">
        <v>200489</v>
      </c>
      <c r="J2765" s="28">
        <v>0.99</v>
      </c>
      <c r="K2765" s="28">
        <v>34</v>
      </c>
      <c r="L2765" s="28">
        <v>0</v>
      </c>
    </row>
    <row r="2766" spans="1:12" ht="14.25" customHeight="1" x14ac:dyDescent="0.2">
      <c r="A2766" s="28">
        <v>2765</v>
      </c>
      <c r="B2766" s="28" t="s">
        <v>3718</v>
      </c>
      <c r="C2766" s="28" t="s">
        <v>3699</v>
      </c>
      <c r="D2766" s="28" t="s">
        <v>3700</v>
      </c>
      <c r="E2766" s="28" t="s">
        <v>211</v>
      </c>
      <c r="F2766" s="28" t="s">
        <v>490</v>
      </c>
      <c r="G2766" s="28" t="s">
        <v>3700</v>
      </c>
      <c r="H2766" s="28">
        <v>7189874</v>
      </c>
      <c r="I2766" s="28">
        <v>217391</v>
      </c>
      <c r="J2766" s="28">
        <v>0.99</v>
      </c>
      <c r="K2766" s="28">
        <v>90</v>
      </c>
      <c r="L2766" s="28">
        <v>1</v>
      </c>
    </row>
    <row r="2767" spans="1:12" ht="14.25" customHeight="1" x14ac:dyDescent="0.2">
      <c r="A2767" s="28">
        <v>2766</v>
      </c>
      <c r="B2767" s="28" t="s">
        <v>3719</v>
      </c>
      <c r="C2767" s="28" t="s">
        <v>3720</v>
      </c>
      <c r="D2767" s="28" t="s">
        <v>3700</v>
      </c>
      <c r="E2767" s="28" t="s">
        <v>211</v>
      </c>
      <c r="F2767" s="28" t="s">
        <v>490</v>
      </c>
      <c r="G2767" s="28"/>
      <c r="H2767" s="28">
        <v>4977852</v>
      </c>
      <c r="I2767" s="28">
        <v>153155</v>
      </c>
      <c r="J2767" s="28">
        <v>0.99</v>
      </c>
      <c r="K2767" s="28">
        <v>56</v>
      </c>
      <c r="L2767" s="28">
        <v>1</v>
      </c>
    </row>
    <row r="2768" spans="1:12" ht="14.25" customHeight="1" x14ac:dyDescent="0.2">
      <c r="A2768" s="28">
        <v>2767</v>
      </c>
      <c r="B2768" s="28" t="s">
        <v>633</v>
      </c>
      <c r="C2768" s="28" t="s">
        <v>3720</v>
      </c>
      <c r="D2768" s="28" t="s">
        <v>3700</v>
      </c>
      <c r="E2768" s="28" t="s">
        <v>211</v>
      </c>
      <c r="F2768" s="28" t="s">
        <v>490</v>
      </c>
      <c r="G2768" s="28"/>
      <c r="H2768" s="28">
        <v>8380077</v>
      </c>
      <c r="I2768" s="28">
        <v>253805</v>
      </c>
      <c r="J2768" s="28">
        <v>0.99</v>
      </c>
      <c r="K2768" s="28">
        <v>31</v>
      </c>
      <c r="L2768" s="28">
        <v>1</v>
      </c>
    </row>
    <row r="2769" spans="1:12" ht="14.25" customHeight="1" x14ac:dyDescent="0.2">
      <c r="A2769" s="28">
        <v>2768</v>
      </c>
      <c r="B2769" s="28" t="s">
        <v>3721</v>
      </c>
      <c r="C2769" s="28" t="s">
        <v>3720</v>
      </c>
      <c r="D2769" s="28" t="s">
        <v>3700</v>
      </c>
      <c r="E2769" s="28" t="s">
        <v>211</v>
      </c>
      <c r="F2769" s="28" t="s">
        <v>490</v>
      </c>
      <c r="G2769" s="28"/>
      <c r="H2769" s="28">
        <v>7911702</v>
      </c>
      <c r="I2769" s="28">
        <v>242599</v>
      </c>
      <c r="J2769" s="28">
        <v>0.99</v>
      </c>
      <c r="K2769" s="28">
        <v>32</v>
      </c>
      <c r="L2769" s="28">
        <v>1</v>
      </c>
    </row>
    <row r="2770" spans="1:12" ht="14.25" customHeight="1" x14ac:dyDescent="0.2">
      <c r="A2770" s="28">
        <v>2769</v>
      </c>
      <c r="B2770" s="28" t="s">
        <v>3722</v>
      </c>
      <c r="C2770" s="28" t="s">
        <v>3720</v>
      </c>
      <c r="D2770" s="28" t="s">
        <v>3700</v>
      </c>
      <c r="E2770" s="28" t="s">
        <v>211</v>
      </c>
      <c r="F2770" s="28" t="s">
        <v>490</v>
      </c>
      <c r="G2770" s="28"/>
      <c r="H2770" s="28">
        <v>5031797</v>
      </c>
      <c r="I2770" s="28">
        <v>152607</v>
      </c>
      <c r="J2770" s="28">
        <v>0.99</v>
      </c>
      <c r="K2770" s="28">
        <v>54</v>
      </c>
      <c r="L2770" s="28">
        <v>2</v>
      </c>
    </row>
    <row r="2771" spans="1:12" ht="14.25" customHeight="1" x14ac:dyDescent="0.2">
      <c r="A2771" s="28">
        <v>2770</v>
      </c>
      <c r="B2771" s="28" t="s">
        <v>3723</v>
      </c>
      <c r="C2771" s="28" t="s">
        <v>3720</v>
      </c>
      <c r="D2771" s="28" t="s">
        <v>3700</v>
      </c>
      <c r="E2771" s="28" t="s">
        <v>211</v>
      </c>
      <c r="F2771" s="28" t="s">
        <v>490</v>
      </c>
      <c r="G2771" s="28"/>
      <c r="H2771" s="28">
        <v>7914628</v>
      </c>
      <c r="I2771" s="28">
        <v>242782</v>
      </c>
      <c r="J2771" s="28">
        <v>0.99</v>
      </c>
      <c r="K2771" s="28">
        <v>8</v>
      </c>
      <c r="L2771" s="28">
        <v>1</v>
      </c>
    </row>
    <row r="2772" spans="1:12" ht="14.25" customHeight="1" x14ac:dyDescent="0.2">
      <c r="A2772" s="28">
        <v>2771</v>
      </c>
      <c r="B2772" s="28" t="s">
        <v>3724</v>
      </c>
      <c r="C2772" s="28" t="s">
        <v>3720</v>
      </c>
      <c r="D2772" s="28" t="s">
        <v>3700</v>
      </c>
      <c r="E2772" s="28" t="s">
        <v>211</v>
      </c>
      <c r="F2772" s="28" t="s">
        <v>490</v>
      </c>
      <c r="G2772" s="28"/>
      <c r="H2772" s="28">
        <v>5204995</v>
      </c>
      <c r="I2772" s="28">
        <v>159791</v>
      </c>
      <c r="J2772" s="28">
        <v>0.99</v>
      </c>
      <c r="K2772" s="28">
        <v>31</v>
      </c>
      <c r="L2772" s="28">
        <v>1</v>
      </c>
    </row>
    <row r="2773" spans="1:12" ht="14.25" customHeight="1" x14ac:dyDescent="0.2">
      <c r="A2773" s="28">
        <v>2772</v>
      </c>
      <c r="B2773" s="28" t="s">
        <v>3725</v>
      </c>
      <c r="C2773" s="28" t="s">
        <v>3720</v>
      </c>
      <c r="D2773" s="28" t="s">
        <v>3700</v>
      </c>
      <c r="E2773" s="28" t="s">
        <v>211</v>
      </c>
      <c r="F2773" s="28" t="s">
        <v>490</v>
      </c>
      <c r="G2773" s="28"/>
      <c r="H2773" s="28">
        <v>7251478</v>
      </c>
      <c r="I2773" s="28">
        <v>221387</v>
      </c>
      <c r="J2773" s="28">
        <v>0.99</v>
      </c>
      <c r="K2773" s="28">
        <v>72</v>
      </c>
      <c r="L2773" s="28">
        <v>0</v>
      </c>
    </row>
    <row r="2774" spans="1:12" ht="14.25" customHeight="1" x14ac:dyDescent="0.2">
      <c r="A2774" s="28">
        <v>2773</v>
      </c>
      <c r="B2774" s="28" t="s">
        <v>3726</v>
      </c>
      <c r="C2774" s="28" t="s">
        <v>3720</v>
      </c>
      <c r="D2774" s="28" t="s">
        <v>3700</v>
      </c>
      <c r="E2774" s="28" t="s">
        <v>211</v>
      </c>
      <c r="F2774" s="28" t="s">
        <v>490</v>
      </c>
      <c r="G2774" s="28"/>
      <c r="H2774" s="28">
        <v>4581685</v>
      </c>
      <c r="I2774" s="28">
        <v>139598</v>
      </c>
      <c r="J2774" s="28">
        <v>0.99</v>
      </c>
      <c r="K2774" s="28">
        <v>4</v>
      </c>
      <c r="L2774" s="28">
        <v>1</v>
      </c>
    </row>
    <row r="2775" spans="1:12" ht="14.25" customHeight="1" x14ac:dyDescent="0.2">
      <c r="A2775" s="28">
        <v>2774</v>
      </c>
      <c r="B2775" s="28" t="s">
        <v>3727</v>
      </c>
      <c r="C2775" s="28" t="s">
        <v>3720</v>
      </c>
      <c r="D2775" s="28" t="s">
        <v>3700</v>
      </c>
      <c r="E2775" s="28" t="s">
        <v>211</v>
      </c>
      <c r="F2775" s="28" t="s">
        <v>490</v>
      </c>
      <c r="G2775" s="28"/>
      <c r="H2775" s="28">
        <v>6793270</v>
      </c>
      <c r="I2775" s="28">
        <v>206471</v>
      </c>
      <c r="J2775" s="28">
        <v>0.99</v>
      </c>
      <c r="K2775" s="28">
        <v>70</v>
      </c>
      <c r="L2775" s="28">
        <v>1</v>
      </c>
    </row>
    <row r="2776" spans="1:12" ht="14.25" customHeight="1" x14ac:dyDescent="0.2">
      <c r="A2776" s="28">
        <v>2775</v>
      </c>
      <c r="B2776" s="28" t="s">
        <v>3728</v>
      </c>
      <c r="C2776" s="28" t="s">
        <v>3720</v>
      </c>
      <c r="D2776" s="28" t="s">
        <v>3700</v>
      </c>
      <c r="E2776" s="28" t="s">
        <v>211</v>
      </c>
      <c r="F2776" s="28" t="s">
        <v>490</v>
      </c>
      <c r="G2776" s="28"/>
      <c r="H2776" s="28">
        <v>4552858</v>
      </c>
      <c r="I2776" s="28">
        <v>139337</v>
      </c>
      <c r="J2776" s="28">
        <v>0.99</v>
      </c>
      <c r="K2776" s="28">
        <v>21</v>
      </c>
      <c r="L2776" s="28">
        <v>1</v>
      </c>
    </row>
    <row r="2777" spans="1:12" ht="14.25" customHeight="1" x14ac:dyDescent="0.2">
      <c r="A2777" s="28">
        <v>2776</v>
      </c>
      <c r="B2777" s="28" t="s">
        <v>3729</v>
      </c>
      <c r="C2777" s="28" t="s">
        <v>3720</v>
      </c>
      <c r="D2777" s="28" t="s">
        <v>3700</v>
      </c>
      <c r="E2777" s="28" t="s">
        <v>211</v>
      </c>
      <c r="F2777" s="28" t="s">
        <v>490</v>
      </c>
      <c r="G2777" s="28"/>
      <c r="H2777" s="28">
        <v>5618895</v>
      </c>
      <c r="I2777" s="28">
        <v>174001</v>
      </c>
      <c r="J2777" s="28">
        <v>0.99</v>
      </c>
      <c r="K2777" s="28">
        <v>61</v>
      </c>
      <c r="L2777" s="28">
        <v>0</v>
      </c>
    </row>
    <row r="2778" spans="1:12" ht="14.25" customHeight="1" x14ac:dyDescent="0.2">
      <c r="A2778" s="28">
        <v>2777</v>
      </c>
      <c r="B2778" s="28" t="s">
        <v>3730</v>
      </c>
      <c r="C2778" s="28" t="s">
        <v>3720</v>
      </c>
      <c r="D2778" s="28" t="s">
        <v>3700</v>
      </c>
      <c r="E2778" s="28" t="s">
        <v>211</v>
      </c>
      <c r="F2778" s="28" t="s">
        <v>490</v>
      </c>
      <c r="G2778" s="28"/>
      <c r="H2778" s="28">
        <v>6890327</v>
      </c>
      <c r="I2778" s="28">
        <v>209737</v>
      </c>
      <c r="J2778" s="28">
        <v>0.99</v>
      </c>
      <c r="K2778" s="28">
        <v>36</v>
      </c>
      <c r="L2778" s="28">
        <v>1</v>
      </c>
    </row>
    <row r="2779" spans="1:12" ht="14.25" customHeight="1" x14ac:dyDescent="0.2">
      <c r="A2779" s="28">
        <v>2778</v>
      </c>
      <c r="B2779" s="28" t="s">
        <v>3731</v>
      </c>
      <c r="C2779" s="28" t="s">
        <v>3720</v>
      </c>
      <c r="D2779" s="28" t="s">
        <v>3700</v>
      </c>
      <c r="E2779" s="28" t="s">
        <v>211</v>
      </c>
      <c r="F2779" s="28" t="s">
        <v>490</v>
      </c>
      <c r="G2779" s="28"/>
      <c r="H2779" s="28">
        <v>5213894</v>
      </c>
      <c r="I2779" s="28">
        <v>162220</v>
      </c>
      <c r="J2779" s="28">
        <v>0.99</v>
      </c>
      <c r="K2779" s="28">
        <v>19</v>
      </c>
      <c r="L2779" s="28">
        <v>0</v>
      </c>
    </row>
    <row r="2780" spans="1:12" ht="14.25" customHeight="1" x14ac:dyDescent="0.2">
      <c r="A2780" s="28">
        <v>2779</v>
      </c>
      <c r="B2780" s="28" t="s">
        <v>3732</v>
      </c>
      <c r="C2780" s="28" t="s">
        <v>3720</v>
      </c>
      <c r="D2780" s="28" t="s">
        <v>3700</v>
      </c>
      <c r="E2780" s="28" t="s">
        <v>211</v>
      </c>
      <c r="F2780" s="28" t="s">
        <v>490</v>
      </c>
      <c r="G2780" s="28"/>
      <c r="H2780" s="28">
        <v>6069933</v>
      </c>
      <c r="I2780" s="28">
        <v>184450</v>
      </c>
      <c r="J2780" s="28">
        <v>0.99</v>
      </c>
      <c r="K2780" s="28">
        <v>33</v>
      </c>
      <c r="L2780" s="28">
        <v>0</v>
      </c>
    </row>
    <row r="2781" spans="1:12" ht="14.25" customHeight="1" x14ac:dyDescent="0.2">
      <c r="A2781" s="28">
        <v>2780</v>
      </c>
      <c r="B2781" s="28" t="s">
        <v>3733</v>
      </c>
      <c r="C2781" s="28" t="s">
        <v>3720</v>
      </c>
      <c r="D2781" s="28" t="s">
        <v>3700</v>
      </c>
      <c r="E2781" s="28" t="s">
        <v>211</v>
      </c>
      <c r="F2781" s="28" t="s">
        <v>490</v>
      </c>
      <c r="G2781" s="28"/>
      <c r="H2781" s="28">
        <v>8455132</v>
      </c>
      <c r="I2781" s="28">
        <v>252943</v>
      </c>
      <c r="J2781" s="28">
        <v>0.99</v>
      </c>
      <c r="K2781" s="28">
        <v>22</v>
      </c>
      <c r="L2781" s="28">
        <v>1</v>
      </c>
    </row>
    <row r="2782" spans="1:12" ht="14.25" customHeight="1" x14ac:dyDescent="0.2">
      <c r="A2782" s="28">
        <v>2781</v>
      </c>
      <c r="B2782" s="28" t="s">
        <v>3734</v>
      </c>
      <c r="C2782" s="28" t="s">
        <v>3735</v>
      </c>
      <c r="D2782" s="28" t="s">
        <v>3736</v>
      </c>
      <c r="E2782" s="28" t="s">
        <v>211</v>
      </c>
      <c r="F2782" s="28" t="s">
        <v>348</v>
      </c>
      <c r="G2782" s="28" t="s">
        <v>3736</v>
      </c>
      <c r="H2782" s="28">
        <v>10786578</v>
      </c>
      <c r="I2782" s="28">
        <v>322612</v>
      </c>
      <c r="J2782" s="28">
        <v>0.99</v>
      </c>
      <c r="K2782" s="28">
        <v>11</v>
      </c>
      <c r="L2782" s="28">
        <v>2</v>
      </c>
    </row>
    <row r="2783" spans="1:12" ht="14.25" customHeight="1" x14ac:dyDescent="0.2">
      <c r="A2783" s="28">
        <v>2782</v>
      </c>
      <c r="B2783" s="28" t="s">
        <v>3737</v>
      </c>
      <c r="C2783" s="28" t="s">
        <v>3735</v>
      </c>
      <c r="D2783" s="28" t="s">
        <v>3736</v>
      </c>
      <c r="E2783" s="28" t="s">
        <v>211</v>
      </c>
      <c r="F2783" s="28" t="s">
        <v>348</v>
      </c>
      <c r="G2783" s="28" t="s">
        <v>3736</v>
      </c>
      <c r="H2783" s="28">
        <v>7668899</v>
      </c>
      <c r="I2783" s="28">
        <v>230504</v>
      </c>
      <c r="J2783" s="28">
        <v>0.99</v>
      </c>
      <c r="K2783" s="28">
        <v>94</v>
      </c>
      <c r="L2783" s="28">
        <v>1</v>
      </c>
    </row>
    <row r="2784" spans="1:12" ht="14.25" customHeight="1" x14ac:dyDescent="0.2">
      <c r="A2784" s="28">
        <v>2783</v>
      </c>
      <c r="B2784" s="28" t="s">
        <v>3738</v>
      </c>
      <c r="C2784" s="28" t="s">
        <v>3735</v>
      </c>
      <c r="D2784" s="28" t="s">
        <v>3736</v>
      </c>
      <c r="E2784" s="28" t="s">
        <v>211</v>
      </c>
      <c r="F2784" s="28" t="s">
        <v>348</v>
      </c>
      <c r="G2784" s="28" t="s">
        <v>3736</v>
      </c>
      <c r="H2784" s="28">
        <v>7382048</v>
      </c>
      <c r="I2784" s="28">
        <v>222484</v>
      </c>
      <c r="J2784" s="28">
        <v>0.99</v>
      </c>
      <c r="K2784" s="28">
        <v>70</v>
      </c>
      <c r="L2784" s="28">
        <v>1</v>
      </c>
    </row>
    <row r="2785" spans="1:12" ht="14.25" customHeight="1" x14ac:dyDescent="0.2">
      <c r="A2785" s="28">
        <v>2784</v>
      </c>
      <c r="B2785" s="28" t="s">
        <v>3739</v>
      </c>
      <c r="C2785" s="28" t="s">
        <v>3735</v>
      </c>
      <c r="D2785" s="28" t="s">
        <v>3736</v>
      </c>
      <c r="E2785" s="28" t="s">
        <v>211</v>
      </c>
      <c r="F2785" s="28" t="s">
        <v>348</v>
      </c>
      <c r="G2785" s="28" t="s">
        <v>3736</v>
      </c>
      <c r="H2785" s="28">
        <v>7267458</v>
      </c>
      <c r="I2785" s="28">
        <v>218331</v>
      </c>
      <c r="J2785" s="28">
        <v>0.99</v>
      </c>
      <c r="K2785" s="28">
        <v>54</v>
      </c>
      <c r="L2785" s="28">
        <v>1</v>
      </c>
    </row>
    <row r="2786" spans="1:12" ht="14.25" customHeight="1" x14ac:dyDescent="0.2">
      <c r="A2786" s="28">
        <v>2785</v>
      </c>
      <c r="B2786" s="28" t="s">
        <v>3740</v>
      </c>
      <c r="C2786" s="28" t="s">
        <v>3735</v>
      </c>
      <c r="D2786" s="28" t="s">
        <v>3736</v>
      </c>
      <c r="E2786" s="28" t="s">
        <v>211</v>
      </c>
      <c r="F2786" s="28" t="s">
        <v>348</v>
      </c>
      <c r="G2786" s="28" t="s">
        <v>3736</v>
      </c>
      <c r="H2786" s="28">
        <v>9868187</v>
      </c>
      <c r="I2786" s="28">
        <v>296829</v>
      </c>
      <c r="J2786" s="28">
        <v>0.99</v>
      </c>
      <c r="K2786" s="28">
        <v>63</v>
      </c>
      <c r="L2786" s="28">
        <v>1</v>
      </c>
    </row>
    <row r="2787" spans="1:12" ht="14.25" customHeight="1" x14ac:dyDescent="0.2">
      <c r="A2787" s="28">
        <v>2786</v>
      </c>
      <c r="B2787" s="28" t="s">
        <v>3741</v>
      </c>
      <c r="C2787" s="28" t="s">
        <v>3735</v>
      </c>
      <c r="D2787" s="28" t="s">
        <v>3736</v>
      </c>
      <c r="E2787" s="28" t="s">
        <v>211</v>
      </c>
      <c r="F2787" s="28" t="s">
        <v>348</v>
      </c>
      <c r="G2787" s="28" t="s">
        <v>3736</v>
      </c>
      <c r="H2787" s="28">
        <v>6566998</v>
      </c>
      <c r="I2787" s="28">
        <v>199131</v>
      </c>
      <c r="J2787" s="28">
        <v>0.99</v>
      </c>
      <c r="K2787" s="28">
        <v>15</v>
      </c>
      <c r="L2787" s="28">
        <v>2</v>
      </c>
    </row>
    <row r="2788" spans="1:12" ht="14.25" customHeight="1" x14ac:dyDescent="0.2">
      <c r="A2788" s="28">
        <v>2787</v>
      </c>
      <c r="B2788" s="28" t="s">
        <v>3742</v>
      </c>
      <c r="C2788" s="28" t="s">
        <v>3735</v>
      </c>
      <c r="D2788" s="28" t="s">
        <v>3736</v>
      </c>
      <c r="E2788" s="28" t="s">
        <v>211</v>
      </c>
      <c r="F2788" s="28" t="s">
        <v>348</v>
      </c>
      <c r="G2788" s="28" t="s">
        <v>3736</v>
      </c>
      <c r="H2788" s="28">
        <v>8741444</v>
      </c>
      <c r="I2788" s="28">
        <v>264359</v>
      </c>
      <c r="J2788" s="28">
        <v>0.99</v>
      </c>
      <c r="K2788" s="28">
        <v>54</v>
      </c>
      <c r="L2788" s="28">
        <v>1</v>
      </c>
    </row>
    <row r="2789" spans="1:12" ht="14.25" customHeight="1" x14ac:dyDescent="0.2">
      <c r="A2789" s="28">
        <v>2788</v>
      </c>
      <c r="B2789" s="28" t="s">
        <v>3743</v>
      </c>
      <c r="C2789" s="28" t="s">
        <v>3735</v>
      </c>
      <c r="D2789" s="28" t="s">
        <v>3736</v>
      </c>
      <c r="E2789" s="28" t="s">
        <v>211</v>
      </c>
      <c r="F2789" s="28" t="s">
        <v>348</v>
      </c>
      <c r="G2789" s="28" t="s">
        <v>3736</v>
      </c>
      <c r="H2789" s="28">
        <v>8143797</v>
      </c>
      <c r="I2789" s="28">
        <v>245995</v>
      </c>
      <c r="J2789" s="28">
        <v>0.99</v>
      </c>
      <c r="K2789" s="28">
        <v>64</v>
      </c>
      <c r="L2789" s="28">
        <v>1</v>
      </c>
    </row>
    <row r="2790" spans="1:12" ht="14.25" customHeight="1" x14ac:dyDescent="0.2">
      <c r="A2790" s="28">
        <v>2789</v>
      </c>
      <c r="B2790" s="28" t="s">
        <v>3744</v>
      </c>
      <c r="C2790" s="28" t="s">
        <v>3735</v>
      </c>
      <c r="D2790" s="28" t="s">
        <v>3736</v>
      </c>
      <c r="E2790" s="28" t="s">
        <v>211</v>
      </c>
      <c r="F2790" s="28" t="s">
        <v>348</v>
      </c>
      <c r="G2790" s="28" t="s">
        <v>3736</v>
      </c>
      <c r="H2790" s="28">
        <v>7148017</v>
      </c>
      <c r="I2790" s="28">
        <v>215510</v>
      </c>
      <c r="J2790" s="28">
        <v>0.99</v>
      </c>
      <c r="K2790" s="28">
        <v>26</v>
      </c>
      <c r="L2790" s="28">
        <v>1</v>
      </c>
    </row>
    <row r="2791" spans="1:12" ht="14.25" customHeight="1" x14ac:dyDescent="0.2">
      <c r="A2791" s="28">
        <v>2790</v>
      </c>
      <c r="B2791" s="28" t="s">
        <v>3745</v>
      </c>
      <c r="C2791" s="28" t="s">
        <v>3735</v>
      </c>
      <c r="D2791" s="28" t="s">
        <v>3736</v>
      </c>
      <c r="E2791" s="28" t="s">
        <v>211</v>
      </c>
      <c r="F2791" s="28" t="s">
        <v>348</v>
      </c>
      <c r="G2791" s="28" t="s">
        <v>3736</v>
      </c>
      <c r="H2791" s="28">
        <v>5285715</v>
      </c>
      <c r="I2791" s="28">
        <v>158458</v>
      </c>
      <c r="J2791" s="28">
        <v>0.99</v>
      </c>
      <c r="K2791" s="28">
        <v>12</v>
      </c>
      <c r="L2791" s="28">
        <v>1</v>
      </c>
    </row>
    <row r="2792" spans="1:12" ht="14.25" customHeight="1" x14ac:dyDescent="0.2">
      <c r="A2792" s="28">
        <v>2791</v>
      </c>
      <c r="B2792" s="28" t="s">
        <v>3746</v>
      </c>
      <c r="C2792" s="28" t="s">
        <v>3735</v>
      </c>
      <c r="D2792" s="28" t="s">
        <v>3736</v>
      </c>
      <c r="E2792" s="28" t="s">
        <v>211</v>
      </c>
      <c r="F2792" s="28" t="s">
        <v>348</v>
      </c>
      <c r="G2792" s="28" t="s">
        <v>3736</v>
      </c>
      <c r="H2792" s="28">
        <v>5020547</v>
      </c>
      <c r="I2792" s="28">
        <v>151693</v>
      </c>
      <c r="J2792" s="28">
        <v>0.99</v>
      </c>
      <c r="K2792" s="28">
        <v>64</v>
      </c>
      <c r="L2792" s="28">
        <v>0</v>
      </c>
    </row>
    <row r="2793" spans="1:12" ht="14.25" customHeight="1" x14ac:dyDescent="0.2">
      <c r="A2793" s="28">
        <v>2792</v>
      </c>
      <c r="B2793" s="28" t="s">
        <v>3747</v>
      </c>
      <c r="C2793" s="28" t="s">
        <v>3735</v>
      </c>
      <c r="D2793" s="28" t="s">
        <v>3736</v>
      </c>
      <c r="E2793" s="28" t="s">
        <v>211</v>
      </c>
      <c r="F2793" s="28" t="s">
        <v>348</v>
      </c>
      <c r="G2793" s="28" t="s">
        <v>3736</v>
      </c>
      <c r="H2793" s="28">
        <v>6349938</v>
      </c>
      <c r="I2793" s="28">
        <v>191503</v>
      </c>
      <c r="J2793" s="28">
        <v>0.99</v>
      </c>
      <c r="K2793" s="28">
        <v>84</v>
      </c>
      <c r="L2793" s="28">
        <v>2</v>
      </c>
    </row>
    <row r="2794" spans="1:12" ht="14.25" customHeight="1" x14ac:dyDescent="0.2">
      <c r="A2794" s="28">
        <v>2793</v>
      </c>
      <c r="B2794" s="28" t="s">
        <v>3748</v>
      </c>
      <c r="C2794" s="28" t="s">
        <v>3735</v>
      </c>
      <c r="D2794" s="28" t="s">
        <v>3736</v>
      </c>
      <c r="E2794" s="28" t="s">
        <v>211</v>
      </c>
      <c r="F2794" s="28" t="s">
        <v>348</v>
      </c>
      <c r="G2794" s="28" t="s">
        <v>3736</v>
      </c>
      <c r="H2794" s="28">
        <v>1220930</v>
      </c>
      <c r="I2794" s="28">
        <v>37120</v>
      </c>
      <c r="J2794" s="28">
        <v>0.99</v>
      </c>
      <c r="K2794" s="28">
        <v>29</v>
      </c>
      <c r="L2794" s="28">
        <v>2</v>
      </c>
    </row>
    <row r="2795" spans="1:12" ht="14.25" customHeight="1" x14ac:dyDescent="0.2">
      <c r="A2795" s="28">
        <v>2794</v>
      </c>
      <c r="B2795" s="28" t="s">
        <v>3749</v>
      </c>
      <c r="C2795" s="28" t="s">
        <v>3735</v>
      </c>
      <c r="D2795" s="28" t="s">
        <v>3736</v>
      </c>
      <c r="E2795" s="28" t="s">
        <v>211</v>
      </c>
      <c r="F2795" s="28" t="s">
        <v>348</v>
      </c>
      <c r="G2795" s="28" t="s">
        <v>3736</v>
      </c>
      <c r="H2795" s="28">
        <v>6157904</v>
      </c>
      <c r="I2795" s="28">
        <v>184946</v>
      </c>
      <c r="J2795" s="28">
        <v>0.99</v>
      </c>
      <c r="K2795" s="28">
        <v>89</v>
      </c>
      <c r="L2795" s="28">
        <v>1</v>
      </c>
    </row>
    <row r="2796" spans="1:12" ht="14.25" customHeight="1" x14ac:dyDescent="0.2">
      <c r="A2796" s="28">
        <v>2795</v>
      </c>
      <c r="B2796" s="28" t="s">
        <v>3750</v>
      </c>
      <c r="C2796" s="28" t="s">
        <v>3735</v>
      </c>
      <c r="D2796" s="28" t="s">
        <v>3736</v>
      </c>
      <c r="E2796" s="28" t="s">
        <v>211</v>
      </c>
      <c r="F2796" s="28" t="s">
        <v>348</v>
      </c>
      <c r="G2796" s="28" t="s">
        <v>3736</v>
      </c>
      <c r="H2796" s="28">
        <v>3503755</v>
      </c>
      <c r="I2796" s="28">
        <v>104986</v>
      </c>
      <c r="J2796" s="28">
        <v>0.99</v>
      </c>
      <c r="K2796" s="28">
        <v>15</v>
      </c>
      <c r="L2796" s="28">
        <v>0</v>
      </c>
    </row>
    <row r="2797" spans="1:12" ht="14.25" customHeight="1" x14ac:dyDescent="0.2">
      <c r="A2797" s="28">
        <v>2796</v>
      </c>
      <c r="B2797" s="28" t="s">
        <v>3751</v>
      </c>
      <c r="C2797" s="28" t="s">
        <v>3735</v>
      </c>
      <c r="D2797" s="28" t="s">
        <v>3736</v>
      </c>
      <c r="E2797" s="28" t="s">
        <v>211</v>
      </c>
      <c r="F2797" s="28" t="s">
        <v>348</v>
      </c>
      <c r="G2797" s="28" t="s">
        <v>3736</v>
      </c>
      <c r="H2797" s="28">
        <v>6308613</v>
      </c>
      <c r="I2797" s="28">
        <v>189988</v>
      </c>
      <c r="J2797" s="28">
        <v>0.99</v>
      </c>
      <c r="K2797" s="28">
        <v>45</v>
      </c>
      <c r="L2797" s="28">
        <v>1</v>
      </c>
    </row>
    <row r="2798" spans="1:12" ht="14.25" customHeight="1" x14ac:dyDescent="0.2">
      <c r="A2798" s="28">
        <v>2797</v>
      </c>
      <c r="B2798" s="28" t="s">
        <v>3752</v>
      </c>
      <c r="C2798" s="28" t="s">
        <v>3735</v>
      </c>
      <c r="D2798" s="28" t="s">
        <v>3736</v>
      </c>
      <c r="E2798" s="28" t="s">
        <v>211</v>
      </c>
      <c r="F2798" s="28" t="s">
        <v>348</v>
      </c>
      <c r="G2798" s="28" t="s">
        <v>3736</v>
      </c>
      <c r="H2798" s="28">
        <v>1124909</v>
      </c>
      <c r="I2798" s="28">
        <v>34168</v>
      </c>
      <c r="J2798" s="28">
        <v>0.99</v>
      </c>
      <c r="K2798" s="28">
        <v>68</v>
      </c>
      <c r="L2798" s="28">
        <v>1</v>
      </c>
    </row>
    <row r="2799" spans="1:12" ht="14.25" customHeight="1" x14ac:dyDescent="0.2">
      <c r="A2799" s="28">
        <v>2798</v>
      </c>
      <c r="B2799" s="28" t="s">
        <v>3753</v>
      </c>
      <c r="C2799" s="28" t="s">
        <v>3735</v>
      </c>
      <c r="D2799" s="28" t="s">
        <v>3736</v>
      </c>
      <c r="E2799" s="28" t="s">
        <v>211</v>
      </c>
      <c r="F2799" s="28" t="s">
        <v>348</v>
      </c>
      <c r="G2799" s="28" t="s">
        <v>3736</v>
      </c>
      <c r="H2799" s="28">
        <v>6486470</v>
      </c>
      <c r="I2799" s="28">
        <v>195500</v>
      </c>
      <c r="J2799" s="28">
        <v>0.99</v>
      </c>
      <c r="K2799" s="28">
        <v>73</v>
      </c>
      <c r="L2799" s="28">
        <v>1</v>
      </c>
    </row>
    <row r="2800" spans="1:12" ht="14.25" customHeight="1" x14ac:dyDescent="0.2">
      <c r="A2800" s="28">
        <v>2799</v>
      </c>
      <c r="B2800" s="28" t="s">
        <v>3754</v>
      </c>
      <c r="C2800" s="28" t="s">
        <v>3735</v>
      </c>
      <c r="D2800" s="28" t="s">
        <v>3736</v>
      </c>
      <c r="E2800" s="28" t="s">
        <v>211</v>
      </c>
      <c r="F2800" s="28" t="s">
        <v>348</v>
      </c>
      <c r="G2800" s="28" t="s">
        <v>3736</v>
      </c>
      <c r="H2800" s="28">
        <v>1824213</v>
      </c>
      <c r="I2800" s="28">
        <v>56111</v>
      </c>
      <c r="J2800" s="28">
        <v>0.99</v>
      </c>
      <c r="K2800" s="28">
        <v>79</v>
      </c>
      <c r="L2800" s="28">
        <v>1</v>
      </c>
    </row>
    <row r="2801" spans="1:12" ht="14.25" customHeight="1" x14ac:dyDescent="0.2">
      <c r="A2801" s="28">
        <v>2800</v>
      </c>
      <c r="B2801" s="28" t="s">
        <v>3755</v>
      </c>
      <c r="C2801" s="28" t="s">
        <v>3735</v>
      </c>
      <c r="D2801" s="28" t="s">
        <v>3736</v>
      </c>
      <c r="E2801" s="28" t="s">
        <v>211</v>
      </c>
      <c r="F2801" s="28" t="s">
        <v>348</v>
      </c>
      <c r="G2801" s="28" t="s">
        <v>3736</v>
      </c>
      <c r="H2801" s="28">
        <v>7069773</v>
      </c>
      <c r="I2801" s="28">
        <v>212401</v>
      </c>
      <c r="J2801" s="28">
        <v>0.99</v>
      </c>
      <c r="K2801" s="28">
        <v>70</v>
      </c>
      <c r="L2801" s="28">
        <v>1</v>
      </c>
    </row>
    <row r="2802" spans="1:12" ht="14.25" customHeight="1" x14ac:dyDescent="0.2">
      <c r="A2802" s="28">
        <v>2801</v>
      </c>
      <c r="B2802" s="28" t="s">
        <v>3756</v>
      </c>
      <c r="C2802" s="28" t="s">
        <v>3735</v>
      </c>
      <c r="D2802" s="28" t="s">
        <v>3736</v>
      </c>
      <c r="E2802" s="28" t="s">
        <v>211</v>
      </c>
      <c r="F2802" s="28" t="s">
        <v>348</v>
      </c>
      <c r="G2802" s="28" t="s">
        <v>3736</v>
      </c>
      <c r="H2802" s="28">
        <v>9531268</v>
      </c>
      <c r="I2802" s="28">
        <v>285936</v>
      </c>
      <c r="J2802" s="28">
        <v>0.99</v>
      </c>
      <c r="K2802" s="28">
        <v>26</v>
      </c>
      <c r="L2802" s="28">
        <v>0</v>
      </c>
    </row>
    <row r="2803" spans="1:12" ht="14.25" customHeight="1" x14ac:dyDescent="0.2">
      <c r="A2803" s="28">
        <v>2802</v>
      </c>
      <c r="B2803" s="28" t="s">
        <v>3757</v>
      </c>
      <c r="C2803" s="28" t="s">
        <v>3735</v>
      </c>
      <c r="D2803" s="28" t="s">
        <v>3736</v>
      </c>
      <c r="E2803" s="28" t="s">
        <v>211</v>
      </c>
      <c r="F2803" s="28" t="s">
        <v>348</v>
      </c>
      <c r="G2803" s="28" t="s">
        <v>3736</v>
      </c>
      <c r="H2803" s="28">
        <v>9776548</v>
      </c>
      <c r="I2803" s="28">
        <v>293668</v>
      </c>
      <c r="J2803" s="28">
        <v>0.99</v>
      </c>
      <c r="K2803" s="28">
        <v>99</v>
      </c>
      <c r="L2803" s="28">
        <v>0</v>
      </c>
    </row>
    <row r="2804" spans="1:12" ht="14.25" customHeight="1" x14ac:dyDescent="0.2">
      <c r="A2804" s="28">
        <v>2803</v>
      </c>
      <c r="B2804" s="28" t="s">
        <v>3758</v>
      </c>
      <c r="C2804" s="28" t="s">
        <v>3759</v>
      </c>
      <c r="D2804" s="28" t="s">
        <v>3736</v>
      </c>
      <c r="E2804" s="28" t="s">
        <v>211</v>
      </c>
      <c r="F2804" s="28" t="s">
        <v>348</v>
      </c>
      <c r="G2804" s="28" t="s">
        <v>3760</v>
      </c>
      <c r="H2804" s="28">
        <v>5678290</v>
      </c>
      <c r="I2804" s="28">
        <v>170684</v>
      </c>
      <c r="J2804" s="28">
        <v>0.99</v>
      </c>
      <c r="K2804" s="28">
        <v>84</v>
      </c>
      <c r="L2804" s="28">
        <v>1</v>
      </c>
    </row>
    <row r="2805" spans="1:12" ht="14.25" customHeight="1" x14ac:dyDescent="0.2">
      <c r="A2805" s="28">
        <v>2804</v>
      </c>
      <c r="B2805" s="28" t="s">
        <v>3761</v>
      </c>
      <c r="C2805" s="28" t="s">
        <v>3759</v>
      </c>
      <c r="D2805" s="28" t="s">
        <v>3736</v>
      </c>
      <c r="E2805" s="28" t="s">
        <v>211</v>
      </c>
      <c r="F2805" s="28" t="s">
        <v>348</v>
      </c>
      <c r="G2805" s="28" t="s">
        <v>3762</v>
      </c>
      <c r="H2805" s="28">
        <v>6472780</v>
      </c>
      <c r="I2805" s="28">
        <v>195840</v>
      </c>
      <c r="J2805" s="28">
        <v>0.99</v>
      </c>
      <c r="K2805" s="28">
        <v>43</v>
      </c>
      <c r="L2805" s="28">
        <v>2</v>
      </c>
    </row>
    <row r="2806" spans="1:12" ht="14.25" customHeight="1" x14ac:dyDescent="0.2">
      <c r="A2806" s="28">
        <v>2805</v>
      </c>
      <c r="B2806" s="28" t="s">
        <v>3763</v>
      </c>
      <c r="C2806" s="28" t="s">
        <v>3759</v>
      </c>
      <c r="D2806" s="28" t="s">
        <v>3736</v>
      </c>
      <c r="E2806" s="28" t="s">
        <v>211</v>
      </c>
      <c r="F2806" s="28" t="s">
        <v>348</v>
      </c>
      <c r="G2806" s="28" t="s">
        <v>743</v>
      </c>
      <c r="H2806" s="28">
        <v>8073248</v>
      </c>
      <c r="I2806" s="28">
        <v>246622</v>
      </c>
      <c r="J2806" s="28">
        <v>0.99</v>
      </c>
      <c r="K2806" s="28">
        <v>29</v>
      </c>
      <c r="L2806" s="28">
        <v>1</v>
      </c>
    </row>
    <row r="2807" spans="1:12" ht="14.25" customHeight="1" x14ac:dyDescent="0.2">
      <c r="A2807" s="28">
        <v>2806</v>
      </c>
      <c r="B2807" s="28" t="s">
        <v>3764</v>
      </c>
      <c r="C2807" s="28" t="s">
        <v>3759</v>
      </c>
      <c r="D2807" s="28" t="s">
        <v>3736</v>
      </c>
      <c r="E2807" s="28" t="s">
        <v>211</v>
      </c>
      <c r="F2807" s="28" t="s">
        <v>348</v>
      </c>
      <c r="G2807" s="28" t="s">
        <v>3765</v>
      </c>
      <c r="H2807" s="28">
        <v>7067340</v>
      </c>
      <c r="I2807" s="28">
        <v>213289</v>
      </c>
      <c r="J2807" s="28">
        <v>0.99</v>
      </c>
      <c r="K2807" s="28">
        <v>82</v>
      </c>
      <c r="L2807" s="28">
        <v>0</v>
      </c>
    </row>
    <row r="2808" spans="1:12" ht="14.25" customHeight="1" x14ac:dyDescent="0.2">
      <c r="A2808" s="28">
        <v>2807</v>
      </c>
      <c r="B2808" s="28" t="s">
        <v>3766</v>
      </c>
      <c r="C2808" s="28" t="s">
        <v>3759</v>
      </c>
      <c r="D2808" s="28" t="s">
        <v>3736</v>
      </c>
      <c r="E2808" s="28" t="s">
        <v>211</v>
      </c>
      <c r="F2808" s="28" t="s">
        <v>348</v>
      </c>
      <c r="G2808" s="28" t="s">
        <v>3767</v>
      </c>
      <c r="H2808" s="28">
        <v>7304656</v>
      </c>
      <c r="I2808" s="28">
        <v>221831</v>
      </c>
      <c r="J2808" s="28">
        <v>0.99</v>
      </c>
      <c r="K2808" s="28">
        <v>13</v>
      </c>
      <c r="L2808" s="28">
        <v>0</v>
      </c>
    </row>
    <row r="2809" spans="1:12" ht="14.25" customHeight="1" x14ac:dyDescent="0.2">
      <c r="A2809" s="28">
        <v>2808</v>
      </c>
      <c r="B2809" s="28" t="s">
        <v>3768</v>
      </c>
      <c r="C2809" s="28" t="s">
        <v>3759</v>
      </c>
      <c r="D2809" s="28" t="s">
        <v>3736</v>
      </c>
      <c r="E2809" s="28" t="s">
        <v>211</v>
      </c>
      <c r="F2809" s="28" t="s">
        <v>348</v>
      </c>
      <c r="G2809" s="28" t="s">
        <v>3769</v>
      </c>
      <c r="H2809" s="28">
        <v>6883180</v>
      </c>
      <c r="I2809" s="28">
        <v>208613</v>
      </c>
      <c r="J2809" s="28">
        <v>0.99</v>
      </c>
      <c r="K2809" s="28">
        <v>44</v>
      </c>
      <c r="L2809" s="28">
        <v>1</v>
      </c>
    </row>
    <row r="2810" spans="1:12" ht="14.25" customHeight="1" x14ac:dyDescent="0.2">
      <c r="A2810" s="28">
        <v>2809</v>
      </c>
      <c r="B2810" s="28" t="s">
        <v>3770</v>
      </c>
      <c r="C2810" s="28" t="s">
        <v>3759</v>
      </c>
      <c r="D2810" s="28" t="s">
        <v>3736</v>
      </c>
      <c r="E2810" s="28" t="s">
        <v>211</v>
      </c>
      <c r="F2810" s="28" t="s">
        <v>348</v>
      </c>
      <c r="G2810" s="28" t="s">
        <v>3771</v>
      </c>
      <c r="H2810" s="28">
        <v>6243967</v>
      </c>
      <c r="I2810" s="28">
        <v>189440</v>
      </c>
      <c r="J2810" s="28">
        <v>0.99</v>
      </c>
      <c r="K2810" s="28">
        <v>37</v>
      </c>
      <c r="L2810" s="28">
        <v>1</v>
      </c>
    </row>
    <row r="2811" spans="1:12" ht="14.25" customHeight="1" x14ac:dyDescent="0.2">
      <c r="A2811" s="28">
        <v>2810</v>
      </c>
      <c r="B2811" s="28" t="s">
        <v>3772</v>
      </c>
      <c r="C2811" s="28" t="s">
        <v>3759</v>
      </c>
      <c r="D2811" s="28" t="s">
        <v>3736</v>
      </c>
      <c r="E2811" s="28" t="s">
        <v>211</v>
      </c>
      <c r="F2811" s="28" t="s">
        <v>348</v>
      </c>
      <c r="G2811" s="28" t="s">
        <v>3773</v>
      </c>
      <c r="H2811" s="28">
        <v>5999048</v>
      </c>
      <c r="I2811" s="28">
        <v>183092</v>
      </c>
      <c r="J2811" s="28">
        <v>0.99</v>
      </c>
      <c r="K2811" s="28">
        <v>23</v>
      </c>
      <c r="L2811" s="28">
        <v>1</v>
      </c>
    </row>
    <row r="2812" spans="1:12" ht="14.25" customHeight="1" x14ac:dyDescent="0.2">
      <c r="A2812" s="28">
        <v>2811</v>
      </c>
      <c r="B2812" s="28" t="s">
        <v>3774</v>
      </c>
      <c r="C2812" s="28" t="s">
        <v>3759</v>
      </c>
      <c r="D2812" s="28" t="s">
        <v>3736</v>
      </c>
      <c r="E2812" s="28" t="s">
        <v>211</v>
      </c>
      <c r="F2812" s="28" t="s">
        <v>348</v>
      </c>
      <c r="G2812" s="28" t="s">
        <v>3775</v>
      </c>
      <c r="H2812" s="28">
        <v>6733733</v>
      </c>
      <c r="I2812" s="28">
        <v>203702</v>
      </c>
      <c r="J2812" s="28">
        <v>0.99</v>
      </c>
      <c r="K2812" s="28">
        <v>42</v>
      </c>
      <c r="L2812" s="28">
        <v>0</v>
      </c>
    </row>
    <row r="2813" spans="1:12" ht="14.25" customHeight="1" x14ac:dyDescent="0.2">
      <c r="A2813" s="28">
        <v>2812</v>
      </c>
      <c r="B2813" s="28" t="s">
        <v>3776</v>
      </c>
      <c r="C2813" s="28" t="s">
        <v>3759</v>
      </c>
      <c r="D2813" s="28" t="s">
        <v>3736</v>
      </c>
      <c r="E2813" s="28" t="s">
        <v>211</v>
      </c>
      <c r="F2813" s="28" t="s">
        <v>348</v>
      </c>
      <c r="G2813" s="28" t="s">
        <v>3777</v>
      </c>
      <c r="H2813" s="28">
        <v>7453156</v>
      </c>
      <c r="I2813" s="28">
        <v>224261</v>
      </c>
      <c r="J2813" s="28">
        <v>0.99</v>
      </c>
      <c r="K2813" s="28">
        <v>72</v>
      </c>
      <c r="L2813" s="28">
        <v>1</v>
      </c>
    </row>
    <row r="2814" spans="1:12" ht="14.25" customHeight="1" x14ac:dyDescent="0.2">
      <c r="A2814" s="28">
        <v>2813</v>
      </c>
      <c r="B2814" s="28" t="s">
        <v>3778</v>
      </c>
      <c r="C2814" s="28" t="s">
        <v>3759</v>
      </c>
      <c r="D2814" s="28" t="s">
        <v>3736</v>
      </c>
      <c r="E2814" s="28" t="s">
        <v>211</v>
      </c>
      <c r="F2814" s="28" t="s">
        <v>348</v>
      </c>
      <c r="G2814" s="28" t="s">
        <v>3779</v>
      </c>
      <c r="H2814" s="28">
        <v>8727645</v>
      </c>
      <c r="I2814" s="28">
        <v>262191</v>
      </c>
      <c r="J2814" s="28">
        <v>0.99</v>
      </c>
      <c r="K2814" s="28">
        <v>61</v>
      </c>
      <c r="L2814" s="28">
        <v>0</v>
      </c>
    </row>
    <row r="2815" spans="1:12" ht="14.25" customHeight="1" x14ac:dyDescent="0.2">
      <c r="A2815" s="28">
        <v>2814</v>
      </c>
      <c r="B2815" s="28" t="s">
        <v>3780</v>
      </c>
      <c r="C2815" s="28" t="s">
        <v>3759</v>
      </c>
      <c r="D2815" s="28" t="s">
        <v>3736</v>
      </c>
      <c r="E2815" s="28" t="s">
        <v>211</v>
      </c>
      <c r="F2815" s="28" t="s">
        <v>348</v>
      </c>
      <c r="G2815" s="28" t="s">
        <v>3771</v>
      </c>
      <c r="H2815" s="28">
        <v>6893664</v>
      </c>
      <c r="I2815" s="28">
        <v>207830</v>
      </c>
      <c r="J2815" s="28">
        <v>0.99</v>
      </c>
      <c r="K2815" s="28">
        <v>99</v>
      </c>
      <c r="L2815" s="28">
        <v>1</v>
      </c>
    </row>
    <row r="2816" spans="1:12" ht="14.25" customHeight="1" x14ac:dyDescent="0.2">
      <c r="A2816" s="28">
        <v>2815</v>
      </c>
      <c r="B2816" s="28" t="s">
        <v>3781</v>
      </c>
      <c r="C2816" s="28" t="s">
        <v>3759</v>
      </c>
      <c r="D2816" s="28" t="s">
        <v>3736</v>
      </c>
      <c r="E2816" s="28" t="s">
        <v>211</v>
      </c>
      <c r="F2816" s="28" t="s">
        <v>348</v>
      </c>
      <c r="G2816" s="28" t="s">
        <v>743</v>
      </c>
      <c r="H2816" s="28">
        <v>9138846</v>
      </c>
      <c r="I2816" s="28">
        <v>276035</v>
      </c>
      <c r="J2816" s="28">
        <v>0.99</v>
      </c>
      <c r="K2816" s="28">
        <v>75</v>
      </c>
      <c r="L2816" s="28">
        <v>1</v>
      </c>
    </row>
    <row r="2817" spans="1:12" ht="14.25" customHeight="1" x14ac:dyDescent="0.2">
      <c r="A2817" s="28">
        <v>2816</v>
      </c>
      <c r="B2817" s="28" t="s">
        <v>3782</v>
      </c>
      <c r="C2817" s="28" t="s">
        <v>3759</v>
      </c>
      <c r="D2817" s="28" t="s">
        <v>3736</v>
      </c>
      <c r="E2817" s="28" t="s">
        <v>211</v>
      </c>
      <c r="F2817" s="28" t="s">
        <v>348</v>
      </c>
      <c r="G2817" s="28" t="s">
        <v>3783</v>
      </c>
      <c r="H2817" s="28">
        <v>6939176</v>
      </c>
      <c r="I2817" s="28">
        <v>209084</v>
      </c>
      <c r="J2817" s="28">
        <v>0.99</v>
      </c>
      <c r="K2817" s="28">
        <v>87</v>
      </c>
      <c r="L2817" s="28">
        <v>2</v>
      </c>
    </row>
    <row r="2818" spans="1:12" ht="14.25" customHeight="1" x14ac:dyDescent="0.2">
      <c r="A2818" s="28">
        <v>2817</v>
      </c>
      <c r="B2818" s="28" t="s">
        <v>3784</v>
      </c>
      <c r="C2818" s="28" t="s">
        <v>3759</v>
      </c>
      <c r="D2818" s="28" t="s">
        <v>3736</v>
      </c>
      <c r="E2818" s="28" t="s">
        <v>211</v>
      </c>
      <c r="F2818" s="28" t="s">
        <v>348</v>
      </c>
      <c r="G2818" s="28" t="s">
        <v>3785</v>
      </c>
      <c r="H2818" s="28">
        <v>8271418</v>
      </c>
      <c r="I2818" s="28">
        <v>251115</v>
      </c>
      <c r="J2818" s="28">
        <v>0.99</v>
      </c>
      <c r="K2818" s="28">
        <v>20</v>
      </c>
      <c r="L2818" s="28">
        <v>0</v>
      </c>
    </row>
    <row r="2819" spans="1:12" ht="14.25" customHeight="1" x14ac:dyDescent="0.2">
      <c r="A2819" s="28">
        <v>2818</v>
      </c>
      <c r="B2819" s="28" t="s">
        <v>3786</v>
      </c>
      <c r="C2819" s="28" t="s">
        <v>3759</v>
      </c>
      <c r="D2819" s="28" t="s">
        <v>3736</v>
      </c>
      <c r="E2819" s="28" t="s">
        <v>211</v>
      </c>
      <c r="F2819" s="28" t="s">
        <v>348</v>
      </c>
      <c r="G2819" s="28" t="s">
        <v>3787</v>
      </c>
      <c r="H2819" s="28">
        <v>5277983</v>
      </c>
      <c r="I2819" s="28">
        <v>156656</v>
      </c>
      <c r="J2819" s="28">
        <v>0.99</v>
      </c>
      <c r="K2819" s="28">
        <v>71</v>
      </c>
      <c r="L2819" s="28">
        <v>0</v>
      </c>
    </row>
    <row r="2820" spans="1:12" ht="14.25" customHeight="1" x14ac:dyDescent="0.2">
      <c r="A2820" s="28">
        <v>2819</v>
      </c>
      <c r="B2820" s="28" t="s">
        <v>3788</v>
      </c>
      <c r="C2820" s="28" t="s">
        <v>3788</v>
      </c>
      <c r="D2820" s="28" t="s">
        <v>3789</v>
      </c>
      <c r="E2820" s="28" t="s">
        <v>3790</v>
      </c>
      <c r="F2820" s="28" t="s">
        <v>3791</v>
      </c>
      <c r="G2820" s="28"/>
      <c r="H2820" s="28">
        <v>490750393</v>
      </c>
      <c r="I2820" s="28">
        <v>2622250</v>
      </c>
      <c r="J2820" s="28">
        <v>1.99</v>
      </c>
      <c r="K2820" s="28">
        <v>19</v>
      </c>
      <c r="L2820" s="28">
        <v>0</v>
      </c>
    </row>
    <row r="2821" spans="1:12" ht="14.25" customHeight="1" x14ac:dyDescent="0.2">
      <c r="A2821" s="28">
        <v>2820</v>
      </c>
      <c r="B2821" s="28" t="s">
        <v>3792</v>
      </c>
      <c r="C2821" s="28" t="s">
        <v>3793</v>
      </c>
      <c r="D2821" s="28" t="s">
        <v>3789</v>
      </c>
      <c r="E2821" s="28" t="s">
        <v>3790</v>
      </c>
      <c r="F2821" s="28" t="s">
        <v>3794</v>
      </c>
      <c r="G2821" s="28"/>
      <c r="H2821" s="28">
        <v>1054423946</v>
      </c>
      <c r="I2821" s="28">
        <v>5286953</v>
      </c>
      <c r="J2821" s="28">
        <v>1.99</v>
      </c>
      <c r="K2821" s="28">
        <v>93</v>
      </c>
      <c r="L2821" s="28">
        <v>1</v>
      </c>
    </row>
    <row r="2822" spans="1:12" ht="14.25" customHeight="1" x14ac:dyDescent="0.2">
      <c r="A2822" s="28">
        <v>2821</v>
      </c>
      <c r="B2822" s="28" t="s">
        <v>3795</v>
      </c>
      <c r="C2822" s="28" t="s">
        <v>3793</v>
      </c>
      <c r="D2822" s="28" t="s">
        <v>3789</v>
      </c>
      <c r="E2822" s="28" t="s">
        <v>3790</v>
      </c>
      <c r="F2822" s="28" t="s">
        <v>3794</v>
      </c>
      <c r="G2822" s="28"/>
      <c r="H2822" s="28">
        <v>475079441</v>
      </c>
      <c r="I2822" s="28">
        <v>2621708</v>
      </c>
      <c r="J2822" s="28">
        <v>1.99</v>
      </c>
      <c r="K2822" s="28">
        <v>56</v>
      </c>
      <c r="L2822" s="28">
        <v>1</v>
      </c>
    </row>
    <row r="2823" spans="1:12" ht="14.25" customHeight="1" x14ac:dyDescent="0.2">
      <c r="A2823" s="28">
        <v>2822</v>
      </c>
      <c r="B2823" s="28" t="s">
        <v>3796</v>
      </c>
      <c r="C2823" s="28" t="s">
        <v>3793</v>
      </c>
      <c r="D2823" s="28" t="s">
        <v>3789</v>
      </c>
      <c r="E2823" s="28" t="s">
        <v>3790</v>
      </c>
      <c r="F2823" s="28" t="s">
        <v>3794</v>
      </c>
      <c r="G2823" s="28"/>
      <c r="H2823" s="28">
        <v>466820021</v>
      </c>
      <c r="I2823" s="28">
        <v>2618000</v>
      </c>
      <c r="J2823" s="28">
        <v>1.99</v>
      </c>
      <c r="K2823" s="28">
        <v>65</v>
      </c>
      <c r="L2823" s="28">
        <v>1</v>
      </c>
    </row>
    <row r="2824" spans="1:12" ht="14.25" customHeight="1" x14ac:dyDescent="0.2">
      <c r="A2824" s="28">
        <v>2823</v>
      </c>
      <c r="B2824" s="28" t="s">
        <v>3797</v>
      </c>
      <c r="C2824" s="28" t="s">
        <v>3793</v>
      </c>
      <c r="D2824" s="28" t="s">
        <v>3789</v>
      </c>
      <c r="E2824" s="28" t="s">
        <v>3790</v>
      </c>
      <c r="F2824" s="28" t="s">
        <v>3794</v>
      </c>
      <c r="G2824" s="28"/>
      <c r="H2824" s="28">
        <v>483484911</v>
      </c>
      <c r="I2824" s="28">
        <v>2626626</v>
      </c>
      <c r="J2824" s="28">
        <v>1.99</v>
      </c>
      <c r="K2824" s="28">
        <v>58</v>
      </c>
      <c r="L2824" s="28">
        <v>1</v>
      </c>
    </row>
    <row r="2825" spans="1:12" ht="14.25" customHeight="1" x14ac:dyDescent="0.2">
      <c r="A2825" s="28">
        <v>2824</v>
      </c>
      <c r="B2825" s="28" t="s">
        <v>3798</v>
      </c>
      <c r="C2825" s="28" t="s">
        <v>3793</v>
      </c>
      <c r="D2825" s="28" t="s">
        <v>3789</v>
      </c>
      <c r="E2825" s="28" t="s">
        <v>3790</v>
      </c>
      <c r="F2825" s="28" t="s">
        <v>3794</v>
      </c>
      <c r="G2825" s="28"/>
      <c r="H2825" s="28">
        <v>495262585</v>
      </c>
      <c r="I2825" s="28">
        <v>2631291</v>
      </c>
      <c r="J2825" s="28">
        <v>1.99</v>
      </c>
      <c r="K2825" s="28">
        <v>42</v>
      </c>
      <c r="L2825" s="28">
        <v>0</v>
      </c>
    </row>
    <row r="2826" spans="1:12" ht="14.25" customHeight="1" x14ac:dyDescent="0.2">
      <c r="A2826" s="28">
        <v>2825</v>
      </c>
      <c r="B2826" s="28" t="s">
        <v>3799</v>
      </c>
      <c r="C2826" s="28" t="s">
        <v>3793</v>
      </c>
      <c r="D2826" s="28" t="s">
        <v>3789</v>
      </c>
      <c r="E2826" s="28" t="s">
        <v>3790</v>
      </c>
      <c r="F2826" s="28" t="s">
        <v>3791</v>
      </c>
      <c r="G2826" s="28"/>
      <c r="H2826" s="28">
        <v>489715554</v>
      </c>
      <c r="I2826" s="28">
        <v>2563938</v>
      </c>
      <c r="J2826" s="28">
        <v>1.99</v>
      </c>
      <c r="K2826" s="28">
        <v>25</v>
      </c>
      <c r="L2826" s="28">
        <v>0</v>
      </c>
    </row>
    <row r="2827" spans="1:12" ht="14.25" customHeight="1" x14ac:dyDescent="0.2">
      <c r="A2827" s="28">
        <v>2826</v>
      </c>
      <c r="B2827" s="28" t="s">
        <v>3800</v>
      </c>
      <c r="C2827" s="28" t="s">
        <v>3793</v>
      </c>
      <c r="D2827" s="28" t="s">
        <v>3789</v>
      </c>
      <c r="E2827" s="28" t="s">
        <v>3790</v>
      </c>
      <c r="F2827" s="28" t="s">
        <v>3791</v>
      </c>
      <c r="G2827" s="28"/>
      <c r="H2827" s="28">
        <v>506896959</v>
      </c>
      <c r="I2827" s="28">
        <v>2713755</v>
      </c>
      <c r="J2827" s="28">
        <v>1.99</v>
      </c>
      <c r="K2827" s="28">
        <v>38</v>
      </c>
      <c r="L2827" s="28">
        <v>1</v>
      </c>
    </row>
    <row r="2828" spans="1:12" ht="14.25" customHeight="1" x14ac:dyDescent="0.2">
      <c r="A2828" s="28">
        <v>2827</v>
      </c>
      <c r="B2828" s="28" t="s">
        <v>3801</v>
      </c>
      <c r="C2828" s="28" t="s">
        <v>3793</v>
      </c>
      <c r="D2828" s="28" t="s">
        <v>3789</v>
      </c>
      <c r="E2828" s="28" t="s">
        <v>3790</v>
      </c>
      <c r="F2828" s="28" t="s">
        <v>3791</v>
      </c>
      <c r="G2828" s="28"/>
      <c r="H2828" s="28">
        <v>528499160</v>
      </c>
      <c r="I2828" s="28">
        <v>2622038</v>
      </c>
      <c r="J2828" s="28">
        <v>1.99</v>
      </c>
      <c r="K2828" s="28">
        <v>94</v>
      </c>
      <c r="L2828" s="28">
        <v>1</v>
      </c>
    </row>
    <row r="2829" spans="1:12" ht="14.25" customHeight="1" x14ac:dyDescent="0.2">
      <c r="A2829" s="28">
        <v>2828</v>
      </c>
      <c r="B2829" s="28" t="s">
        <v>3802</v>
      </c>
      <c r="C2829" s="28" t="s">
        <v>3793</v>
      </c>
      <c r="D2829" s="28" t="s">
        <v>3789</v>
      </c>
      <c r="E2829" s="28" t="s">
        <v>3790</v>
      </c>
      <c r="F2829" s="28" t="s">
        <v>3791</v>
      </c>
      <c r="G2829" s="28"/>
      <c r="H2829" s="28">
        <v>490375760</v>
      </c>
      <c r="I2829" s="28">
        <v>2623875</v>
      </c>
      <c r="J2829" s="28">
        <v>1.99</v>
      </c>
      <c r="K2829" s="28">
        <v>86</v>
      </c>
      <c r="L2829" s="28">
        <v>1</v>
      </c>
    </row>
    <row r="2830" spans="1:12" ht="14.25" customHeight="1" x14ac:dyDescent="0.2">
      <c r="A2830" s="28">
        <v>2829</v>
      </c>
      <c r="B2830" s="28" t="s">
        <v>3803</v>
      </c>
      <c r="C2830" s="28" t="s">
        <v>3793</v>
      </c>
      <c r="D2830" s="28" t="s">
        <v>3789</v>
      </c>
      <c r="E2830" s="28" t="s">
        <v>3790</v>
      </c>
      <c r="F2830" s="28" t="s">
        <v>3791</v>
      </c>
      <c r="G2830" s="28"/>
      <c r="H2830" s="28">
        <v>517909587</v>
      </c>
      <c r="I2830" s="28">
        <v>2618750</v>
      </c>
      <c r="J2830" s="28">
        <v>1.99</v>
      </c>
      <c r="K2830" s="28">
        <v>14</v>
      </c>
      <c r="L2830" s="28">
        <v>0</v>
      </c>
    </row>
    <row r="2831" spans="1:12" ht="14.25" customHeight="1" x14ac:dyDescent="0.2">
      <c r="A2831" s="28">
        <v>2830</v>
      </c>
      <c r="B2831" s="28" t="s">
        <v>3804</v>
      </c>
      <c r="C2831" s="28" t="s">
        <v>3793</v>
      </c>
      <c r="D2831" s="28" t="s">
        <v>3789</v>
      </c>
      <c r="E2831" s="28" t="s">
        <v>3790</v>
      </c>
      <c r="F2831" s="28" t="s">
        <v>3791</v>
      </c>
      <c r="G2831" s="28"/>
      <c r="H2831" s="28">
        <v>508406153</v>
      </c>
      <c r="I2831" s="28">
        <v>2624541</v>
      </c>
      <c r="J2831" s="28">
        <v>1.99</v>
      </c>
      <c r="K2831" s="28">
        <v>62</v>
      </c>
      <c r="L2831" s="28">
        <v>0</v>
      </c>
    </row>
    <row r="2832" spans="1:12" ht="14.25" customHeight="1" x14ac:dyDescent="0.2">
      <c r="A2832" s="28">
        <v>2831</v>
      </c>
      <c r="B2832" s="28" t="s">
        <v>3805</v>
      </c>
      <c r="C2832" s="28" t="s">
        <v>3793</v>
      </c>
      <c r="D2832" s="28" t="s">
        <v>3789</v>
      </c>
      <c r="E2832" s="28" t="s">
        <v>3790</v>
      </c>
      <c r="F2832" s="28" t="s">
        <v>3791</v>
      </c>
      <c r="G2832" s="28"/>
      <c r="H2832" s="28">
        <v>492700163</v>
      </c>
      <c r="I2832" s="28">
        <v>2624207</v>
      </c>
      <c r="J2832" s="28">
        <v>1.99</v>
      </c>
      <c r="K2832" s="28">
        <v>67</v>
      </c>
      <c r="L2832" s="28">
        <v>0</v>
      </c>
    </row>
    <row r="2833" spans="1:12" ht="14.25" customHeight="1" x14ac:dyDescent="0.2">
      <c r="A2833" s="28">
        <v>2832</v>
      </c>
      <c r="B2833" s="28" t="s">
        <v>3806</v>
      </c>
      <c r="C2833" s="28" t="s">
        <v>3793</v>
      </c>
      <c r="D2833" s="28" t="s">
        <v>3789</v>
      </c>
      <c r="E2833" s="28" t="s">
        <v>3790</v>
      </c>
      <c r="F2833" s="28" t="s">
        <v>3791</v>
      </c>
      <c r="G2833" s="28"/>
      <c r="H2833" s="28">
        <v>552893447</v>
      </c>
      <c r="I2833" s="28">
        <v>2626376</v>
      </c>
      <c r="J2833" s="28">
        <v>1.99</v>
      </c>
      <c r="K2833" s="28">
        <v>47</v>
      </c>
      <c r="L2833" s="28">
        <v>2</v>
      </c>
    </row>
    <row r="2834" spans="1:12" ht="14.25" customHeight="1" x14ac:dyDescent="0.2">
      <c r="A2834" s="28">
        <v>2833</v>
      </c>
      <c r="B2834" s="28" t="s">
        <v>3807</v>
      </c>
      <c r="C2834" s="28" t="s">
        <v>3793</v>
      </c>
      <c r="D2834" s="28" t="s">
        <v>3789</v>
      </c>
      <c r="E2834" s="28" t="s">
        <v>3790</v>
      </c>
      <c r="F2834" s="28" t="s">
        <v>3791</v>
      </c>
      <c r="G2834" s="28"/>
      <c r="H2834" s="28">
        <v>462818231</v>
      </c>
      <c r="I2834" s="28">
        <v>2620245</v>
      </c>
      <c r="J2834" s="28">
        <v>1.99</v>
      </c>
      <c r="K2834" s="28">
        <v>52</v>
      </c>
      <c r="L2834" s="28">
        <v>1</v>
      </c>
    </row>
    <row r="2835" spans="1:12" ht="14.25" customHeight="1" x14ac:dyDescent="0.2">
      <c r="A2835" s="28">
        <v>2834</v>
      </c>
      <c r="B2835" s="28" t="s">
        <v>3808</v>
      </c>
      <c r="C2835" s="28" t="s">
        <v>3793</v>
      </c>
      <c r="D2835" s="28" t="s">
        <v>3789</v>
      </c>
      <c r="E2835" s="28" t="s">
        <v>3790</v>
      </c>
      <c r="F2835" s="28" t="s">
        <v>3791</v>
      </c>
      <c r="G2835" s="28"/>
      <c r="H2835" s="28">
        <v>537648614</v>
      </c>
      <c r="I2835" s="28">
        <v>2627961</v>
      </c>
      <c r="J2835" s="28">
        <v>1.99</v>
      </c>
      <c r="K2835" s="28">
        <v>72</v>
      </c>
      <c r="L2835" s="28">
        <v>0</v>
      </c>
    </row>
    <row r="2836" spans="1:12" ht="14.25" customHeight="1" x14ac:dyDescent="0.2">
      <c r="A2836" s="28">
        <v>2835</v>
      </c>
      <c r="B2836" s="28" t="s">
        <v>3809</v>
      </c>
      <c r="C2836" s="28" t="s">
        <v>3793</v>
      </c>
      <c r="D2836" s="28" t="s">
        <v>3789</v>
      </c>
      <c r="E2836" s="28" t="s">
        <v>3790</v>
      </c>
      <c r="F2836" s="28" t="s">
        <v>3791</v>
      </c>
      <c r="G2836" s="28"/>
      <c r="H2836" s="28">
        <v>514154275</v>
      </c>
      <c r="I2836" s="28">
        <v>2622372</v>
      </c>
      <c r="J2836" s="28">
        <v>1.99</v>
      </c>
      <c r="K2836" s="28">
        <v>14</v>
      </c>
      <c r="L2836" s="28">
        <v>0</v>
      </c>
    </row>
    <row r="2837" spans="1:12" ht="14.25" customHeight="1" x14ac:dyDescent="0.2">
      <c r="A2837" s="28">
        <v>2836</v>
      </c>
      <c r="B2837" s="28" t="s">
        <v>3810</v>
      </c>
      <c r="C2837" s="28" t="s">
        <v>3793</v>
      </c>
      <c r="D2837" s="28" t="s">
        <v>3789</v>
      </c>
      <c r="E2837" s="28" t="s">
        <v>3790</v>
      </c>
      <c r="F2837" s="28" t="s">
        <v>3791</v>
      </c>
      <c r="G2837" s="28"/>
      <c r="H2837" s="28">
        <v>499258498</v>
      </c>
      <c r="I2837" s="28">
        <v>2621830</v>
      </c>
      <c r="J2837" s="28">
        <v>1.99</v>
      </c>
      <c r="K2837" s="28">
        <v>30</v>
      </c>
      <c r="L2837" s="28">
        <v>0</v>
      </c>
    </row>
    <row r="2838" spans="1:12" ht="14.25" customHeight="1" x14ac:dyDescent="0.2">
      <c r="A2838" s="28">
        <v>2837</v>
      </c>
      <c r="B2838" s="28" t="s">
        <v>3811</v>
      </c>
      <c r="C2838" s="28" t="s">
        <v>3793</v>
      </c>
      <c r="D2838" s="28" t="s">
        <v>3789</v>
      </c>
      <c r="E2838" s="28" t="s">
        <v>3790</v>
      </c>
      <c r="F2838" s="28" t="s">
        <v>3812</v>
      </c>
      <c r="G2838" s="28"/>
      <c r="H2838" s="28">
        <v>486233524</v>
      </c>
      <c r="I2838" s="28">
        <v>2622622</v>
      </c>
      <c r="J2838" s="28">
        <v>1.99</v>
      </c>
      <c r="K2838" s="28">
        <v>9</v>
      </c>
      <c r="L2838" s="28">
        <v>1</v>
      </c>
    </row>
    <row r="2839" spans="1:12" ht="14.25" customHeight="1" x14ac:dyDescent="0.2">
      <c r="A2839" s="28">
        <v>2838</v>
      </c>
      <c r="B2839" s="28" t="s">
        <v>3813</v>
      </c>
      <c r="C2839" s="28" t="s">
        <v>3793</v>
      </c>
      <c r="D2839" s="28" t="s">
        <v>3789</v>
      </c>
      <c r="E2839" s="28" t="s">
        <v>3790</v>
      </c>
      <c r="F2839" s="28" t="s">
        <v>3812</v>
      </c>
      <c r="G2839" s="28"/>
      <c r="H2839" s="28">
        <v>497335706</v>
      </c>
      <c r="I2839" s="28">
        <v>2869953</v>
      </c>
      <c r="J2839" s="28">
        <v>1.99</v>
      </c>
      <c r="K2839" s="28">
        <v>46</v>
      </c>
      <c r="L2839" s="28">
        <v>1</v>
      </c>
    </row>
    <row r="2840" spans="1:12" ht="14.25" customHeight="1" x14ac:dyDescent="0.2">
      <c r="A2840" s="28">
        <v>2839</v>
      </c>
      <c r="B2840" s="28" t="s">
        <v>3814</v>
      </c>
      <c r="C2840" s="28" t="s">
        <v>3815</v>
      </c>
      <c r="D2840" s="28" t="s">
        <v>3816</v>
      </c>
      <c r="E2840" s="28" t="s">
        <v>3790</v>
      </c>
      <c r="F2840" s="28" t="s">
        <v>3794</v>
      </c>
      <c r="G2840" s="28"/>
      <c r="H2840" s="28">
        <v>515671080</v>
      </c>
      <c r="I2840" s="28">
        <v>2611986</v>
      </c>
      <c r="J2840" s="28">
        <v>1.99</v>
      </c>
      <c r="K2840" s="28">
        <v>62</v>
      </c>
      <c r="L2840" s="28">
        <v>1</v>
      </c>
    </row>
    <row r="2841" spans="1:12" ht="14.25" customHeight="1" x14ac:dyDescent="0.2">
      <c r="A2841" s="28">
        <v>2840</v>
      </c>
      <c r="B2841" s="28" t="s">
        <v>3041</v>
      </c>
      <c r="C2841" s="28" t="s">
        <v>3815</v>
      </c>
      <c r="D2841" s="28" t="s">
        <v>3816</v>
      </c>
      <c r="E2841" s="28" t="s">
        <v>3790</v>
      </c>
      <c r="F2841" s="28" t="s">
        <v>3817</v>
      </c>
      <c r="G2841" s="28"/>
      <c r="H2841" s="28">
        <v>493628775</v>
      </c>
      <c r="I2841" s="28">
        <v>2571154</v>
      </c>
      <c r="J2841" s="28">
        <v>1.99</v>
      </c>
      <c r="K2841" s="28">
        <v>27</v>
      </c>
      <c r="L2841" s="28">
        <v>0</v>
      </c>
    </row>
    <row r="2842" spans="1:12" ht="14.25" customHeight="1" x14ac:dyDescent="0.2">
      <c r="A2842" s="28">
        <v>2841</v>
      </c>
      <c r="B2842" s="28" t="s">
        <v>3818</v>
      </c>
      <c r="C2842" s="28" t="s">
        <v>3815</v>
      </c>
      <c r="D2842" s="28" t="s">
        <v>3816</v>
      </c>
      <c r="E2842" s="28" t="s">
        <v>3790</v>
      </c>
      <c r="F2842" s="28" t="s">
        <v>3817</v>
      </c>
      <c r="G2842" s="28"/>
      <c r="H2842" s="28">
        <v>521616246</v>
      </c>
      <c r="I2842" s="28">
        <v>2607649</v>
      </c>
      <c r="J2842" s="28">
        <v>1.99</v>
      </c>
      <c r="K2842" s="28">
        <v>31</v>
      </c>
      <c r="L2842" s="28">
        <v>1</v>
      </c>
    </row>
    <row r="2843" spans="1:12" ht="14.25" customHeight="1" x14ac:dyDescent="0.2">
      <c r="A2843" s="28">
        <v>2842</v>
      </c>
      <c r="B2843" s="28" t="s">
        <v>1473</v>
      </c>
      <c r="C2843" s="28" t="s">
        <v>3815</v>
      </c>
      <c r="D2843" s="28" t="s">
        <v>3816</v>
      </c>
      <c r="E2843" s="28" t="s">
        <v>3790</v>
      </c>
      <c r="F2843" s="28" t="s">
        <v>3817</v>
      </c>
      <c r="G2843" s="28"/>
      <c r="H2843" s="28">
        <v>526182322</v>
      </c>
      <c r="I2843" s="28">
        <v>2605480</v>
      </c>
      <c r="J2843" s="28">
        <v>1.99</v>
      </c>
      <c r="K2843" s="28">
        <v>4</v>
      </c>
      <c r="L2843" s="28">
        <v>0</v>
      </c>
    </row>
    <row r="2844" spans="1:12" ht="14.25" customHeight="1" x14ac:dyDescent="0.2">
      <c r="A2844" s="28">
        <v>2843</v>
      </c>
      <c r="B2844" s="28" t="s">
        <v>3819</v>
      </c>
      <c r="C2844" s="28" t="s">
        <v>3815</v>
      </c>
      <c r="D2844" s="28" t="s">
        <v>3816</v>
      </c>
      <c r="E2844" s="28" t="s">
        <v>3790</v>
      </c>
      <c r="F2844" s="28" t="s">
        <v>3817</v>
      </c>
      <c r="G2844" s="28"/>
      <c r="H2844" s="28">
        <v>488835454</v>
      </c>
      <c r="I2844" s="28">
        <v>2533575</v>
      </c>
      <c r="J2844" s="28">
        <v>1.99</v>
      </c>
      <c r="K2844" s="28">
        <v>61</v>
      </c>
      <c r="L2844" s="28">
        <v>0</v>
      </c>
    </row>
    <row r="2845" spans="1:12" ht="14.25" customHeight="1" x14ac:dyDescent="0.2">
      <c r="A2845" s="28">
        <v>2844</v>
      </c>
      <c r="B2845" s="28" t="s">
        <v>3820</v>
      </c>
      <c r="C2845" s="28" t="s">
        <v>3815</v>
      </c>
      <c r="D2845" s="28" t="s">
        <v>3816</v>
      </c>
      <c r="E2845" s="28" t="s">
        <v>3790</v>
      </c>
      <c r="F2845" s="28" t="s">
        <v>3817</v>
      </c>
      <c r="G2845" s="28"/>
      <c r="H2845" s="28">
        <v>549353481</v>
      </c>
      <c r="I2845" s="28">
        <v>2573031</v>
      </c>
      <c r="J2845" s="28">
        <v>1.99</v>
      </c>
      <c r="K2845" s="28">
        <v>80</v>
      </c>
      <c r="L2845" s="28">
        <v>1</v>
      </c>
    </row>
    <row r="2846" spans="1:12" ht="14.25" customHeight="1" x14ac:dyDescent="0.2">
      <c r="A2846" s="28">
        <v>2845</v>
      </c>
      <c r="B2846" s="28" t="s">
        <v>3821</v>
      </c>
      <c r="C2846" s="28" t="s">
        <v>3815</v>
      </c>
      <c r="D2846" s="28" t="s">
        <v>3816</v>
      </c>
      <c r="E2846" s="28" t="s">
        <v>3790</v>
      </c>
      <c r="F2846" s="28" t="s">
        <v>3794</v>
      </c>
      <c r="G2846" s="28"/>
      <c r="H2846" s="28">
        <v>510058181</v>
      </c>
      <c r="I2846" s="28">
        <v>2605647</v>
      </c>
      <c r="J2846" s="28">
        <v>1.99</v>
      </c>
      <c r="K2846" s="28">
        <v>12</v>
      </c>
      <c r="L2846" s="28">
        <v>1</v>
      </c>
    </row>
    <row r="2847" spans="1:12" ht="14.25" customHeight="1" x14ac:dyDescent="0.2">
      <c r="A2847" s="28">
        <v>2846</v>
      </c>
      <c r="B2847" s="28" t="s">
        <v>3822</v>
      </c>
      <c r="C2847" s="28" t="s">
        <v>3815</v>
      </c>
      <c r="D2847" s="28" t="s">
        <v>3816</v>
      </c>
      <c r="E2847" s="28" t="s">
        <v>3790</v>
      </c>
      <c r="F2847" s="28" t="s">
        <v>3817</v>
      </c>
      <c r="G2847" s="28"/>
      <c r="H2847" s="28">
        <v>515590682</v>
      </c>
      <c r="I2847" s="28">
        <v>2613988</v>
      </c>
      <c r="J2847" s="28">
        <v>1.99</v>
      </c>
      <c r="K2847" s="28">
        <v>2</v>
      </c>
      <c r="L2847" s="28">
        <v>1</v>
      </c>
    </row>
    <row r="2848" spans="1:12" ht="14.25" customHeight="1" x14ac:dyDescent="0.2">
      <c r="A2848" s="28">
        <v>2847</v>
      </c>
      <c r="B2848" s="28" t="s">
        <v>3823</v>
      </c>
      <c r="C2848" s="28" t="s">
        <v>3815</v>
      </c>
      <c r="D2848" s="28" t="s">
        <v>3816</v>
      </c>
      <c r="E2848" s="28" t="s">
        <v>3790</v>
      </c>
      <c r="F2848" s="28" t="s">
        <v>3817</v>
      </c>
      <c r="G2848" s="28"/>
      <c r="H2848" s="28">
        <v>516015339</v>
      </c>
      <c r="I2848" s="28">
        <v>2601351</v>
      </c>
      <c r="J2848" s="28">
        <v>1.99</v>
      </c>
      <c r="K2848" s="28">
        <v>75</v>
      </c>
      <c r="L2848" s="28">
        <v>0</v>
      </c>
    </row>
    <row r="2849" spans="1:12" ht="14.25" customHeight="1" x14ac:dyDescent="0.2">
      <c r="A2849" s="28">
        <v>2848</v>
      </c>
      <c r="B2849" s="28" t="s">
        <v>3824</v>
      </c>
      <c r="C2849" s="28" t="s">
        <v>3815</v>
      </c>
      <c r="D2849" s="28" t="s">
        <v>3816</v>
      </c>
      <c r="E2849" s="28" t="s">
        <v>3790</v>
      </c>
      <c r="F2849" s="28" t="s">
        <v>3794</v>
      </c>
      <c r="G2849" s="28"/>
      <c r="H2849" s="28">
        <v>505133869</v>
      </c>
      <c r="I2849" s="28">
        <v>2602852</v>
      </c>
      <c r="J2849" s="28">
        <v>1.99</v>
      </c>
      <c r="K2849" s="28">
        <v>29</v>
      </c>
      <c r="L2849" s="28">
        <v>0</v>
      </c>
    </row>
    <row r="2850" spans="1:12" ht="14.25" customHeight="1" x14ac:dyDescent="0.2">
      <c r="A2850" s="28">
        <v>2849</v>
      </c>
      <c r="B2850" s="28" t="s">
        <v>3825</v>
      </c>
      <c r="C2850" s="28" t="s">
        <v>3815</v>
      </c>
      <c r="D2850" s="28" t="s">
        <v>3816</v>
      </c>
      <c r="E2850" s="28" t="s">
        <v>3790</v>
      </c>
      <c r="F2850" s="28" t="s">
        <v>3817</v>
      </c>
      <c r="G2850" s="28"/>
      <c r="H2850" s="28">
        <v>501145440</v>
      </c>
      <c r="I2850" s="28">
        <v>2594761</v>
      </c>
      <c r="J2850" s="28">
        <v>1.99</v>
      </c>
      <c r="K2850" s="28">
        <v>10</v>
      </c>
      <c r="L2850" s="28">
        <v>0</v>
      </c>
    </row>
    <row r="2851" spans="1:12" ht="14.25" customHeight="1" x14ac:dyDescent="0.2">
      <c r="A2851" s="28">
        <v>2850</v>
      </c>
      <c r="B2851" s="28" t="s">
        <v>3826</v>
      </c>
      <c r="C2851" s="28" t="s">
        <v>3815</v>
      </c>
      <c r="D2851" s="28" t="s">
        <v>3816</v>
      </c>
      <c r="E2851" s="28" t="s">
        <v>3790</v>
      </c>
      <c r="F2851" s="28" t="s">
        <v>3817</v>
      </c>
      <c r="G2851" s="28"/>
      <c r="H2851" s="28">
        <v>507026323</v>
      </c>
      <c r="I2851" s="28">
        <v>2600266</v>
      </c>
      <c r="J2851" s="28">
        <v>1.99</v>
      </c>
      <c r="K2851" s="28">
        <v>51</v>
      </c>
      <c r="L2851" s="28">
        <v>2</v>
      </c>
    </row>
    <row r="2852" spans="1:12" ht="14.25" customHeight="1" x14ac:dyDescent="0.2">
      <c r="A2852" s="28">
        <v>2851</v>
      </c>
      <c r="B2852" s="28" t="s">
        <v>3827</v>
      </c>
      <c r="C2852" s="28" t="s">
        <v>3815</v>
      </c>
      <c r="D2852" s="28" t="s">
        <v>3816</v>
      </c>
      <c r="E2852" s="28" t="s">
        <v>3790</v>
      </c>
      <c r="F2852" s="28" t="s">
        <v>3817</v>
      </c>
      <c r="G2852" s="28"/>
      <c r="H2852" s="28">
        <v>537111289</v>
      </c>
      <c r="I2852" s="28">
        <v>2590382</v>
      </c>
      <c r="J2852" s="28">
        <v>1.99</v>
      </c>
      <c r="K2852" s="28">
        <v>68</v>
      </c>
      <c r="L2852" s="28">
        <v>1</v>
      </c>
    </row>
    <row r="2853" spans="1:12" ht="14.25" customHeight="1" x14ac:dyDescent="0.2">
      <c r="A2853" s="28">
        <v>2852</v>
      </c>
      <c r="B2853" s="28" t="s">
        <v>3828</v>
      </c>
      <c r="C2853" s="28" t="s">
        <v>3815</v>
      </c>
      <c r="D2853" s="28" t="s">
        <v>3816</v>
      </c>
      <c r="E2853" s="28" t="s">
        <v>3790</v>
      </c>
      <c r="F2853" s="28" t="s">
        <v>3817</v>
      </c>
      <c r="G2853" s="28"/>
      <c r="H2853" s="28">
        <v>542936677</v>
      </c>
      <c r="I2853" s="28">
        <v>2602602</v>
      </c>
      <c r="J2853" s="28">
        <v>1.99</v>
      </c>
      <c r="K2853" s="28">
        <v>32</v>
      </c>
      <c r="L2853" s="28">
        <v>0</v>
      </c>
    </row>
    <row r="2854" spans="1:12" ht="14.25" customHeight="1" x14ac:dyDescent="0.2">
      <c r="A2854" s="28">
        <v>2853</v>
      </c>
      <c r="B2854" s="28" t="s">
        <v>3829</v>
      </c>
      <c r="C2854" s="28" t="s">
        <v>3815</v>
      </c>
      <c r="D2854" s="28" t="s">
        <v>3816</v>
      </c>
      <c r="E2854" s="28" t="s">
        <v>3790</v>
      </c>
      <c r="F2854" s="28" t="s">
        <v>3817</v>
      </c>
      <c r="G2854" s="28"/>
      <c r="H2854" s="28">
        <v>511777758</v>
      </c>
      <c r="I2854" s="28">
        <v>2598139</v>
      </c>
      <c r="J2854" s="28">
        <v>1.99</v>
      </c>
      <c r="K2854" s="28">
        <v>56</v>
      </c>
      <c r="L2854" s="28">
        <v>0</v>
      </c>
    </row>
    <row r="2855" spans="1:12" ht="14.25" customHeight="1" x14ac:dyDescent="0.2">
      <c r="A2855" s="28">
        <v>2854</v>
      </c>
      <c r="B2855" s="28" t="s">
        <v>3830</v>
      </c>
      <c r="C2855" s="28" t="s">
        <v>3815</v>
      </c>
      <c r="D2855" s="28" t="s">
        <v>3816</v>
      </c>
      <c r="E2855" s="28" t="s">
        <v>3790</v>
      </c>
      <c r="F2855" s="28" t="s">
        <v>3817</v>
      </c>
      <c r="G2855" s="28"/>
      <c r="H2855" s="28">
        <v>493168135</v>
      </c>
      <c r="I2855" s="28">
        <v>2601226</v>
      </c>
      <c r="J2855" s="28">
        <v>1.99</v>
      </c>
      <c r="K2855" s="28">
        <v>4</v>
      </c>
      <c r="L2855" s="28">
        <v>0</v>
      </c>
    </row>
    <row r="2856" spans="1:12" ht="14.25" customHeight="1" x14ac:dyDescent="0.2">
      <c r="A2856" s="28">
        <v>2855</v>
      </c>
      <c r="B2856" s="28" t="s">
        <v>3830</v>
      </c>
      <c r="C2856" s="28" t="s">
        <v>3815</v>
      </c>
      <c r="D2856" s="28" t="s">
        <v>3816</v>
      </c>
      <c r="E2856" s="28" t="s">
        <v>3790</v>
      </c>
      <c r="F2856" s="28" t="s">
        <v>3817</v>
      </c>
      <c r="G2856" s="28"/>
      <c r="H2856" s="28">
        <v>503786316</v>
      </c>
      <c r="I2856" s="28">
        <v>2601101</v>
      </c>
      <c r="J2856" s="28">
        <v>1.99</v>
      </c>
      <c r="K2856" s="28">
        <v>48</v>
      </c>
      <c r="L2856" s="28">
        <v>1</v>
      </c>
    </row>
    <row r="2857" spans="1:12" ht="14.25" customHeight="1" x14ac:dyDescent="0.2">
      <c r="A2857" s="28">
        <v>2856</v>
      </c>
      <c r="B2857" s="28" t="s">
        <v>3831</v>
      </c>
      <c r="C2857" s="28" t="s">
        <v>3815</v>
      </c>
      <c r="D2857" s="28" t="s">
        <v>3816</v>
      </c>
      <c r="E2857" s="28" t="s">
        <v>3790</v>
      </c>
      <c r="F2857" s="28" t="s">
        <v>3817</v>
      </c>
      <c r="G2857" s="28"/>
      <c r="H2857" s="28">
        <v>487461520</v>
      </c>
      <c r="I2857" s="28">
        <v>2602727</v>
      </c>
      <c r="J2857" s="28">
        <v>1.99</v>
      </c>
      <c r="K2857" s="28">
        <v>58</v>
      </c>
      <c r="L2857" s="28">
        <v>1</v>
      </c>
    </row>
    <row r="2858" spans="1:12" ht="14.25" customHeight="1" x14ac:dyDescent="0.2">
      <c r="A2858" s="28">
        <v>2857</v>
      </c>
      <c r="B2858" s="28" t="s">
        <v>3832</v>
      </c>
      <c r="C2858" s="28" t="s">
        <v>3833</v>
      </c>
      <c r="D2858" s="28" t="s">
        <v>3834</v>
      </c>
      <c r="E2858" s="28" t="s">
        <v>3790</v>
      </c>
      <c r="F2858" s="28" t="s">
        <v>3794</v>
      </c>
      <c r="G2858" s="28"/>
      <c r="H2858" s="28">
        <v>513691652</v>
      </c>
      <c r="I2858" s="28">
        <v>2636970</v>
      </c>
      <c r="J2858" s="28">
        <v>1.99</v>
      </c>
      <c r="K2858" s="28">
        <v>32</v>
      </c>
      <c r="L2858" s="28">
        <v>0</v>
      </c>
    </row>
    <row r="2859" spans="1:12" ht="14.25" customHeight="1" x14ac:dyDescent="0.2">
      <c r="A2859" s="28">
        <v>2858</v>
      </c>
      <c r="B2859" s="28" t="s">
        <v>3835</v>
      </c>
      <c r="C2859" s="28" t="s">
        <v>3836</v>
      </c>
      <c r="D2859" s="28" t="s">
        <v>3834</v>
      </c>
      <c r="E2859" s="28" t="s">
        <v>3790</v>
      </c>
      <c r="F2859" s="28" t="s">
        <v>3794</v>
      </c>
      <c r="G2859" s="28"/>
      <c r="H2859" s="28">
        <v>217124866</v>
      </c>
      <c r="I2859" s="28">
        <v>2548875</v>
      </c>
      <c r="J2859" s="28">
        <v>1.99</v>
      </c>
      <c r="K2859" s="28">
        <v>61</v>
      </c>
      <c r="L2859" s="28">
        <v>0</v>
      </c>
    </row>
    <row r="2860" spans="1:12" ht="14.25" customHeight="1" x14ac:dyDescent="0.2">
      <c r="A2860" s="28">
        <v>2859</v>
      </c>
      <c r="B2860" s="28" t="s">
        <v>3837</v>
      </c>
      <c r="C2860" s="28" t="s">
        <v>3838</v>
      </c>
      <c r="D2860" s="28" t="s">
        <v>3834</v>
      </c>
      <c r="E2860" s="28" t="s">
        <v>3790</v>
      </c>
      <c r="F2860" s="28" t="s">
        <v>3794</v>
      </c>
      <c r="G2860" s="28"/>
      <c r="H2860" s="28">
        <v>543342028</v>
      </c>
      <c r="I2860" s="28">
        <v>2612250</v>
      </c>
      <c r="J2860" s="28">
        <v>1.99</v>
      </c>
      <c r="K2860" s="28">
        <v>81</v>
      </c>
      <c r="L2860" s="28">
        <v>1</v>
      </c>
    </row>
    <row r="2861" spans="1:12" ht="14.25" customHeight="1" x14ac:dyDescent="0.2">
      <c r="A2861" s="28">
        <v>2860</v>
      </c>
      <c r="B2861" s="28" t="s">
        <v>3839</v>
      </c>
      <c r="C2861" s="28" t="s">
        <v>3838</v>
      </c>
      <c r="D2861" s="28" t="s">
        <v>3834</v>
      </c>
      <c r="E2861" s="28" t="s">
        <v>3790</v>
      </c>
      <c r="F2861" s="28" t="s">
        <v>3794</v>
      </c>
      <c r="G2861" s="28"/>
      <c r="H2861" s="28">
        <v>502663995</v>
      </c>
      <c r="I2861" s="28">
        <v>2564958</v>
      </c>
      <c r="J2861" s="28">
        <v>1.99</v>
      </c>
      <c r="K2861" s="28">
        <v>63</v>
      </c>
      <c r="L2861" s="28">
        <v>1</v>
      </c>
    </row>
    <row r="2862" spans="1:12" ht="14.25" customHeight="1" x14ac:dyDescent="0.2">
      <c r="A2862" s="28">
        <v>2861</v>
      </c>
      <c r="B2862" s="28" t="s">
        <v>3840</v>
      </c>
      <c r="C2862" s="28" t="s">
        <v>3836</v>
      </c>
      <c r="D2862" s="28" t="s">
        <v>3834</v>
      </c>
      <c r="E2862" s="28" t="s">
        <v>3790</v>
      </c>
      <c r="F2862" s="28" t="s">
        <v>3794</v>
      </c>
      <c r="G2862" s="28"/>
      <c r="H2862" s="28">
        <v>204995876</v>
      </c>
      <c r="I2862" s="28">
        <v>2436583</v>
      </c>
      <c r="J2862" s="28">
        <v>1.99</v>
      </c>
      <c r="K2862" s="28">
        <v>90</v>
      </c>
      <c r="L2862" s="28">
        <v>0</v>
      </c>
    </row>
    <row r="2863" spans="1:12" ht="14.25" customHeight="1" x14ac:dyDescent="0.2">
      <c r="A2863" s="28">
        <v>2862</v>
      </c>
      <c r="B2863" s="28" t="s">
        <v>3841</v>
      </c>
      <c r="C2863" s="28" t="s">
        <v>3833</v>
      </c>
      <c r="D2863" s="28" t="s">
        <v>3834</v>
      </c>
      <c r="E2863" s="28" t="s">
        <v>3790</v>
      </c>
      <c r="F2863" s="28" t="s">
        <v>3817</v>
      </c>
      <c r="G2863" s="28"/>
      <c r="H2863" s="28">
        <v>535729216</v>
      </c>
      <c r="I2863" s="28">
        <v>2637458</v>
      </c>
      <c r="J2863" s="28">
        <v>1.99</v>
      </c>
      <c r="K2863" s="28">
        <v>11</v>
      </c>
      <c r="L2863" s="28">
        <v>1</v>
      </c>
    </row>
    <row r="2864" spans="1:12" ht="14.25" customHeight="1" x14ac:dyDescent="0.2">
      <c r="A2864" s="28">
        <v>2863</v>
      </c>
      <c r="B2864" s="28" t="s">
        <v>3842</v>
      </c>
      <c r="C2864" s="28" t="s">
        <v>3833</v>
      </c>
      <c r="D2864" s="28" t="s">
        <v>3834</v>
      </c>
      <c r="E2864" s="28" t="s">
        <v>3790</v>
      </c>
      <c r="F2864" s="28" t="s">
        <v>3794</v>
      </c>
      <c r="G2864" s="28"/>
      <c r="H2864" s="28">
        <v>502041019</v>
      </c>
      <c r="I2864" s="28">
        <v>2563980</v>
      </c>
      <c r="J2864" s="28">
        <v>1.99</v>
      </c>
      <c r="K2864" s="28">
        <v>80</v>
      </c>
      <c r="L2864" s="28">
        <v>0</v>
      </c>
    </row>
    <row r="2865" spans="1:12" ht="14.25" customHeight="1" x14ac:dyDescent="0.2">
      <c r="A2865" s="28">
        <v>2864</v>
      </c>
      <c r="B2865" s="28" t="s">
        <v>3843</v>
      </c>
      <c r="C2865" s="28" t="s">
        <v>3838</v>
      </c>
      <c r="D2865" s="28" t="s">
        <v>3834</v>
      </c>
      <c r="E2865" s="28" t="s">
        <v>3790</v>
      </c>
      <c r="F2865" s="28" t="s">
        <v>3794</v>
      </c>
      <c r="G2865" s="28"/>
      <c r="H2865" s="28">
        <v>500600434</v>
      </c>
      <c r="I2865" s="28">
        <v>2609083</v>
      </c>
      <c r="J2865" s="28">
        <v>1.99</v>
      </c>
      <c r="K2865" s="28">
        <v>25</v>
      </c>
      <c r="L2865" s="28">
        <v>1</v>
      </c>
    </row>
    <row r="2866" spans="1:12" ht="14.25" customHeight="1" x14ac:dyDescent="0.2">
      <c r="A2866" s="28">
        <v>2865</v>
      </c>
      <c r="B2866" s="28" t="s">
        <v>3844</v>
      </c>
      <c r="C2866" s="28" t="s">
        <v>3836</v>
      </c>
      <c r="D2866" s="28" t="s">
        <v>3834</v>
      </c>
      <c r="E2866" s="28" t="s">
        <v>3790</v>
      </c>
      <c r="F2866" s="28" t="s">
        <v>3794</v>
      </c>
      <c r="G2866" s="28"/>
      <c r="H2866" s="28">
        <v>210526410</v>
      </c>
      <c r="I2866" s="28">
        <v>2627105</v>
      </c>
      <c r="J2866" s="28">
        <v>1.99</v>
      </c>
      <c r="K2866" s="28">
        <v>70</v>
      </c>
      <c r="L2866" s="28">
        <v>0</v>
      </c>
    </row>
    <row r="2867" spans="1:12" ht="14.25" customHeight="1" x14ac:dyDescent="0.2">
      <c r="A2867" s="28">
        <v>2866</v>
      </c>
      <c r="B2867" s="28" t="s">
        <v>3845</v>
      </c>
      <c r="C2867" s="28" t="s">
        <v>3833</v>
      </c>
      <c r="D2867" s="28" t="s">
        <v>3834</v>
      </c>
      <c r="E2867" s="28" t="s">
        <v>3790</v>
      </c>
      <c r="F2867" s="28" t="s">
        <v>3817</v>
      </c>
      <c r="G2867" s="28"/>
      <c r="H2867" s="28">
        <v>513803546</v>
      </c>
      <c r="I2867" s="28">
        <v>2637387</v>
      </c>
      <c r="J2867" s="28">
        <v>1.99</v>
      </c>
      <c r="K2867" s="28">
        <v>78</v>
      </c>
      <c r="L2867" s="28">
        <v>0</v>
      </c>
    </row>
    <row r="2868" spans="1:12" ht="14.25" customHeight="1" x14ac:dyDescent="0.2">
      <c r="A2868" s="28">
        <v>2867</v>
      </c>
      <c r="B2868" s="28" t="s">
        <v>3846</v>
      </c>
      <c r="C2868" s="28" t="s">
        <v>3838</v>
      </c>
      <c r="D2868" s="28" t="s">
        <v>3834</v>
      </c>
      <c r="E2868" s="28" t="s">
        <v>3790</v>
      </c>
      <c r="F2868" s="28" t="s">
        <v>3794</v>
      </c>
      <c r="G2868" s="28"/>
      <c r="H2868" s="28">
        <v>498163145</v>
      </c>
      <c r="I2868" s="28">
        <v>2609192</v>
      </c>
      <c r="J2868" s="28">
        <v>1.99</v>
      </c>
      <c r="K2868" s="28">
        <v>32</v>
      </c>
      <c r="L2868" s="28">
        <v>0</v>
      </c>
    </row>
    <row r="2869" spans="1:12" ht="14.25" customHeight="1" x14ac:dyDescent="0.2">
      <c r="A2869" s="28">
        <v>2868</v>
      </c>
      <c r="B2869" s="28" t="s">
        <v>3847</v>
      </c>
      <c r="C2869" s="28" t="s">
        <v>3836</v>
      </c>
      <c r="D2869" s="28" t="s">
        <v>3834</v>
      </c>
      <c r="E2869" s="28" t="s">
        <v>3790</v>
      </c>
      <c r="F2869" s="28" t="s">
        <v>3794</v>
      </c>
      <c r="G2869" s="28"/>
      <c r="H2869" s="28">
        <v>207748198</v>
      </c>
      <c r="I2869" s="28">
        <v>2587370</v>
      </c>
      <c r="J2869" s="28">
        <v>1.99</v>
      </c>
      <c r="K2869" s="28">
        <v>97</v>
      </c>
      <c r="L2869" s="28">
        <v>2</v>
      </c>
    </row>
    <row r="2870" spans="1:12" ht="14.25" customHeight="1" x14ac:dyDescent="0.2">
      <c r="A2870" s="28">
        <v>2869</v>
      </c>
      <c r="B2870" s="28" t="s">
        <v>3848</v>
      </c>
      <c r="C2870" s="28" t="s">
        <v>3838</v>
      </c>
      <c r="D2870" s="28" t="s">
        <v>3834</v>
      </c>
      <c r="E2870" s="28" t="s">
        <v>3790</v>
      </c>
      <c r="F2870" s="28" t="s">
        <v>3794</v>
      </c>
      <c r="G2870" s="28"/>
      <c r="H2870" s="28">
        <v>500330548</v>
      </c>
      <c r="I2870" s="28">
        <v>2563833</v>
      </c>
      <c r="J2870" s="28">
        <v>1.99</v>
      </c>
      <c r="K2870" s="28">
        <v>45</v>
      </c>
      <c r="L2870" s="28">
        <v>1</v>
      </c>
    </row>
    <row r="2871" spans="1:12" ht="14.25" customHeight="1" x14ac:dyDescent="0.2">
      <c r="A2871" s="28">
        <v>2870</v>
      </c>
      <c r="B2871" s="28" t="s">
        <v>3849</v>
      </c>
      <c r="C2871" s="28" t="s">
        <v>3833</v>
      </c>
      <c r="D2871" s="28" t="s">
        <v>3834</v>
      </c>
      <c r="E2871" s="28" t="s">
        <v>3790</v>
      </c>
      <c r="F2871" s="28" t="s">
        <v>3794</v>
      </c>
      <c r="G2871" s="28"/>
      <c r="H2871" s="28">
        <v>505647192</v>
      </c>
      <c r="I2871" s="28">
        <v>2637500</v>
      </c>
      <c r="J2871" s="28">
        <v>1.99</v>
      </c>
      <c r="K2871" s="28">
        <v>91</v>
      </c>
      <c r="L2871" s="28">
        <v>0</v>
      </c>
    </row>
    <row r="2872" spans="1:12" ht="14.25" customHeight="1" x14ac:dyDescent="0.2">
      <c r="A2872" s="28">
        <v>2871</v>
      </c>
      <c r="B2872" s="28" t="s">
        <v>3850</v>
      </c>
      <c r="C2872" s="28" t="s">
        <v>3836</v>
      </c>
      <c r="D2872" s="28" t="s">
        <v>3834</v>
      </c>
      <c r="E2872" s="28" t="s">
        <v>3790</v>
      </c>
      <c r="F2872" s="28" t="s">
        <v>3794</v>
      </c>
      <c r="G2872" s="28"/>
      <c r="H2872" s="28">
        <v>201654606</v>
      </c>
      <c r="I2872" s="28">
        <v>2571965</v>
      </c>
      <c r="J2872" s="28">
        <v>1.99</v>
      </c>
      <c r="K2872" s="28">
        <v>66</v>
      </c>
      <c r="L2872" s="28">
        <v>0</v>
      </c>
    </row>
    <row r="2873" spans="1:12" ht="14.25" customHeight="1" x14ac:dyDescent="0.2">
      <c r="A2873" s="28">
        <v>2872</v>
      </c>
      <c r="B2873" s="28" t="s">
        <v>3851</v>
      </c>
      <c r="C2873" s="28" t="s">
        <v>3838</v>
      </c>
      <c r="D2873" s="28" t="s">
        <v>3834</v>
      </c>
      <c r="E2873" s="28" t="s">
        <v>3790</v>
      </c>
      <c r="F2873" s="28" t="s">
        <v>3794</v>
      </c>
      <c r="G2873" s="28"/>
      <c r="H2873" s="28">
        <v>537348711</v>
      </c>
      <c r="I2873" s="28">
        <v>2587041</v>
      </c>
      <c r="J2873" s="28">
        <v>1.99</v>
      </c>
      <c r="K2873" s="28">
        <v>73</v>
      </c>
      <c r="L2873" s="28">
        <v>0</v>
      </c>
    </row>
    <row r="2874" spans="1:12" ht="14.25" customHeight="1" x14ac:dyDescent="0.2">
      <c r="A2874" s="28">
        <v>2873</v>
      </c>
      <c r="B2874" s="28" t="s">
        <v>3852</v>
      </c>
      <c r="C2874" s="28" t="s">
        <v>3836</v>
      </c>
      <c r="D2874" s="28" t="s">
        <v>3834</v>
      </c>
      <c r="E2874" s="28" t="s">
        <v>3790</v>
      </c>
      <c r="F2874" s="28" t="s">
        <v>3794</v>
      </c>
      <c r="G2874" s="28"/>
      <c r="H2874" s="28">
        <v>210379525</v>
      </c>
      <c r="I2874" s="28">
        <v>2590032</v>
      </c>
      <c r="J2874" s="28">
        <v>1.99</v>
      </c>
      <c r="K2874" s="28">
        <v>39</v>
      </c>
      <c r="L2874" s="28">
        <v>1</v>
      </c>
    </row>
    <row r="2875" spans="1:12" ht="14.25" customHeight="1" x14ac:dyDescent="0.2">
      <c r="A2875" s="28">
        <v>2874</v>
      </c>
      <c r="B2875" s="28" t="s">
        <v>3853</v>
      </c>
      <c r="C2875" s="28" t="s">
        <v>3833</v>
      </c>
      <c r="D2875" s="28" t="s">
        <v>3834</v>
      </c>
      <c r="E2875" s="28" t="s">
        <v>3790</v>
      </c>
      <c r="F2875" s="28" t="s">
        <v>3794</v>
      </c>
      <c r="G2875" s="28"/>
      <c r="H2875" s="28">
        <v>504676825</v>
      </c>
      <c r="I2875" s="28">
        <v>2627791</v>
      </c>
      <c r="J2875" s="28">
        <v>1.99</v>
      </c>
      <c r="K2875" s="28">
        <v>44</v>
      </c>
      <c r="L2875" s="28">
        <v>1</v>
      </c>
    </row>
    <row r="2876" spans="1:12" ht="14.25" customHeight="1" x14ac:dyDescent="0.2">
      <c r="A2876" s="28">
        <v>2875</v>
      </c>
      <c r="B2876" s="28" t="s">
        <v>3854</v>
      </c>
      <c r="C2876" s="28" t="s">
        <v>3833</v>
      </c>
      <c r="D2876" s="28" t="s">
        <v>3834</v>
      </c>
      <c r="E2876" s="28" t="s">
        <v>3790</v>
      </c>
      <c r="F2876" s="28" t="s">
        <v>3817</v>
      </c>
      <c r="G2876" s="28"/>
      <c r="H2876" s="28">
        <v>499061234</v>
      </c>
      <c r="I2876" s="28">
        <v>2637303</v>
      </c>
      <c r="J2876" s="28">
        <v>1.99</v>
      </c>
      <c r="K2876" s="28">
        <v>15</v>
      </c>
      <c r="L2876" s="28">
        <v>0</v>
      </c>
    </row>
    <row r="2877" spans="1:12" ht="14.25" customHeight="1" x14ac:dyDescent="0.2">
      <c r="A2877" s="28">
        <v>2876</v>
      </c>
      <c r="B2877" s="28" t="s">
        <v>3854</v>
      </c>
      <c r="C2877" s="28" t="s">
        <v>3833</v>
      </c>
      <c r="D2877" s="28" t="s">
        <v>3834</v>
      </c>
      <c r="E2877" s="28" t="s">
        <v>3790</v>
      </c>
      <c r="F2877" s="28" t="s">
        <v>3817</v>
      </c>
      <c r="G2877" s="28"/>
      <c r="H2877" s="28">
        <v>510546847</v>
      </c>
      <c r="I2877" s="28">
        <v>2637345</v>
      </c>
      <c r="J2877" s="28">
        <v>1.99</v>
      </c>
      <c r="K2877" s="28">
        <v>31</v>
      </c>
      <c r="L2877" s="28">
        <v>0</v>
      </c>
    </row>
    <row r="2878" spans="1:12" ht="14.25" customHeight="1" x14ac:dyDescent="0.2">
      <c r="A2878" s="28">
        <v>2877</v>
      </c>
      <c r="B2878" s="28" t="s">
        <v>3855</v>
      </c>
      <c r="C2878" s="28" t="s">
        <v>3836</v>
      </c>
      <c r="D2878" s="28" t="s">
        <v>3834</v>
      </c>
      <c r="E2878" s="28" t="s">
        <v>3790</v>
      </c>
      <c r="F2878" s="28" t="s">
        <v>3794</v>
      </c>
      <c r="G2878" s="28"/>
      <c r="H2878" s="28">
        <v>228896396</v>
      </c>
      <c r="I2878" s="28">
        <v>2631327</v>
      </c>
      <c r="J2878" s="28">
        <v>1.99</v>
      </c>
      <c r="K2878" s="28">
        <v>6</v>
      </c>
      <c r="L2878" s="28">
        <v>1</v>
      </c>
    </row>
    <row r="2879" spans="1:12" ht="14.25" customHeight="1" x14ac:dyDescent="0.2">
      <c r="A2879" s="28">
        <v>2878</v>
      </c>
      <c r="B2879" s="28" t="s">
        <v>3856</v>
      </c>
      <c r="C2879" s="28" t="s">
        <v>3838</v>
      </c>
      <c r="D2879" s="28" t="s">
        <v>3834</v>
      </c>
      <c r="E2879" s="28" t="s">
        <v>3790</v>
      </c>
      <c r="F2879" s="28" t="s">
        <v>3794</v>
      </c>
      <c r="G2879" s="28"/>
      <c r="H2879" s="28">
        <v>535256753</v>
      </c>
      <c r="I2879" s="28">
        <v>2610625</v>
      </c>
      <c r="J2879" s="28">
        <v>1.99</v>
      </c>
      <c r="K2879" s="28">
        <v>63</v>
      </c>
      <c r="L2879" s="28">
        <v>1</v>
      </c>
    </row>
    <row r="2880" spans="1:12" ht="14.25" customHeight="1" x14ac:dyDescent="0.2">
      <c r="A2880" s="28">
        <v>2879</v>
      </c>
      <c r="B2880" s="28" t="s">
        <v>1473</v>
      </c>
      <c r="C2880" s="28" t="s">
        <v>3838</v>
      </c>
      <c r="D2880" s="28" t="s">
        <v>3834</v>
      </c>
      <c r="E2880" s="28" t="s">
        <v>3790</v>
      </c>
      <c r="F2880" s="28" t="s">
        <v>3794</v>
      </c>
      <c r="G2880" s="28"/>
      <c r="H2880" s="28">
        <v>475656544</v>
      </c>
      <c r="I2880" s="28">
        <v>2564916</v>
      </c>
      <c r="J2880" s="28">
        <v>1.99</v>
      </c>
      <c r="K2880" s="28">
        <v>76</v>
      </c>
      <c r="L2880" s="28">
        <v>0</v>
      </c>
    </row>
    <row r="2881" spans="1:12" ht="14.25" customHeight="1" x14ac:dyDescent="0.2">
      <c r="A2881" s="28">
        <v>2880</v>
      </c>
      <c r="B2881" s="28" t="s">
        <v>3857</v>
      </c>
      <c r="C2881" s="28" t="s">
        <v>3836</v>
      </c>
      <c r="D2881" s="28" t="s">
        <v>3834</v>
      </c>
      <c r="E2881" s="28" t="s">
        <v>3790</v>
      </c>
      <c r="F2881" s="28" t="s">
        <v>3794</v>
      </c>
      <c r="G2881" s="28"/>
      <c r="H2881" s="28">
        <v>223756475</v>
      </c>
      <c r="I2881" s="28">
        <v>2615244</v>
      </c>
      <c r="J2881" s="28">
        <v>1.99</v>
      </c>
      <c r="K2881" s="28">
        <v>43</v>
      </c>
      <c r="L2881" s="28">
        <v>0</v>
      </c>
    </row>
    <row r="2882" spans="1:12" ht="14.25" customHeight="1" x14ac:dyDescent="0.2">
      <c r="A2882" s="28">
        <v>2881</v>
      </c>
      <c r="B2882" s="28" t="s">
        <v>3858</v>
      </c>
      <c r="C2882" s="28" t="s">
        <v>3833</v>
      </c>
      <c r="D2882" s="28" t="s">
        <v>3834</v>
      </c>
      <c r="E2882" s="28" t="s">
        <v>3790</v>
      </c>
      <c r="F2882" s="28" t="s">
        <v>3817</v>
      </c>
      <c r="G2882" s="28"/>
      <c r="H2882" s="28">
        <v>537760755</v>
      </c>
      <c r="I2882" s="28">
        <v>2636636</v>
      </c>
      <c r="J2882" s="28">
        <v>1.99</v>
      </c>
      <c r="K2882" s="28">
        <v>15</v>
      </c>
      <c r="L2882" s="28">
        <v>0</v>
      </c>
    </row>
    <row r="2883" spans="1:12" ht="14.25" customHeight="1" x14ac:dyDescent="0.2">
      <c r="A2883" s="28">
        <v>2882</v>
      </c>
      <c r="B2883" s="28" t="s">
        <v>3859</v>
      </c>
      <c r="C2883" s="28" t="s">
        <v>3833</v>
      </c>
      <c r="D2883" s="28" t="s">
        <v>3834</v>
      </c>
      <c r="E2883" s="28" t="s">
        <v>3790</v>
      </c>
      <c r="F2883" s="28" t="s">
        <v>3817</v>
      </c>
      <c r="G2883" s="28"/>
      <c r="H2883" s="28">
        <v>486675063</v>
      </c>
      <c r="I2883" s="28">
        <v>2632590</v>
      </c>
      <c r="J2883" s="28">
        <v>1.99</v>
      </c>
      <c r="K2883" s="28">
        <v>29</v>
      </c>
      <c r="L2883" s="28">
        <v>1</v>
      </c>
    </row>
    <row r="2884" spans="1:12" ht="14.25" customHeight="1" x14ac:dyDescent="0.2">
      <c r="A2884" s="28">
        <v>2883</v>
      </c>
      <c r="B2884" s="28" t="s">
        <v>3860</v>
      </c>
      <c r="C2884" s="28" t="s">
        <v>3836</v>
      </c>
      <c r="D2884" s="28" t="s">
        <v>3834</v>
      </c>
      <c r="E2884" s="28" t="s">
        <v>3790</v>
      </c>
      <c r="F2884" s="28" t="s">
        <v>3794</v>
      </c>
      <c r="G2884" s="28"/>
      <c r="H2884" s="28">
        <v>207045178</v>
      </c>
      <c r="I2884" s="28">
        <v>2612894</v>
      </c>
      <c r="J2884" s="28">
        <v>1.99</v>
      </c>
      <c r="K2884" s="28">
        <v>68</v>
      </c>
      <c r="L2884" s="28">
        <v>1</v>
      </c>
    </row>
    <row r="2885" spans="1:12" ht="14.25" customHeight="1" x14ac:dyDescent="0.2">
      <c r="A2885" s="28">
        <v>2884</v>
      </c>
      <c r="B2885" s="28" t="s">
        <v>3861</v>
      </c>
      <c r="C2885" s="28" t="s">
        <v>3838</v>
      </c>
      <c r="D2885" s="28" t="s">
        <v>3834</v>
      </c>
      <c r="E2885" s="28" t="s">
        <v>3790</v>
      </c>
      <c r="F2885" s="28" t="s">
        <v>3794</v>
      </c>
      <c r="G2885" s="28"/>
      <c r="H2885" s="28">
        <v>484583988</v>
      </c>
      <c r="I2885" s="28">
        <v>2610250</v>
      </c>
      <c r="J2885" s="28">
        <v>1.99</v>
      </c>
      <c r="K2885" s="28">
        <v>35</v>
      </c>
      <c r="L2885" s="28">
        <v>0</v>
      </c>
    </row>
    <row r="2886" spans="1:12" ht="14.25" customHeight="1" x14ac:dyDescent="0.2">
      <c r="A2886" s="28">
        <v>2885</v>
      </c>
      <c r="B2886" s="28" t="s">
        <v>3862</v>
      </c>
      <c r="C2886" s="28" t="s">
        <v>3836</v>
      </c>
      <c r="D2886" s="28" t="s">
        <v>3834</v>
      </c>
      <c r="E2886" s="28" t="s">
        <v>3790</v>
      </c>
      <c r="F2886" s="28" t="s">
        <v>3794</v>
      </c>
      <c r="G2886" s="28"/>
      <c r="H2886" s="28">
        <v>223623810</v>
      </c>
      <c r="I2886" s="28">
        <v>2590459</v>
      </c>
      <c r="J2886" s="28">
        <v>1.99</v>
      </c>
      <c r="K2886" s="28">
        <v>44</v>
      </c>
      <c r="L2886" s="28">
        <v>0</v>
      </c>
    </row>
    <row r="2887" spans="1:12" ht="14.25" customHeight="1" x14ac:dyDescent="0.2">
      <c r="A2887" s="28">
        <v>2886</v>
      </c>
      <c r="B2887" s="28" t="s">
        <v>3863</v>
      </c>
      <c r="C2887" s="28" t="s">
        <v>3833</v>
      </c>
      <c r="D2887" s="28" t="s">
        <v>3834</v>
      </c>
      <c r="E2887" s="28" t="s">
        <v>3790</v>
      </c>
      <c r="F2887" s="28" t="s">
        <v>3817</v>
      </c>
      <c r="G2887" s="28"/>
      <c r="H2887" s="28">
        <v>505056021</v>
      </c>
      <c r="I2887" s="28">
        <v>2636428</v>
      </c>
      <c r="J2887" s="28">
        <v>1.99</v>
      </c>
      <c r="K2887" s="28">
        <v>25</v>
      </c>
      <c r="L2887" s="28">
        <v>1</v>
      </c>
    </row>
    <row r="2888" spans="1:12" ht="14.25" customHeight="1" x14ac:dyDescent="0.2">
      <c r="A2888" s="28">
        <v>2887</v>
      </c>
      <c r="B2888" s="28" t="s">
        <v>3864</v>
      </c>
      <c r="C2888" s="28" t="s">
        <v>3838</v>
      </c>
      <c r="D2888" s="28" t="s">
        <v>3834</v>
      </c>
      <c r="E2888" s="28" t="s">
        <v>3790</v>
      </c>
      <c r="F2888" s="28" t="s">
        <v>3794</v>
      </c>
      <c r="G2888" s="28"/>
      <c r="H2888" s="28">
        <v>487401604</v>
      </c>
      <c r="I2888" s="28">
        <v>2610416</v>
      </c>
      <c r="J2888" s="28">
        <v>1.99</v>
      </c>
      <c r="K2888" s="28">
        <v>72</v>
      </c>
      <c r="L2888" s="28">
        <v>1</v>
      </c>
    </row>
    <row r="2889" spans="1:12" ht="14.25" customHeight="1" x14ac:dyDescent="0.2">
      <c r="A2889" s="28">
        <v>2888</v>
      </c>
      <c r="B2889" s="28" t="s">
        <v>3865</v>
      </c>
      <c r="C2889" s="28" t="s">
        <v>3836</v>
      </c>
      <c r="D2889" s="28" t="s">
        <v>3834</v>
      </c>
      <c r="E2889" s="28" t="s">
        <v>3790</v>
      </c>
      <c r="F2889" s="28" t="s">
        <v>3794</v>
      </c>
      <c r="G2889" s="28"/>
      <c r="H2889" s="28">
        <v>211743651</v>
      </c>
      <c r="I2889" s="28">
        <v>2555492</v>
      </c>
      <c r="J2889" s="28">
        <v>1.99</v>
      </c>
      <c r="K2889" s="28">
        <v>89</v>
      </c>
      <c r="L2889" s="28">
        <v>0</v>
      </c>
    </row>
    <row r="2890" spans="1:12" ht="14.25" customHeight="1" x14ac:dyDescent="0.2">
      <c r="A2890" s="28">
        <v>2889</v>
      </c>
      <c r="B2890" s="28" t="s">
        <v>3866</v>
      </c>
      <c r="C2890" s="28" t="s">
        <v>3838</v>
      </c>
      <c r="D2890" s="28" t="s">
        <v>3834</v>
      </c>
      <c r="E2890" s="28" t="s">
        <v>3790</v>
      </c>
      <c r="F2890" s="28" t="s">
        <v>3817</v>
      </c>
      <c r="G2890" s="28"/>
      <c r="H2890" s="28">
        <v>520350364</v>
      </c>
      <c r="I2890" s="28">
        <v>2611333</v>
      </c>
      <c r="J2890" s="28">
        <v>1.99</v>
      </c>
      <c r="K2890" s="28">
        <v>77</v>
      </c>
      <c r="L2890" s="28">
        <v>0</v>
      </c>
    </row>
    <row r="2891" spans="1:12" ht="14.25" customHeight="1" x14ac:dyDescent="0.2">
      <c r="A2891" s="28">
        <v>2890</v>
      </c>
      <c r="B2891" s="28" t="s">
        <v>3867</v>
      </c>
      <c r="C2891" s="28" t="s">
        <v>3833</v>
      </c>
      <c r="D2891" s="28" t="s">
        <v>3834</v>
      </c>
      <c r="E2891" s="28" t="s">
        <v>3790</v>
      </c>
      <c r="F2891" s="28" t="s">
        <v>3817</v>
      </c>
      <c r="G2891" s="28"/>
      <c r="H2891" s="28">
        <v>548197162</v>
      </c>
      <c r="I2891" s="28">
        <v>2635010</v>
      </c>
      <c r="J2891" s="28">
        <v>1.99</v>
      </c>
      <c r="K2891" s="28">
        <v>44</v>
      </c>
      <c r="L2891" s="28">
        <v>0</v>
      </c>
    </row>
    <row r="2892" spans="1:12" ht="14.25" customHeight="1" x14ac:dyDescent="0.2">
      <c r="A2892" s="28">
        <v>2891</v>
      </c>
      <c r="B2892" s="28" t="s">
        <v>3868</v>
      </c>
      <c r="C2892" s="28" t="s">
        <v>3833</v>
      </c>
      <c r="D2892" s="28" t="s">
        <v>3834</v>
      </c>
      <c r="E2892" s="28" t="s">
        <v>3790</v>
      </c>
      <c r="F2892" s="28" t="s">
        <v>3817</v>
      </c>
      <c r="G2892" s="28"/>
      <c r="H2892" s="28">
        <v>517521422</v>
      </c>
      <c r="I2892" s="28">
        <v>2629796</v>
      </c>
      <c r="J2892" s="28">
        <v>1.99</v>
      </c>
      <c r="K2892" s="28">
        <v>25</v>
      </c>
      <c r="L2892" s="28">
        <v>1</v>
      </c>
    </row>
    <row r="2893" spans="1:12" ht="14.25" customHeight="1" x14ac:dyDescent="0.2">
      <c r="A2893" s="28">
        <v>2892</v>
      </c>
      <c r="B2893" s="28" t="s">
        <v>3869</v>
      </c>
      <c r="C2893" s="28" t="s">
        <v>3838</v>
      </c>
      <c r="D2893" s="28" t="s">
        <v>3834</v>
      </c>
      <c r="E2893" s="28" t="s">
        <v>3790</v>
      </c>
      <c r="F2893" s="28" t="s">
        <v>3817</v>
      </c>
      <c r="G2893" s="28"/>
      <c r="H2893" s="28">
        <v>488458695</v>
      </c>
      <c r="I2893" s="28">
        <v>2600333</v>
      </c>
      <c r="J2893" s="28">
        <v>1.99</v>
      </c>
      <c r="K2893" s="28">
        <v>15</v>
      </c>
      <c r="L2893" s="28">
        <v>1</v>
      </c>
    </row>
    <row r="2894" spans="1:12" ht="14.25" customHeight="1" x14ac:dyDescent="0.2">
      <c r="A2894" s="28">
        <v>2893</v>
      </c>
      <c r="B2894" s="28" t="s">
        <v>3870</v>
      </c>
      <c r="C2894" s="28" t="s">
        <v>3836</v>
      </c>
      <c r="D2894" s="28" t="s">
        <v>3834</v>
      </c>
      <c r="E2894" s="28" t="s">
        <v>3790</v>
      </c>
      <c r="F2894" s="28" t="s">
        <v>3794</v>
      </c>
      <c r="G2894" s="28"/>
      <c r="H2894" s="28">
        <v>183867185</v>
      </c>
      <c r="I2894" s="28">
        <v>2616410</v>
      </c>
      <c r="J2894" s="28">
        <v>1.99</v>
      </c>
      <c r="K2894" s="28">
        <v>20</v>
      </c>
      <c r="L2894" s="28">
        <v>0</v>
      </c>
    </row>
    <row r="2895" spans="1:12" ht="14.25" customHeight="1" x14ac:dyDescent="0.2">
      <c r="A2895" s="28">
        <v>2894</v>
      </c>
      <c r="B2895" s="28" t="s">
        <v>3871</v>
      </c>
      <c r="C2895" s="28" t="s">
        <v>3836</v>
      </c>
      <c r="D2895" s="28" t="s">
        <v>3834</v>
      </c>
      <c r="E2895" s="28" t="s">
        <v>3790</v>
      </c>
      <c r="F2895" s="28" t="s">
        <v>3794</v>
      </c>
      <c r="G2895" s="28"/>
      <c r="H2895" s="28">
        <v>207607466</v>
      </c>
      <c r="I2895" s="28">
        <v>2619462</v>
      </c>
      <c r="J2895" s="28">
        <v>1.99</v>
      </c>
      <c r="K2895" s="28">
        <v>71</v>
      </c>
      <c r="L2895" s="28">
        <v>0</v>
      </c>
    </row>
    <row r="2896" spans="1:12" ht="14.25" customHeight="1" x14ac:dyDescent="0.2">
      <c r="A2896" s="28">
        <v>2895</v>
      </c>
      <c r="B2896" s="28" t="s">
        <v>3872</v>
      </c>
      <c r="C2896" s="28" t="s">
        <v>3833</v>
      </c>
      <c r="D2896" s="28" t="s">
        <v>3834</v>
      </c>
      <c r="E2896" s="28" t="s">
        <v>3790</v>
      </c>
      <c r="F2896" s="28" t="s">
        <v>3817</v>
      </c>
      <c r="G2896" s="28"/>
      <c r="H2896" s="28">
        <v>517079642</v>
      </c>
      <c r="I2896" s="28">
        <v>2629879</v>
      </c>
      <c r="J2896" s="28">
        <v>1.99</v>
      </c>
      <c r="K2896" s="28">
        <v>11</v>
      </c>
      <c r="L2896" s="28">
        <v>1</v>
      </c>
    </row>
    <row r="2897" spans="1:12" ht="14.25" customHeight="1" x14ac:dyDescent="0.2">
      <c r="A2897" s="28">
        <v>2896</v>
      </c>
      <c r="B2897" s="28" t="s">
        <v>3873</v>
      </c>
      <c r="C2897" s="28" t="s">
        <v>3838</v>
      </c>
      <c r="D2897" s="28" t="s">
        <v>3834</v>
      </c>
      <c r="E2897" s="28" t="s">
        <v>3790</v>
      </c>
      <c r="F2897" s="28" t="s">
        <v>3794</v>
      </c>
      <c r="G2897" s="28"/>
      <c r="H2897" s="28">
        <v>518376636</v>
      </c>
      <c r="I2897" s="28">
        <v>2679583</v>
      </c>
      <c r="J2897" s="28">
        <v>1.99</v>
      </c>
      <c r="K2897" s="28">
        <v>93</v>
      </c>
      <c r="L2897" s="28">
        <v>1</v>
      </c>
    </row>
    <row r="2898" spans="1:12" ht="14.25" customHeight="1" x14ac:dyDescent="0.2">
      <c r="A2898" s="28">
        <v>2897</v>
      </c>
      <c r="B2898" s="28" t="s">
        <v>3874</v>
      </c>
      <c r="C2898" s="28" t="s">
        <v>3838</v>
      </c>
      <c r="D2898" s="28" t="s">
        <v>3834</v>
      </c>
      <c r="E2898" s="28" t="s">
        <v>3790</v>
      </c>
      <c r="F2898" s="28" t="s">
        <v>3817</v>
      </c>
      <c r="G2898" s="28"/>
      <c r="H2898" s="28">
        <v>542332389</v>
      </c>
      <c r="I2898" s="28">
        <v>2698791</v>
      </c>
      <c r="J2898" s="28">
        <v>1.99</v>
      </c>
      <c r="K2898" s="28">
        <v>32</v>
      </c>
      <c r="L2898" s="28">
        <v>0</v>
      </c>
    </row>
    <row r="2899" spans="1:12" ht="14.25" customHeight="1" x14ac:dyDescent="0.2">
      <c r="A2899" s="28">
        <v>2898</v>
      </c>
      <c r="B2899" s="28" t="s">
        <v>3875</v>
      </c>
      <c r="C2899" s="28" t="s">
        <v>3836</v>
      </c>
      <c r="D2899" s="28" t="s">
        <v>3834</v>
      </c>
      <c r="E2899" s="28" t="s">
        <v>3790</v>
      </c>
      <c r="F2899" s="28" t="s">
        <v>3794</v>
      </c>
      <c r="G2899" s="28"/>
      <c r="H2899" s="28">
        <v>219961967</v>
      </c>
      <c r="I2899" s="28">
        <v>2618530</v>
      </c>
      <c r="J2899" s="28">
        <v>1.99</v>
      </c>
      <c r="K2899" s="28">
        <v>79</v>
      </c>
      <c r="L2899" s="28">
        <v>0</v>
      </c>
    </row>
    <row r="2900" spans="1:12" ht="14.25" customHeight="1" x14ac:dyDescent="0.2">
      <c r="A2900" s="28">
        <v>2899</v>
      </c>
      <c r="B2900" s="28" t="s">
        <v>3876</v>
      </c>
      <c r="C2900" s="28" t="s">
        <v>3833</v>
      </c>
      <c r="D2900" s="28" t="s">
        <v>3834</v>
      </c>
      <c r="E2900" s="28" t="s">
        <v>3790</v>
      </c>
      <c r="F2900" s="28" t="s">
        <v>3817</v>
      </c>
      <c r="G2900" s="28"/>
      <c r="H2900" s="28">
        <v>550893556</v>
      </c>
      <c r="I2900" s="28">
        <v>2637637</v>
      </c>
      <c r="J2900" s="28">
        <v>1.99</v>
      </c>
      <c r="K2900" s="28">
        <v>58</v>
      </c>
      <c r="L2900" s="28">
        <v>0</v>
      </c>
    </row>
    <row r="2901" spans="1:12" ht="14.25" customHeight="1" x14ac:dyDescent="0.2">
      <c r="A2901" s="28">
        <v>2900</v>
      </c>
      <c r="B2901" s="28" t="s">
        <v>3877</v>
      </c>
      <c r="C2901" s="28" t="s">
        <v>3833</v>
      </c>
      <c r="D2901" s="28" t="s">
        <v>3834</v>
      </c>
      <c r="E2901" s="28" t="s">
        <v>3790</v>
      </c>
      <c r="F2901" s="28" t="s">
        <v>3817</v>
      </c>
      <c r="G2901" s="28"/>
      <c r="H2901" s="28">
        <v>511338017</v>
      </c>
      <c r="I2901" s="28">
        <v>2593760</v>
      </c>
      <c r="J2901" s="28">
        <v>1.99</v>
      </c>
      <c r="K2901" s="28">
        <v>51</v>
      </c>
      <c r="L2901" s="28">
        <v>1</v>
      </c>
    </row>
    <row r="2902" spans="1:12" ht="14.25" customHeight="1" x14ac:dyDescent="0.2">
      <c r="A2902" s="28">
        <v>2901</v>
      </c>
      <c r="B2902" s="28" t="s">
        <v>3823</v>
      </c>
      <c r="C2902" s="28" t="s">
        <v>3836</v>
      </c>
      <c r="D2902" s="28" t="s">
        <v>3834</v>
      </c>
      <c r="E2902" s="28" t="s">
        <v>3790</v>
      </c>
      <c r="F2902" s="28" t="s">
        <v>3794</v>
      </c>
      <c r="G2902" s="28"/>
      <c r="H2902" s="28">
        <v>210675221</v>
      </c>
      <c r="I2902" s="28">
        <v>2515882</v>
      </c>
      <c r="J2902" s="28">
        <v>1.99</v>
      </c>
      <c r="K2902" s="28">
        <v>16</v>
      </c>
      <c r="L2902" s="28">
        <v>1</v>
      </c>
    </row>
    <row r="2903" spans="1:12" ht="14.25" customHeight="1" x14ac:dyDescent="0.2">
      <c r="A2903" s="28">
        <v>2902</v>
      </c>
      <c r="B2903" s="28" t="s">
        <v>3878</v>
      </c>
      <c r="C2903" s="28" t="s">
        <v>3838</v>
      </c>
      <c r="D2903" s="28" t="s">
        <v>3834</v>
      </c>
      <c r="E2903" s="28" t="s">
        <v>3790</v>
      </c>
      <c r="F2903" s="28" t="s">
        <v>3817</v>
      </c>
      <c r="G2903" s="28"/>
      <c r="H2903" s="28">
        <v>555244214</v>
      </c>
      <c r="I2903" s="28">
        <v>2780416</v>
      </c>
      <c r="J2903" s="28">
        <v>1.99</v>
      </c>
      <c r="K2903" s="28">
        <v>72</v>
      </c>
      <c r="L2903" s="28">
        <v>0</v>
      </c>
    </row>
    <row r="2904" spans="1:12" ht="14.25" customHeight="1" x14ac:dyDescent="0.2">
      <c r="A2904" s="28">
        <v>2903</v>
      </c>
      <c r="B2904" s="28" t="s">
        <v>3879</v>
      </c>
      <c r="C2904" s="28" t="s">
        <v>3833</v>
      </c>
      <c r="D2904" s="28" t="s">
        <v>3834</v>
      </c>
      <c r="E2904" s="28" t="s">
        <v>3790</v>
      </c>
      <c r="F2904" s="28" t="s">
        <v>3817</v>
      </c>
      <c r="G2904" s="28"/>
      <c r="H2904" s="28">
        <v>538491964</v>
      </c>
      <c r="I2904" s="28">
        <v>2635343</v>
      </c>
      <c r="J2904" s="28">
        <v>1.99</v>
      </c>
      <c r="K2904" s="28">
        <v>75</v>
      </c>
      <c r="L2904" s="28">
        <v>0</v>
      </c>
    </row>
    <row r="2905" spans="1:12" ht="14.25" customHeight="1" x14ac:dyDescent="0.2">
      <c r="A2905" s="28">
        <v>2904</v>
      </c>
      <c r="B2905" s="28" t="s">
        <v>3880</v>
      </c>
      <c r="C2905" s="28" t="s">
        <v>3836</v>
      </c>
      <c r="D2905" s="28" t="s">
        <v>3834</v>
      </c>
      <c r="E2905" s="28" t="s">
        <v>3790</v>
      </c>
      <c r="F2905" s="28" t="s">
        <v>3794</v>
      </c>
      <c r="G2905" s="28"/>
      <c r="H2905" s="28">
        <v>206500939</v>
      </c>
      <c r="I2905" s="28">
        <v>2619887</v>
      </c>
      <c r="J2905" s="28">
        <v>1.99</v>
      </c>
      <c r="K2905" s="28">
        <v>38</v>
      </c>
      <c r="L2905" s="28">
        <v>1</v>
      </c>
    </row>
    <row r="2906" spans="1:12" ht="14.25" customHeight="1" x14ac:dyDescent="0.2">
      <c r="A2906" s="28">
        <v>2905</v>
      </c>
      <c r="B2906" s="28" t="s">
        <v>3881</v>
      </c>
      <c r="C2906" s="28" t="s">
        <v>3838</v>
      </c>
      <c r="D2906" s="28" t="s">
        <v>3834</v>
      </c>
      <c r="E2906" s="28" t="s">
        <v>3790</v>
      </c>
      <c r="F2906" s="28" t="s">
        <v>3817</v>
      </c>
      <c r="G2906" s="28"/>
      <c r="H2906" s="28">
        <v>495487014</v>
      </c>
      <c r="I2906" s="28">
        <v>2610125</v>
      </c>
      <c r="J2906" s="28">
        <v>1.99</v>
      </c>
      <c r="K2906" s="28">
        <v>63</v>
      </c>
      <c r="L2906" s="28">
        <v>1</v>
      </c>
    </row>
    <row r="2907" spans="1:12" ht="14.25" customHeight="1" x14ac:dyDescent="0.2">
      <c r="A2907" s="28">
        <v>2906</v>
      </c>
      <c r="B2907" s="28" t="s">
        <v>3882</v>
      </c>
      <c r="C2907" s="28" t="s">
        <v>3836</v>
      </c>
      <c r="D2907" s="28" t="s">
        <v>3834</v>
      </c>
      <c r="E2907" s="28" t="s">
        <v>3790</v>
      </c>
      <c r="F2907" s="28" t="s">
        <v>3794</v>
      </c>
      <c r="G2907" s="28"/>
      <c r="H2907" s="28">
        <v>215441983</v>
      </c>
      <c r="I2907" s="28">
        <v>2604575</v>
      </c>
      <c r="J2907" s="28">
        <v>1.99</v>
      </c>
      <c r="K2907" s="28">
        <v>2</v>
      </c>
      <c r="L2907" s="28">
        <v>0</v>
      </c>
    </row>
    <row r="2908" spans="1:12" ht="14.25" customHeight="1" x14ac:dyDescent="0.2">
      <c r="A2908" s="28">
        <v>2907</v>
      </c>
      <c r="B2908" s="28" t="s">
        <v>3883</v>
      </c>
      <c r="C2908" s="28" t="s">
        <v>3838</v>
      </c>
      <c r="D2908" s="28" t="s">
        <v>3834</v>
      </c>
      <c r="E2908" s="28" t="s">
        <v>3790</v>
      </c>
      <c r="F2908" s="28" t="s">
        <v>3817</v>
      </c>
      <c r="G2908" s="28"/>
      <c r="H2908" s="28">
        <v>543886056</v>
      </c>
      <c r="I2908" s="28">
        <v>2610250</v>
      </c>
      <c r="J2908" s="28">
        <v>1.99</v>
      </c>
      <c r="K2908" s="28">
        <v>97</v>
      </c>
      <c r="L2908" s="28">
        <v>0</v>
      </c>
    </row>
    <row r="2909" spans="1:12" ht="14.25" customHeight="1" x14ac:dyDescent="0.2">
      <c r="A2909" s="28">
        <v>2908</v>
      </c>
      <c r="B2909" s="28" t="s">
        <v>3884</v>
      </c>
      <c r="C2909" s="28" t="s">
        <v>3833</v>
      </c>
      <c r="D2909" s="28" t="s">
        <v>3834</v>
      </c>
      <c r="E2909" s="28" t="s">
        <v>3790</v>
      </c>
      <c r="F2909" s="28" t="s">
        <v>3817</v>
      </c>
      <c r="G2909" s="28"/>
      <c r="H2909" s="28">
        <v>502387276</v>
      </c>
      <c r="I2909" s="28">
        <v>2638096</v>
      </c>
      <c r="J2909" s="28">
        <v>1.99</v>
      </c>
      <c r="K2909" s="28">
        <v>33</v>
      </c>
      <c r="L2909" s="28">
        <v>0</v>
      </c>
    </row>
    <row r="2910" spans="1:12" ht="14.25" customHeight="1" x14ac:dyDescent="0.2">
      <c r="A2910" s="28">
        <v>2909</v>
      </c>
      <c r="B2910" s="28" t="s">
        <v>3885</v>
      </c>
      <c r="C2910" s="28" t="s">
        <v>3833</v>
      </c>
      <c r="D2910" s="28" t="s">
        <v>3834</v>
      </c>
      <c r="E2910" s="28" t="s">
        <v>3790</v>
      </c>
      <c r="F2910" s="28" t="s">
        <v>3817</v>
      </c>
      <c r="G2910" s="28"/>
      <c r="H2910" s="28">
        <v>489773399</v>
      </c>
      <c r="I2910" s="28">
        <v>2561394</v>
      </c>
      <c r="J2910" s="28">
        <v>1.99</v>
      </c>
      <c r="K2910" s="28">
        <v>51</v>
      </c>
      <c r="L2910" s="28">
        <v>1</v>
      </c>
    </row>
    <row r="2911" spans="1:12" ht="14.25" customHeight="1" x14ac:dyDescent="0.2">
      <c r="A2911" s="28">
        <v>2910</v>
      </c>
      <c r="B2911" s="28" t="s">
        <v>3886</v>
      </c>
      <c r="C2911" s="28" t="s">
        <v>3838</v>
      </c>
      <c r="D2911" s="28" t="s">
        <v>3834</v>
      </c>
      <c r="E2911" s="28" t="s">
        <v>3790</v>
      </c>
      <c r="F2911" s="28" t="s">
        <v>3794</v>
      </c>
      <c r="G2911" s="28"/>
      <c r="H2911" s="28">
        <v>574325829</v>
      </c>
      <c r="I2911" s="28">
        <v>2825166</v>
      </c>
      <c r="J2911" s="28">
        <v>1.99</v>
      </c>
      <c r="K2911" s="28">
        <v>52</v>
      </c>
      <c r="L2911" s="28">
        <v>1</v>
      </c>
    </row>
    <row r="2912" spans="1:12" ht="14.25" customHeight="1" x14ac:dyDescent="0.2">
      <c r="A2912" s="28">
        <v>2911</v>
      </c>
      <c r="B2912" s="28" t="s">
        <v>3887</v>
      </c>
      <c r="C2912" s="28" t="s">
        <v>3836</v>
      </c>
      <c r="D2912" s="28" t="s">
        <v>3834</v>
      </c>
      <c r="E2912" s="28" t="s">
        <v>3790</v>
      </c>
      <c r="F2912" s="28" t="s">
        <v>3794</v>
      </c>
      <c r="G2912" s="28"/>
      <c r="H2912" s="28">
        <v>214709143</v>
      </c>
      <c r="I2912" s="28">
        <v>2609772</v>
      </c>
      <c r="J2912" s="28">
        <v>1.99</v>
      </c>
      <c r="K2912" s="28">
        <v>16</v>
      </c>
      <c r="L2912" s="28">
        <v>0</v>
      </c>
    </row>
    <row r="2913" spans="1:12" ht="14.25" customHeight="1" x14ac:dyDescent="0.2">
      <c r="A2913" s="28">
        <v>2912</v>
      </c>
      <c r="B2913" s="28" t="s">
        <v>3888</v>
      </c>
      <c r="C2913" s="28" t="s">
        <v>3833</v>
      </c>
      <c r="D2913" s="28" t="s">
        <v>3834</v>
      </c>
      <c r="E2913" s="28" t="s">
        <v>3790</v>
      </c>
      <c r="F2913" s="28" t="s">
        <v>3817</v>
      </c>
      <c r="G2913" s="28"/>
      <c r="H2913" s="28">
        <v>518556641</v>
      </c>
      <c r="I2913" s="28">
        <v>2616032</v>
      </c>
      <c r="J2913" s="28">
        <v>1.99</v>
      </c>
      <c r="K2913" s="28">
        <v>38</v>
      </c>
      <c r="L2913" s="28">
        <v>0</v>
      </c>
    </row>
    <row r="2914" spans="1:12" ht="14.25" customHeight="1" x14ac:dyDescent="0.2">
      <c r="A2914" s="28">
        <v>2913</v>
      </c>
      <c r="B2914" s="28" t="s">
        <v>3889</v>
      </c>
      <c r="C2914" s="28" t="s">
        <v>3836</v>
      </c>
      <c r="D2914" s="28" t="s">
        <v>3834</v>
      </c>
      <c r="E2914" s="28" t="s">
        <v>3790</v>
      </c>
      <c r="F2914" s="28" t="s">
        <v>3794</v>
      </c>
      <c r="G2914" s="28"/>
      <c r="H2914" s="28">
        <v>214996732</v>
      </c>
      <c r="I2914" s="28">
        <v>2582009</v>
      </c>
      <c r="J2914" s="28">
        <v>1.99</v>
      </c>
      <c r="K2914" s="28">
        <v>3</v>
      </c>
      <c r="L2914" s="28">
        <v>1</v>
      </c>
    </row>
    <row r="2915" spans="1:12" ht="14.25" customHeight="1" x14ac:dyDescent="0.2">
      <c r="A2915" s="28">
        <v>2914</v>
      </c>
      <c r="B2915" s="28" t="s">
        <v>3890</v>
      </c>
      <c r="C2915" s="28" t="s">
        <v>3838</v>
      </c>
      <c r="D2915" s="28" t="s">
        <v>3834</v>
      </c>
      <c r="E2915" s="28" t="s">
        <v>3790</v>
      </c>
      <c r="F2915" s="28" t="s">
        <v>3794</v>
      </c>
      <c r="G2915" s="28"/>
      <c r="H2915" s="28">
        <v>517979269</v>
      </c>
      <c r="I2915" s="28">
        <v>2639541</v>
      </c>
      <c r="J2915" s="28">
        <v>1.99</v>
      </c>
      <c r="K2915" s="28">
        <v>92</v>
      </c>
      <c r="L2915" s="28">
        <v>1</v>
      </c>
    </row>
    <row r="2916" spans="1:12" ht="14.25" customHeight="1" x14ac:dyDescent="0.2">
      <c r="A2916" s="28">
        <v>2915</v>
      </c>
      <c r="B2916" s="28" t="s">
        <v>3891</v>
      </c>
      <c r="C2916" s="28" t="s">
        <v>3836</v>
      </c>
      <c r="D2916" s="28" t="s">
        <v>3834</v>
      </c>
      <c r="E2916" s="28" t="s">
        <v>3790</v>
      </c>
      <c r="F2916" s="28" t="s">
        <v>3794</v>
      </c>
      <c r="G2916" s="28"/>
      <c r="H2916" s="28">
        <v>212039309</v>
      </c>
      <c r="I2916" s="28">
        <v>2618487</v>
      </c>
      <c r="J2916" s="28">
        <v>1.99</v>
      </c>
      <c r="K2916" s="28">
        <v>28</v>
      </c>
      <c r="L2916" s="28">
        <v>0</v>
      </c>
    </row>
    <row r="2917" spans="1:12" ht="14.25" customHeight="1" x14ac:dyDescent="0.2">
      <c r="A2917" s="28">
        <v>2916</v>
      </c>
      <c r="B2917" s="28" t="s">
        <v>3892</v>
      </c>
      <c r="C2917" s="28" t="s">
        <v>3838</v>
      </c>
      <c r="D2917" s="28" t="s">
        <v>3834</v>
      </c>
      <c r="E2917" s="28" t="s">
        <v>3790</v>
      </c>
      <c r="F2917" s="28" t="s">
        <v>3817</v>
      </c>
      <c r="G2917" s="28"/>
      <c r="H2917" s="28">
        <v>502404558</v>
      </c>
      <c r="I2917" s="28">
        <v>2610958</v>
      </c>
      <c r="J2917" s="28">
        <v>1.99</v>
      </c>
      <c r="K2917" s="28">
        <v>69</v>
      </c>
      <c r="L2917" s="28">
        <v>0</v>
      </c>
    </row>
    <row r="2918" spans="1:12" ht="14.25" customHeight="1" x14ac:dyDescent="0.2">
      <c r="A2918" s="28">
        <v>2917</v>
      </c>
      <c r="B2918" s="28" t="s">
        <v>3893</v>
      </c>
      <c r="C2918" s="28" t="s">
        <v>3836</v>
      </c>
      <c r="D2918" s="28" t="s">
        <v>3834</v>
      </c>
      <c r="E2918" s="28" t="s">
        <v>3790</v>
      </c>
      <c r="F2918" s="28" t="s">
        <v>3794</v>
      </c>
      <c r="G2918" s="28"/>
      <c r="H2918" s="28">
        <v>214130273</v>
      </c>
      <c r="I2918" s="28">
        <v>2617784</v>
      </c>
      <c r="J2918" s="28">
        <v>1.99</v>
      </c>
      <c r="K2918" s="28">
        <v>90</v>
      </c>
      <c r="L2918" s="28">
        <v>0</v>
      </c>
    </row>
    <row r="2919" spans="1:12" ht="14.25" customHeight="1" x14ac:dyDescent="0.2">
      <c r="A2919" s="28">
        <v>2918</v>
      </c>
      <c r="B2919" s="28" t="s">
        <v>3894</v>
      </c>
      <c r="C2919" s="28" t="s">
        <v>3838</v>
      </c>
      <c r="D2919" s="28" t="s">
        <v>3834</v>
      </c>
      <c r="E2919" s="28" t="s">
        <v>3790</v>
      </c>
      <c r="F2919" s="28" t="s">
        <v>3794</v>
      </c>
      <c r="G2919" s="28"/>
      <c r="H2919" s="28">
        <v>528227089</v>
      </c>
      <c r="I2919" s="28">
        <v>2782333</v>
      </c>
      <c r="J2919" s="28">
        <v>1.99</v>
      </c>
      <c r="K2919" s="28">
        <v>65</v>
      </c>
      <c r="L2919" s="28">
        <v>1</v>
      </c>
    </row>
    <row r="2920" spans="1:12" ht="14.25" customHeight="1" x14ac:dyDescent="0.2">
      <c r="A2920" s="28">
        <v>2919</v>
      </c>
      <c r="B2920" s="28" t="s">
        <v>3895</v>
      </c>
      <c r="C2920" s="28" t="s">
        <v>3836</v>
      </c>
      <c r="D2920" s="28" t="s">
        <v>3834</v>
      </c>
      <c r="E2920" s="28" t="s">
        <v>3790</v>
      </c>
      <c r="F2920" s="28" t="s">
        <v>3794</v>
      </c>
      <c r="G2920" s="28"/>
      <c r="H2920" s="28">
        <v>213772057</v>
      </c>
      <c r="I2920" s="28">
        <v>2618619</v>
      </c>
      <c r="J2920" s="28">
        <v>1.99</v>
      </c>
      <c r="K2920" s="28">
        <v>7</v>
      </c>
      <c r="L2920" s="28">
        <v>1</v>
      </c>
    </row>
    <row r="2921" spans="1:12" ht="14.25" customHeight="1" x14ac:dyDescent="0.2">
      <c r="A2921" s="28">
        <v>2920</v>
      </c>
      <c r="B2921" s="28" t="s">
        <v>3896</v>
      </c>
      <c r="C2921" s="28" t="s">
        <v>3838</v>
      </c>
      <c r="D2921" s="28" t="s">
        <v>3834</v>
      </c>
      <c r="E2921" s="28" t="s">
        <v>3790</v>
      </c>
      <c r="F2921" s="28" t="s">
        <v>3794</v>
      </c>
      <c r="G2921" s="28"/>
      <c r="H2921" s="28">
        <v>531556853</v>
      </c>
      <c r="I2921" s="28">
        <v>2763666</v>
      </c>
      <c r="J2921" s="28">
        <v>1.99</v>
      </c>
      <c r="K2921" s="28">
        <v>33</v>
      </c>
      <c r="L2921" s="28">
        <v>0</v>
      </c>
    </row>
    <row r="2922" spans="1:12" ht="14.25" customHeight="1" x14ac:dyDescent="0.2">
      <c r="A2922" s="28">
        <v>2921</v>
      </c>
      <c r="B2922" s="28" t="s">
        <v>3897</v>
      </c>
      <c r="C2922" s="28" t="s">
        <v>3836</v>
      </c>
      <c r="D2922" s="28" t="s">
        <v>3834</v>
      </c>
      <c r="E2922" s="28" t="s">
        <v>3790</v>
      </c>
      <c r="F2922" s="28" t="s">
        <v>3794</v>
      </c>
      <c r="G2922" s="28"/>
      <c r="H2922" s="28">
        <v>213107744</v>
      </c>
      <c r="I2922" s="28">
        <v>2620747</v>
      </c>
      <c r="J2922" s="28">
        <v>1.99</v>
      </c>
      <c r="K2922" s="28">
        <v>84</v>
      </c>
      <c r="L2922" s="28">
        <v>0</v>
      </c>
    </row>
    <row r="2923" spans="1:12" ht="14.25" customHeight="1" x14ac:dyDescent="0.2">
      <c r="A2923" s="28">
        <v>2922</v>
      </c>
      <c r="B2923" s="28" t="s">
        <v>3898</v>
      </c>
      <c r="C2923" s="28" t="s">
        <v>3838</v>
      </c>
      <c r="D2923" s="28" t="s">
        <v>3834</v>
      </c>
      <c r="E2923" s="28" t="s">
        <v>3790</v>
      </c>
      <c r="F2923" s="28" t="s">
        <v>3817</v>
      </c>
      <c r="G2923" s="28"/>
      <c r="H2923" s="28">
        <v>457364940</v>
      </c>
      <c r="I2923" s="28">
        <v>2478041</v>
      </c>
      <c r="J2923" s="28">
        <v>1.99</v>
      </c>
      <c r="K2923" s="28">
        <v>85</v>
      </c>
      <c r="L2923" s="28">
        <v>1</v>
      </c>
    </row>
    <row r="2924" spans="1:12" ht="14.25" customHeight="1" x14ac:dyDescent="0.2">
      <c r="A2924" s="28">
        <v>2923</v>
      </c>
      <c r="B2924" s="28" t="s">
        <v>3899</v>
      </c>
      <c r="C2924" s="28" t="s">
        <v>3836</v>
      </c>
      <c r="D2924" s="28" t="s">
        <v>3834</v>
      </c>
      <c r="E2924" s="28" t="s">
        <v>3790</v>
      </c>
      <c r="F2924" s="28" t="s">
        <v>3794</v>
      </c>
      <c r="G2924" s="28"/>
      <c r="H2924" s="28">
        <v>208667059</v>
      </c>
      <c r="I2924" s="28">
        <v>2605557</v>
      </c>
      <c r="J2924" s="28">
        <v>1.99</v>
      </c>
      <c r="K2924" s="28">
        <v>72</v>
      </c>
      <c r="L2924" s="28">
        <v>1</v>
      </c>
    </row>
    <row r="2925" spans="1:12" ht="14.25" customHeight="1" x14ac:dyDescent="0.2">
      <c r="A2925" s="28">
        <v>2924</v>
      </c>
      <c r="B2925" s="28" t="s">
        <v>3900</v>
      </c>
      <c r="C2925" s="28" t="s">
        <v>3838</v>
      </c>
      <c r="D2925" s="28" t="s">
        <v>3834</v>
      </c>
      <c r="E2925" s="28" t="s">
        <v>3790</v>
      </c>
      <c r="F2925" s="28" t="s">
        <v>3794</v>
      </c>
      <c r="G2925" s="28"/>
      <c r="H2925" s="28">
        <v>503619265</v>
      </c>
      <c r="I2925" s="28">
        <v>2656531</v>
      </c>
      <c r="J2925" s="28">
        <v>1.99</v>
      </c>
      <c r="K2925" s="28">
        <v>76</v>
      </c>
      <c r="L2925" s="28">
        <v>0</v>
      </c>
    </row>
    <row r="2926" spans="1:12" ht="14.25" customHeight="1" x14ac:dyDescent="0.2">
      <c r="A2926" s="28">
        <v>2925</v>
      </c>
      <c r="B2926" s="28" t="s">
        <v>3901</v>
      </c>
      <c r="C2926" s="28" t="s">
        <v>3836</v>
      </c>
      <c r="D2926" s="28" t="s">
        <v>3834</v>
      </c>
      <c r="E2926" s="28" t="s">
        <v>3790</v>
      </c>
      <c r="F2926" s="28" t="s">
        <v>3794</v>
      </c>
      <c r="G2926" s="28"/>
      <c r="H2926" s="28">
        <v>197937785</v>
      </c>
      <c r="I2926" s="28">
        <v>2619869</v>
      </c>
      <c r="J2926" s="28">
        <v>1.99</v>
      </c>
      <c r="K2926" s="28">
        <v>41</v>
      </c>
      <c r="L2926" s="28">
        <v>0</v>
      </c>
    </row>
    <row r="2927" spans="1:12" ht="14.25" customHeight="1" x14ac:dyDescent="0.2">
      <c r="A2927" s="28">
        <v>2926</v>
      </c>
      <c r="B2927" s="28" t="s">
        <v>3902</v>
      </c>
      <c r="C2927" s="28" t="s">
        <v>3903</v>
      </c>
      <c r="D2927" s="28" t="s">
        <v>3904</v>
      </c>
      <c r="E2927" s="28" t="s">
        <v>211</v>
      </c>
      <c r="F2927" s="28" t="s">
        <v>212</v>
      </c>
      <c r="G2927" s="28" t="s">
        <v>3904</v>
      </c>
      <c r="H2927" s="28">
        <v>9056902</v>
      </c>
      <c r="I2927" s="28">
        <v>276349</v>
      </c>
      <c r="J2927" s="28">
        <v>0.99</v>
      </c>
      <c r="K2927" s="28">
        <v>97</v>
      </c>
      <c r="L2927" s="28">
        <v>0</v>
      </c>
    </row>
    <row r="2928" spans="1:12" ht="14.25" customHeight="1" x14ac:dyDescent="0.2">
      <c r="A2928" s="28">
        <v>2927</v>
      </c>
      <c r="B2928" s="28" t="s">
        <v>3905</v>
      </c>
      <c r="C2928" s="28" t="s">
        <v>3903</v>
      </c>
      <c r="D2928" s="28" t="s">
        <v>3904</v>
      </c>
      <c r="E2928" s="28" t="s">
        <v>211</v>
      </c>
      <c r="F2928" s="28" t="s">
        <v>212</v>
      </c>
      <c r="G2928" s="28" t="s">
        <v>3904</v>
      </c>
      <c r="H2928" s="28">
        <v>7279392</v>
      </c>
      <c r="I2928" s="28">
        <v>221361</v>
      </c>
      <c r="J2928" s="28">
        <v>0.99</v>
      </c>
      <c r="K2928" s="28">
        <v>57</v>
      </c>
      <c r="L2928" s="28">
        <v>1</v>
      </c>
    </row>
    <row r="2929" spans="1:12" ht="14.25" customHeight="1" x14ac:dyDescent="0.2">
      <c r="A2929" s="28">
        <v>2928</v>
      </c>
      <c r="B2929" s="28" t="s">
        <v>2638</v>
      </c>
      <c r="C2929" s="28" t="s">
        <v>3903</v>
      </c>
      <c r="D2929" s="28" t="s">
        <v>3904</v>
      </c>
      <c r="E2929" s="28" t="s">
        <v>211</v>
      </c>
      <c r="F2929" s="28" t="s">
        <v>212</v>
      </c>
      <c r="G2929" s="28" t="s">
        <v>3904</v>
      </c>
      <c r="H2929" s="28">
        <v>9158892</v>
      </c>
      <c r="I2929" s="28">
        <v>276192</v>
      </c>
      <c r="J2929" s="28">
        <v>0.99</v>
      </c>
      <c r="K2929" s="28">
        <v>19</v>
      </c>
      <c r="L2929" s="28">
        <v>1</v>
      </c>
    </row>
    <row r="2930" spans="1:12" ht="14.25" customHeight="1" x14ac:dyDescent="0.2">
      <c r="A2930" s="28">
        <v>2929</v>
      </c>
      <c r="B2930" s="28" t="s">
        <v>3906</v>
      </c>
      <c r="C2930" s="28" t="s">
        <v>3903</v>
      </c>
      <c r="D2930" s="28" t="s">
        <v>3904</v>
      </c>
      <c r="E2930" s="28" t="s">
        <v>211</v>
      </c>
      <c r="F2930" s="28" t="s">
        <v>212</v>
      </c>
      <c r="G2930" s="28" t="s">
        <v>3904</v>
      </c>
      <c r="H2930" s="28">
        <v>9132485</v>
      </c>
      <c r="I2930" s="28">
        <v>278700</v>
      </c>
      <c r="J2930" s="28">
        <v>0.99</v>
      </c>
      <c r="K2930" s="28">
        <v>34</v>
      </c>
      <c r="L2930" s="28">
        <v>0</v>
      </c>
    </row>
    <row r="2931" spans="1:12" ht="14.25" customHeight="1" x14ac:dyDescent="0.2">
      <c r="A2931" s="28">
        <v>2930</v>
      </c>
      <c r="B2931" s="28" t="s">
        <v>3907</v>
      </c>
      <c r="C2931" s="28" t="s">
        <v>3903</v>
      </c>
      <c r="D2931" s="28" t="s">
        <v>3904</v>
      </c>
      <c r="E2931" s="28" t="s">
        <v>211</v>
      </c>
      <c r="F2931" s="28" t="s">
        <v>212</v>
      </c>
      <c r="G2931" s="28" t="s">
        <v>3904</v>
      </c>
      <c r="H2931" s="28">
        <v>10304369</v>
      </c>
      <c r="I2931" s="28">
        <v>316551</v>
      </c>
      <c r="J2931" s="28">
        <v>0.99</v>
      </c>
      <c r="K2931" s="28">
        <v>24</v>
      </c>
      <c r="L2931" s="28">
        <v>0</v>
      </c>
    </row>
    <row r="2932" spans="1:12" ht="14.25" customHeight="1" x14ac:dyDescent="0.2">
      <c r="A2932" s="28">
        <v>2931</v>
      </c>
      <c r="B2932" s="28" t="s">
        <v>3908</v>
      </c>
      <c r="C2932" s="28" t="s">
        <v>3903</v>
      </c>
      <c r="D2932" s="28" t="s">
        <v>3904</v>
      </c>
      <c r="E2932" s="28" t="s">
        <v>211</v>
      </c>
      <c r="F2932" s="28" t="s">
        <v>212</v>
      </c>
      <c r="G2932" s="28" t="s">
        <v>3904</v>
      </c>
      <c r="H2932" s="28">
        <v>11527614</v>
      </c>
      <c r="I2932" s="28">
        <v>349492</v>
      </c>
      <c r="J2932" s="28">
        <v>0.99</v>
      </c>
      <c r="K2932" s="28">
        <v>86</v>
      </c>
      <c r="L2932" s="28">
        <v>1</v>
      </c>
    </row>
    <row r="2933" spans="1:12" ht="14.25" customHeight="1" x14ac:dyDescent="0.2">
      <c r="A2933" s="28">
        <v>2932</v>
      </c>
      <c r="B2933" s="28" t="s">
        <v>3909</v>
      </c>
      <c r="C2933" s="28" t="s">
        <v>3903</v>
      </c>
      <c r="D2933" s="28" t="s">
        <v>3904</v>
      </c>
      <c r="E2933" s="28" t="s">
        <v>211</v>
      </c>
      <c r="F2933" s="28" t="s">
        <v>212</v>
      </c>
      <c r="G2933" s="28" t="s">
        <v>3904</v>
      </c>
      <c r="H2933" s="28">
        <v>8825399</v>
      </c>
      <c r="I2933" s="28">
        <v>268982</v>
      </c>
      <c r="J2933" s="28">
        <v>0.99</v>
      </c>
      <c r="K2933" s="28">
        <v>21</v>
      </c>
      <c r="L2933" s="28">
        <v>1</v>
      </c>
    </row>
    <row r="2934" spans="1:12" ht="14.25" customHeight="1" x14ac:dyDescent="0.2">
      <c r="A2934" s="28">
        <v>2933</v>
      </c>
      <c r="B2934" s="28" t="s">
        <v>3910</v>
      </c>
      <c r="C2934" s="28" t="s">
        <v>3903</v>
      </c>
      <c r="D2934" s="28" t="s">
        <v>3904</v>
      </c>
      <c r="E2934" s="28" t="s">
        <v>211</v>
      </c>
      <c r="F2934" s="28" t="s">
        <v>212</v>
      </c>
      <c r="G2934" s="28" t="s">
        <v>3904</v>
      </c>
      <c r="H2934" s="28">
        <v>8062057</v>
      </c>
      <c r="I2934" s="28">
        <v>243826</v>
      </c>
      <c r="J2934" s="28">
        <v>0.99</v>
      </c>
      <c r="K2934" s="28">
        <v>82</v>
      </c>
      <c r="L2934" s="28">
        <v>0</v>
      </c>
    </row>
    <row r="2935" spans="1:12" ht="14.25" customHeight="1" x14ac:dyDescent="0.2">
      <c r="A2935" s="28">
        <v>2934</v>
      </c>
      <c r="B2935" s="28" t="s">
        <v>3911</v>
      </c>
      <c r="C2935" s="28" t="s">
        <v>3903</v>
      </c>
      <c r="D2935" s="28" t="s">
        <v>3904</v>
      </c>
      <c r="E2935" s="28" t="s">
        <v>211</v>
      </c>
      <c r="F2935" s="28" t="s">
        <v>212</v>
      </c>
      <c r="G2935" s="28" t="s">
        <v>3904</v>
      </c>
      <c r="H2935" s="28">
        <v>7612124</v>
      </c>
      <c r="I2935" s="28">
        <v>232463</v>
      </c>
      <c r="J2935" s="28">
        <v>0.99</v>
      </c>
      <c r="K2935" s="28">
        <v>27</v>
      </c>
      <c r="L2935" s="28">
        <v>0</v>
      </c>
    </row>
    <row r="2936" spans="1:12" ht="14.25" customHeight="1" x14ac:dyDescent="0.2">
      <c r="A2936" s="28">
        <v>2935</v>
      </c>
      <c r="B2936" s="28" t="s">
        <v>3912</v>
      </c>
      <c r="C2936" s="28" t="s">
        <v>3903</v>
      </c>
      <c r="D2936" s="28" t="s">
        <v>3904</v>
      </c>
      <c r="E2936" s="28" t="s">
        <v>211</v>
      </c>
      <c r="F2936" s="28" t="s">
        <v>212</v>
      </c>
      <c r="G2936" s="28" t="s">
        <v>3904</v>
      </c>
      <c r="H2936" s="28">
        <v>10754631</v>
      </c>
      <c r="I2936" s="28">
        <v>330788</v>
      </c>
      <c r="J2936" s="28">
        <v>0.99</v>
      </c>
      <c r="K2936" s="28">
        <v>39</v>
      </c>
      <c r="L2936" s="28">
        <v>0</v>
      </c>
    </row>
    <row r="2937" spans="1:12" ht="14.25" customHeight="1" x14ac:dyDescent="0.2">
      <c r="A2937" s="28">
        <v>2936</v>
      </c>
      <c r="B2937" s="28" t="s">
        <v>3913</v>
      </c>
      <c r="C2937" s="28" t="s">
        <v>3903</v>
      </c>
      <c r="D2937" s="28" t="s">
        <v>3904</v>
      </c>
      <c r="E2937" s="28" t="s">
        <v>211</v>
      </c>
      <c r="F2937" s="28" t="s">
        <v>212</v>
      </c>
      <c r="G2937" s="28" t="s">
        <v>3904</v>
      </c>
      <c r="H2937" s="28">
        <v>8824723</v>
      </c>
      <c r="I2937" s="28">
        <v>270288</v>
      </c>
      <c r="J2937" s="28">
        <v>0.99</v>
      </c>
      <c r="K2937" s="28">
        <v>38</v>
      </c>
      <c r="L2937" s="28">
        <v>1</v>
      </c>
    </row>
    <row r="2938" spans="1:12" ht="14.25" customHeight="1" x14ac:dyDescent="0.2">
      <c r="A2938" s="28">
        <v>2937</v>
      </c>
      <c r="B2938" s="28" t="s">
        <v>3914</v>
      </c>
      <c r="C2938" s="28" t="s">
        <v>3903</v>
      </c>
      <c r="D2938" s="28" t="s">
        <v>3904</v>
      </c>
      <c r="E2938" s="28" t="s">
        <v>211</v>
      </c>
      <c r="F2938" s="28" t="s">
        <v>212</v>
      </c>
      <c r="G2938" s="28" t="s">
        <v>3904</v>
      </c>
      <c r="H2938" s="28">
        <v>8531766</v>
      </c>
      <c r="I2938" s="28">
        <v>263497</v>
      </c>
      <c r="J2938" s="28">
        <v>0.99</v>
      </c>
      <c r="K2938" s="28">
        <v>61</v>
      </c>
      <c r="L2938" s="28">
        <v>1</v>
      </c>
    </row>
    <row r="2939" spans="1:12" ht="14.25" customHeight="1" x14ac:dyDescent="0.2">
      <c r="A2939" s="28">
        <v>2938</v>
      </c>
      <c r="B2939" s="28" t="s">
        <v>3915</v>
      </c>
      <c r="C2939" s="28" t="s">
        <v>3916</v>
      </c>
      <c r="D2939" s="28" t="s">
        <v>3904</v>
      </c>
      <c r="E2939" s="28" t="s">
        <v>211</v>
      </c>
      <c r="F2939" s="28" t="s">
        <v>212</v>
      </c>
      <c r="G2939" s="28" t="s">
        <v>3917</v>
      </c>
      <c r="H2939" s="28">
        <v>8056723</v>
      </c>
      <c r="I2939" s="28">
        <v>248163</v>
      </c>
      <c r="J2939" s="28">
        <v>0.99</v>
      </c>
      <c r="K2939" s="28">
        <v>17</v>
      </c>
      <c r="L2939" s="28">
        <v>0</v>
      </c>
    </row>
    <row r="2940" spans="1:12" ht="14.25" customHeight="1" x14ac:dyDescent="0.2">
      <c r="A2940" s="28">
        <v>2939</v>
      </c>
      <c r="B2940" s="28" t="s">
        <v>3918</v>
      </c>
      <c r="C2940" s="28" t="s">
        <v>3916</v>
      </c>
      <c r="D2940" s="28" t="s">
        <v>3904</v>
      </c>
      <c r="E2940" s="28" t="s">
        <v>211</v>
      </c>
      <c r="F2940" s="28" t="s">
        <v>212</v>
      </c>
      <c r="G2940" s="28" t="s">
        <v>3917</v>
      </c>
      <c r="H2940" s="28">
        <v>8997366</v>
      </c>
      <c r="I2940" s="28">
        <v>272378</v>
      </c>
      <c r="J2940" s="28">
        <v>0.99</v>
      </c>
      <c r="K2940" s="28">
        <v>62</v>
      </c>
      <c r="L2940" s="28">
        <v>0</v>
      </c>
    </row>
    <row r="2941" spans="1:12" ht="14.25" customHeight="1" x14ac:dyDescent="0.2">
      <c r="A2941" s="28">
        <v>2940</v>
      </c>
      <c r="B2941" s="28" t="s">
        <v>3919</v>
      </c>
      <c r="C2941" s="28" t="s">
        <v>3916</v>
      </c>
      <c r="D2941" s="28" t="s">
        <v>3904</v>
      </c>
      <c r="E2941" s="28" t="s">
        <v>211</v>
      </c>
      <c r="F2941" s="28" t="s">
        <v>212</v>
      </c>
      <c r="G2941" s="28" t="s">
        <v>3917</v>
      </c>
      <c r="H2941" s="28">
        <v>7479414</v>
      </c>
      <c r="I2941" s="28">
        <v>227552</v>
      </c>
      <c r="J2941" s="28">
        <v>0.99</v>
      </c>
      <c r="K2941" s="28">
        <v>52</v>
      </c>
      <c r="L2941" s="28">
        <v>0</v>
      </c>
    </row>
    <row r="2942" spans="1:12" ht="14.25" customHeight="1" x14ac:dyDescent="0.2">
      <c r="A2942" s="28">
        <v>2941</v>
      </c>
      <c r="B2942" s="28" t="s">
        <v>3920</v>
      </c>
      <c r="C2942" s="28" t="s">
        <v>3916</v>
      </c>
      <c r="D2942" s="28" t="s">
        <v>3904</v>
      </c>
      <c r="E2942" s="28" t="s">
        <v>211</v>
      </c>
      <c r="F2942" s="28" t="s">
        <v>212</v>
      </c>
      <c r="G2942" s="28" t="s">
        <v>3917</v>
      </c>
      <c r="H2942" s="28">
        <v>9800861</v>
      </c>
      <c r="I2942" s="28">
        <v>296280</v>
      </c>
      <c r="J2942" s="28">
        <v>0.99</v>
      </c>
      <c r="K2942" s="28">
        <v>76</v>
      </c>
      <c r="L2942" s="28">
        <v>1</v>
      </c>
    </row>
    <row r="2943" spans="1:12" ht="14.25" customHeight="1" x14ac:dyDescent="0.2">
      <c r="A2943" s="28">
        <v>2942</v>
      </c>
      <c r="B2943" s="28" t="s">
        <v>3921</v>
      </c>
      <c r="C2943" s="28" t="s">
        <v>3916</v>
      </c>
      <c r="D2943" s="28" t="s">
        <v>3904</v>
      </c>
      <c r="E2943" s="28" t="s">
        <v>211</v>
      </c>
      <c r="F2943" s="28" t="s">
        <v>212</v>
      </c>
      <c r="G2943" s="28" t="s">
        <v>3917</v>
      </c>
      <c r="H2943" s="28">
        <v>8765761</v>
      </c>
      <c r="I2943" s="28">
        <v>266893</v>
      </c>
      <c r="J2943" s="28">
        <v>0.99</v>
      </c>
      <c r="K2943" s="28">
        <v>19</v>
      </c>
      <c r="L2943" s="28">
        <v>0</v>
      </c>
    </row>
    <row r="2944" spans="1:12" ht="14.25" customHeight="1" x14ac:dyDescent="0.2">
      <c r="A2944" s="28">
        <v>2943</v>
      </c>
      <c r="B2944" s="28" t="s">
        <v>3922</v>
      </c>
      <c r="C2944" s="28" t="s">
        <v>3916</v>
      </c>
      <c r="D2944" s="28" t="s">
        <v>3904</v>
      </c>
      <c r="E2944" s="28" t="s">
        <v>211</v>
      </c>
      <c r="F2944" s="28" t="s">
        <v>212</v>
      </c>
      <c r="G2944" s="28" t="s">
        <v>3917</v>
      </c>
      <c r="H2944" s="28">
        <v>7189647</v>
      </c>
      <c r="I2944" s="28">
        <v>219271</v>
      </c>
      <c r="J2944" s="28">
        <v>0.99</v>
      </c>
      <c r="K2944" s="28">
        <v>52</v>
      </c>
      <c r="L2944" s="28">
        <v>0</v>
      </c>
    </row>
    <row r="2945" spans="1:12" ht="14.25" customHeight="1" x14ac:dyDescent="0.2">
      <c r="A2945" s="28">
        <v>2944</v>
      </c>
      <c r="B2945" s="28" t="s">
        <v>3923</v>
      </c>
      <c r="C2945" s="28" t="s">
        <v>3916</v>
      </c>
      <c r="D2945" s="28" t="s">
        <v>3904</v>
      </c>
      <c r="E2945" s="28" t="s">
        <v>211</v>
      </c>
      <c r="F2945" s="28" t="s">
        <v>212</v>
      </c>
      <c r="G2945" s="28" t="s">
        <v>3917</v>
      </c>
      <c r="H2945" s="28">
        <v>7466069</v>
      </c>
      <c r="I2945" s="28">
        <v>226768</v>
      </c>
      <c r="J2945" s="28">
        <v>0.99</v>
      </c>
      <c r="K2945" s="28">
        <v>51</v>
      </c>
      <c r="L2945" s="28">
        <v>0</v>
      </c>
    </row>
    <row r="2946" spans="1:12" ht="14.25" customHeight="1" x14ac:dyDescent="0.2">
      <c r="A2946" s="28">
        <v>2945</v>
      </c>
      <c r="B2946" s="28" t="s">
        <v>3924</v>
      </c>
      <c r="C2946" s="28" t="s">
        <v>3916</v>
      </c>
      <c r="D2946" s="28" t="s">
        <v>3904</v>
      </c>
      <c r="E2946" s="28" t="s">
        <v>211</v>
      </c>
      <c r="F2946" s="28" t="s">
        <v>212</v>
      </c>
      <c r="G2946" s="28" t="s">
        <v>3917</v>
      </c>
      <c r="H2946" s="28">
        <v>9476171</v>
      </c>
      <c r="I2946" s="28">
        <v>288496</v>
      </c>
      <c r="J2946" s="28">
        <v>0.99</v>
      </c>
      <c r="K2946" s="28">
        <v>25</v>
      </c>
      <c r="L2946" s="28">
        <v>2</v>
      </c>
    </row>
    <row r="2947" spans="1:12" ht="14.25" customHeight="1" x14ac:dyDescent="0.2">
      <c r="A2947" s="28">
        <v>2946</v>
      </c>
      <c r="B2947" s="28" t="s">
        <v>3925</v>
      </c>
      <c r="C2947" s="28" t="s">
        <v>3916</v>
      </c>
      <c r="D2947" s="28" t="s">
        <v>3904</v>
      </c>
      <c r="E2947" s="28" t="s">
        <v>211</v>
      </c>
      <c r="F2947" s="28" t="s">
        <v>212</v>
      </c>
      <c r="G2947" s="28" t="s">
        <v>3917</v>
      </c>
      <c r="H2947" s="28">
        <v>8500491</v>
      </c>
      <c r="I2947" s="28">
        <v>257776</v>
      </c>
      <c r="J2947" s="28">
        <v>0.99</v>
      </c>
      <c r="K2947" s="28">
        <v>56</v>
      </c>
      <c r="L2947" s="28">
        <v>2</v>
      </c>
    </row>
    <row r="2948" spans="1:12" ht="14.25" customHeight="1" x14ac:dyDescent="0.2">
      <c r="A2948" s="28">
        <v>2947</v>
      </c>
      <c r="B2948" s="28" t="s">
        <v>186</v>
      </c>
      <c r="C2948" s="28" t="s">
        <v>3916</v>
      </c>
      <c r="D2948" s="28" t="s">
        <v>3904</v>
      </c>
      <c r="E2948" s="28" t="s">
        <v>211</v>
      </c>
      <c r="F2948" s="28" t="s">
        <v>212</v>
      </c>
      <c r="G2948" s="28" t="s">
        <v>3917</v>
      </c>
      <c r="H2948" s="28">
        <v>10862323</v>
      </c>
      <c r="I2948" s="28">
        <v>330370</v>
      </c>
      <c r="J2948" s="28">
        <v>0.99</v>
      </c>
      <c r="K2948" s="28">
        <v>3</v>
      </c>
      <c r="L2948" s="28">
        <v>1</v>
      </c>
    </row>
    <row r="2949" spans="1:12" ht="14.25" customHeight="1" x14ac:dyDescent="0.2">
      <c r="A2949" s="28">
        <v>2948</v>
      </c>
      <c r="B2949" s="28" t="s">
        <v>3926</v>
      </c>
      <c r="C2949" s="28" t="s">
        <v>3916</v>
      </c>
      <c r="D2949" s="28" t="s">
        <v>3904</v>
      </c>
      <c r="E2949" s="28" t="s">
        <v>211</v>
      </c>
      <c r="F2949" s="28" t="s">
        <v>212</v>
      </c>
      <c r="G2949" s="28" t="s">
        <v>3917</v>
      </c>
      <c r="H2949" s="28">
        <v>10877148</v>
      </c>
      <c r="I2949" s="28">
        <v>330657</v>
      </c>
      <c r="J2949" s="28">
        <v>0.99</v>
      </c>
      <c r="K2949" s="28">
        <v>53</v>
      </c>
      <c r="L2949" s="28">
        <v>0</v>
      </c>
    </row>
    <row r="2950" spans="1:12" ht="14.25" customHeight="1" x14ac:dyDescent="0.2">
      <c r="A2950" s="28">
        <v>2949</v>
      </c>
      <c r="B2950" s="28" t="s">
        <v>3927</v>
      </c>
      <c r="C2950" s="28" t="s">
        <v>3928</v>
      </c>
      <c r="D2950" s="28" t="s">
        <v>3904</v>
      </c>
      <c r="E2950" s="28" t="s">
        <v>211</v>
      </c>
      <c r="F2950" s="28" t="s">
        <v>212</v>
      </c>
      <c r="G2950" s="28" t="s">
        <v>3904</v>
      </c>
      <c r="H2950" s="28">
        <v>7717990</v>
      </c>
      <c r="I2950" s="28">
        <v>234788</v>
      </c>
      <c r="J2950" s="28">
        <v>0.99</v>
      </c>
      <c r="K2950" s="28">
        <v>9</v>
      </c>
      <c r="L2950" s="28">
        <v>1</v>
      </c>
    </row>
    <row r="2951" spans="1:12" ht="14.25" customHeight="1" x14ac:dyDescent="0.2">
      <c r="A2951" s="28">
        <v>2950</v>
      </c>
      <c r="B2951" s="28" t="s">
        <v>3929</v>
      </c>
      <c r="C2951" s="28" t="s">
        <v>3928</v>
      </c>
      <c r="D2951" s="28" t="s">
        <v>3904</v>
      </c>
      <c r="E2951" s="28" t="s">
        <v>211</v>
      </c>
      <c r="F2951" s="28" t="s">
        <v>212</v>
      </c>
      <c r="G2951" s="28" t="s">
        <v>3904</v>
      </c>
      <c r="H2951" s="28">
        <v>6392710</v>
      </c>
      <c r="I2951" s="28">
        <v>196702</v>
      </c>
      <c r="J2951" s="28">
        <v>0.99</v>
      </c>
      <c r="K2951" s="28">
        <v>12</v>
      </c>
      <c r="L2951" s="28">
        <v>1</v>
      </c>
    </row>
    <row r="2952" spans="1:12" ht="14.25" customHeight="1" x14ac:dyDescent="0.2">
      <c r="A2952" s="28">
        <v>2951</v>
      </c>
      <c r="B2952" s="28" t="s">
        <v>3930</v>
      </c>
      <c r="C2952" s="28" t="s">
        <v>3928</v>
      </c>
      <c r="D2952" s="28" t="s">
        <v>3904</v>
      </c>
      <c r="E2952" s="28" t="s">
        <v>211</v>
      </c>
      <c r="F2952" s="28" t="s">
        <v>212</v>
      </c>
      <c r="G2952" s="28" t="s">
        <v>3904</v>
      </c>
      <c r="H2952" s="28">
        <v>6154896</v>
      </c>
      <c r="I2952" s="28">
        <v>185103</v>
      </c>
      <c r="J2952" s="28">
        <v>0.99</v>
      </c>
      <c r="K2952" s="28">
        <v>88</v>
      </c>
      <c r="L2952" s="28">
        <v>1</v>
      </c>
    </row>
    <row r="2953" spans="1:12" ht="14.25" customHeight="1" x14ac:dyDescent="0.2">
      <c r="A2953" s="28">
        <v>2952</v>
      </c>
      <c r="B2953" s="28" t="s">
        <v>3931</v>
      </c>
      <c r="C2953" s="28" t="s">
        <v>3928</v>
      </c>
      <c r="D2953" s="28" t="s">
        <v>3904</v>
      </c>
      <c r="E2953" s="28" t="s">
        <v>211</v>
      </c>
      <c r="F2953" s="28" t="s">
        <v>212</v>
      </c>
      <c r="G2953" s="28" t="s">
        <v>3904</v>
      </c>
      <c r="H2953" s="28">
        <v>9328802</v>
      </c>
      <c r="I2953" s="28">
        <v>282671</v>
      </c>
      <c r="J2953" s="28">
        <v>0.99</v>
      </c>
      <c r="K2953" s="28">
        <v>65</v>
      </c>
      <c r="L2953" s="28">
        <v>0</v>
      </c>
    </row>
    <row r="2954" spans="1:12" ht="14.25" customHeight="1" x14ac:dyDescent="0.2">
      <c r="A2954" s="28">
        <v>2953</v>
      </c>
      <c r="B2954" s="28" t="s">
        <v>3932</v>
      </c>
      <c r="C2954" s="28" t="s">
        <v>3928</v>
      </c>
      <c r="D2954" s="28" t="s">
        <v>3904</v>
      </c>
      <c r="E2954" s="28" t="s">
        <v>211</v>
      </c>
      <c r="F2954" s="28" t="s">
        <v>212</v>
      </c>
      <c r="G2954" s="28" t="s">
        <v>3904</v>
      </c>
      <c r="H2954" s="28">
        <v>6834107</v>
      </c>
      <c r="I2954" s="28">
        <v>213289</v>
      </c>
      <c r="J2954" s="28">
        <v>0.99</v>
      </c>
      <c r="K2954" s="28">
        <v>53</v>
      </c>
      <c r="L2954" s="28">
        <v>1</v>
      </c>
    </row>
    <row r="2955" spans="1:12" ht="14.25" customHeight="1" x14ac:dyDescent="0.2">
      <c r="A2955" s="28">
        <v>2954</v>
      </c>
      <c r="B2955" s="28" t="s">
        <v>3933</v>
      </c>
      <c r="C2955" s="28" t="s">
        <v>3928</v>
      </c>
      <c r="D2955" s="28" t="s">
        <v>3904</v>
      </c>
      <c r="E2955" s="28" t="s">
        <v>211</v>
      </c>
      <c r="F2955" s="28" t="s">
        <v>212</v>
      </c>
      <c r="G2955" s="28" t="s">
        <v>3934</v>
      </c>
      <c r="H2955" s="28">
        <v>9488294</v>
      </c>
      <c r="I2955" s="28">
        <v>287895</v>
      </c>
      <c r="J2955" s="28">
        <v>0.99</v>
      </c>
      <c r="K2955" s="28">
        <v>94</v>
      </c>
      <c r="L2955" s="28">
        <v>1</v>
      </c>
    </row>
    <row r="2956" spans="1:12" ht="14.25" customHeight="1" x14ac:dyDescent="0.2">
      <c r="A2956" s="28">
        <v>2955</v>
      </c>
      <c r="B2956" s="28" t="s">
        <v>3935</v>
      </c>
      <c r="C2956" s="28" t="s">
        <v>3928</v>
      </c>
      <c r="D2956" s="28" t="s">
        <v>3904</v>
      </c>
      <c r="E2956" s="28" t="s">
        <v>211</v>
      </c>
      <c r="F2956" s="28" t="s">
        <v>212</v>
      </c>
      <c r="G2956" s="28" t="s">
        <v>3936</v>
      </c>
      <c r="H2956" s="28">
        <v>6708932</v>
      </c>
      <c r="I2956" s="28">
        <v>202631</v>
      </c>
      <c r="J2956" s="28">
        <v>0.99</v>
      </c>
      <c r="K2956" s="28">
        <v>79</v>
      </c>
      <c r="L2956" s="28">
        <v>2</v>
      </c>
    </row>
    <row r="2957" spans="1:12" ht="14.25" customHeight="1" x14ac:dyDescent="0.2">
      <c r="A2957" s="28">
        <v>2956</v>
      </c>
      <c r="B2957" s="28" t="s">
        <v>3937</v>
      </c>
      <c r="C2957" s="28" t="s">
        <v>3928</v>
      </c>
      <c r="D2957" s="28" t="s">
        <v>3904</v>
      </c>
      <c r="E2957" s="28" t="s">
        <v>211</v>
      </c>
      <c r="F2957" s="28" t="s">
        <v>212</v>
      </c>
      <c r="G2957" s="28" t="s">
        <v>3938</v>
      </c>
      <c r="H2957" s="28">
        <v>9597568</v>
      </c>
      <c r="I2957" s="28">
        <v>294164</v>
      </c>
      <c r="J2957" s="28">
        <v>0.99</v>
      </c>
      <c r="K2957" s="28">
        <v>26</v>
      </c>
      <c r="L2957" s="28">
        <v>0</v>
      </c>
    </row>
    <row r="2958" spans="1:12" ht="14.25" customHeight="1" x14ac:dyDescent="0.2">
      <c r="A2958" s="28">
        <v>2957</v>
      </c>
      <c r="B2958" s="28" t="s">
        <v>3939</v>
      </c>
      <c r="C2958" s="28" t="s">
        <v>3928</v>
      </c>
      <c r="D2958" s="28" t="s">
        <v>3904</v>
      </c>
      <c r="E2958" s="28" t="s">
        <v>211</v>
      </c>
      <c r="F2958" s="28" t="s">
        <v>212</v>
      </c>
      <c r="G2958" s="28" t="s">
        <v>3904</v>
      </c>
      <c r="H2958" s="28">
        <v>9523336</v>
      </c>
      <c r="I2958" s="28">
        <v>289253</v>
      </c>
      <c r="J2958" s="28">
        <v>0.99</v>
      </c>
      <c r="K2958" s="28">
        <v>56</v>
      </c>
      <c r="L2958" s="28">
        <v>1</v>
      </c>
    </row>
    <row r="2959" spans="1:12" ht="14.25" customHeight="1" x14ac:dyDescent="0.2">
      <c r="A2959" s="28">
        <v>2958</v>
      </c>
      <c r="B2959" s="28" t="s">
        <v>3940</v>
      </c>
      <c r="C2959" s="28" t="s">
        <v>3928</v>
      </c>
      <c r="D2959" s="28" t="s">
        <v>3904</v>
      </c>
      <c r="E2959" s="28" t="s">
        <v>211</v>
      </c>
      <c r="F2959" s="28" t="s">
        <v>212</v>
      </c>
      <c r="G2959" s="28" t="s">
        <v>3941</v>
      </c>
      <c r="H2959" s="28">
        <v>9015513</v>
      </c>
      <c r="I2959" s="28">
        <v>277760</v>
      </c>
      <c r="J2959" s="28">
        <v>0.99</v>
      </c>
      <c r="K2959" s="28">
        <v>72</v>
      </c>
      <c r="L2959" s="28">
        <v>0</v>
      </c>
    </row>
    <row r="2960" spans="1:12" ht="14.25" customHeight="1" x14ac:dyDescent="0.2">
      <c r="A2960" s="28">
        <v>2959</v>
      </c>
      <c r="B2960" s="28" t="s">
        <v>3942</v>
      </c>
      <c r="C2960" s="28" t="s">
        <v>3928</v>
      </c>
      <c r="D2960" s="28" t="s">
        <v>3904</v>
      </c>
      <c r="E2960" s="28" t="s">
        <v>211</v>
      </c>
      <c r="F2960" s="28" t="s">
        <v>212</v>
      </c>
      <c r="G2960" s="28" t="s">
        <v>3904</v>
      </c>
      <c r="H2960" s="28">
        <v>8027028</v>
      </c>
      <c r="I2960" s="28">
        <v>242364</v>
      </c>
      <c r="J2960" s="28">
        <v>0.99</v>
      </c>
      <c r="K2960" s="28">
        <v>21</v>
      </c>
      <c r="L2960" s="28">
        <v>2</v>
      </c>
    </row>
    <row r="2961" spans="1:12" ht="14.25" customHeight="1" x14ac:dyDescent="0.2">
      <c r="A2961" s="28">
        <v>2960</v>
      </c>
      <c r="B2961" s="28" t="s">
        <v>3943</v>
      </c>
      <c r="C2961" s="28" t="s">
        <v>3928</v>
      </c>
      <c r="D2961" s="28" t="s">
        <v>3904</v>
      </c>
      <c r="E2961" s="28" t="s">
        <v>211</v>
      </c>
      <c r="F2961" s="28" t="s">
        <v>212</v>
      </c>
      <c r="G2961" s="28" t="s">
        <v>3944</v>
      </c>
      <c r="H2961" s="28">
        <v>9199746</v>
      </c>
      <c r="I2961" s="28">
        <v>279875</v>
      </c>
      <c r="J2961" s="28">
        <v>0.99</v>
      </c>
      <c r="K2961" s="28">
        <v>57</v>
      </c>
      <c r="L2961" s="28">
        <v>0</v>
      </c>
    </row>
    <row r="2962" spans="1:12" ht="14.25" customHeight="1" x14ac:dyDescent="0.2">
      <c r="A2962" s="28">
        <v>2961</v>
      </c>
      <c r="B2962" s="28" t="s">
        <v>3945</v>
      </c>
      <c r="C2962" s="28" t="s">
        <v>3928</v>
      </c>
      <c r="D2962" s="28" t="s">
        <v>3904</v>
      </c>
      <c r="E2962" s="28" t="s">
        <v>211</v>
      </c>
      <c r="F2962" s="28" t="s">
        <v>212</v>
      </c>
      <c r="G2962" s="28" t="s">
        <v>3904</v>
      </c>
      <c r="H2962" s="28">
        <v>5899070</v>
      </c>
      <c r="I2962" s="28">
        <v>179879</v>
      </c>
      <c r="J2962" s="28">
        <v>0.99</v>
      </c>
      <c r="K2962" s="28">
        <v>22</v>
      </c>
      <c r="L2962" s="28">
        <v>0</v>
      </c>
    </row>
    <row r="2963" spans="1:12" ht="14.25" customHeight="1" x14ac:dyDescent="0.2">
      <c r="A2963" s="28">
        <v>2962</v>
      </c>
      <c r="B2963" s="28" t="s">
        <v>3946</v>
      </c>
      <c r="C2963" s="28" t="s">
        <v>3928</v>
      </c>
      <c r="D2963" s="28" t="s">
        <v>3904</v>
      </c>
      <c r="E2963" s="28" t="s">
        <v>211</v>
      </c>
      <c r="F2963" s="28" t="s">
        <v>212</v>
      </c>
      <c r="G2963" s="28" t="s">
        <v>3904</v>
      </c>
      <c r="H2963" s="28">
        <v>9015416</v>
      </c>
      <c r="I2963" s="28">
        <v>274546</v>
      </c>
      <c r="J2963" s="28">
        <v>0.99</v>
      </c>
      <c r="K2963" s="28">
        <v>37</v>
      </c>
      <c r="L2963" s="28">
        <v>0</v>
      </c>
    </row>
    <row r="2964" spans="1:12" ht="14.25" customHeight="1" x14ac:dyDescent="0.2">
      <c r="A2964" s="28">
        <v>2963</v>
      </c>
      <c r="B2964" s="28" t="s">
        <v>3947</v>
      </c>
      <c r="C2964" s="28" t="s">
        <v>3928</v>
      </c>
      <c r="D2964" s="28" t="s">
        <v>3904</v>
      </c>
      <c r="E2964" s="28" t="s">
        <v>211</v>
      </c>
      <c r="F2964" s="28" t="s">
        <v>212</v>
      </c>
      <c r="G2964" s="28" t="s">
        <v>3904</v>
      </c>
      <c r="H2964" s="28">
        <v>5083523</v>
      </c>
      <c r="I2964" s="28">
        <v>153965</v>
      </c>
      <c r="J2964" s="28">
        <v>0.99</v>
      </c>
      <c r="K2964" s="28">
        <v>97</v>
      </c>
      <c r="L2964" s="28">
        <v>1</v>
      </c>
    </row>
    <row r="2965" spans="1:12" ht="14.25" customHeight="1" x14ac:dyDescent="0.2">
      <c r="A2965" s="28">
        <v>2964</v>
      </c>
      <c r="B2965" s="28" t="s">
        <v>3948</v>
      </c>
      <c r="C2965" s="28" t="s">
        <v>3949</v>
      </c>
      <c r="D2965" s="28" t="s">
        <v>3904</v>
      </c>
      <c r="E2965" s="28" t="s">
        <v>211</v>
      </c>
      <c r="F2965" s="28" t="s">
        <v>212</v>
      </c>
      <c r="G2965" s="28" t="s">
        <v>3950</v>
      </c>
      <c r="H2965" s="28">
        <v>6329502</v>
      </c>
      <c r="I2965" s="28">
        <v>194612</v>
      </c>
      <c r="J2965" s="28">
        <v>0.99</v>
      </c>
      <c r="K2965" s="28">
        <v>37</v>
      </c>
      <c r="L2965" s="28">
        <v>1</v>
      </c>
    </row>
    <row r="2966" spans="1:12" ht="14.25" customHeight="1" x14ac:dyDescent="0.2">
      <c r="A2966" s="28">
        <v>2965</v>
      </c>
      <c r="B2966" s="28" t="s">
        <v>3951</v>
      </c>
      <c r="C2966" s="28" t="s">
        <v>3949</v>
      </c>
      <c r="D2966" s="28" t="s">
        <v>3904</v>
      </c>
      <c r="E2966" s="28" t="s">
        <v>211</v>
      </c>
      <c r="F2966" s="28" t="s">
        <v>212</v>
      </c>
      <c r="G2966" s="28" t="s">
        <v>3950</v>
      </c>
      <c r="H2966" s="28">
        <v>7760916</v>
      </c>
      <c r="I2966" s="28">
        <v>239124</v>
      </c>
      <c r="J2966" s="28">
        <v>0.99</v>
      </c>
      <c r="K2966" s="28">
        <v>7</v>
      </c>
      <c r="L2966" s="28">
        <v>0</v>
      </c>
    </row>
    <row r="2967" spans="1:12" ht="14.25" customHeight="1" x14ac:dyDescent="0.2">
      <c r="A2967" s="28">
        <v>2966</v>
      </c>
      <c r="B2967" s="28" t="s">
        <v>3952</v>
      </c>
      <c r="C2967" s="28" t="s">
        <v>3949</v>
      </c>
      <c r="D2967" s="28" t="s">
        <v>3904</v>
      </c>
      <c r="E2967" s="28" t="s">
        <v>211</v>
      </c>
      <c r="F2967" s="28" t="s">
        <v>212</v>
      </c>
      <c r="G2967" s="28" t="s">
        <v>3950</v>
      </c>
      <c r="H2967" s="28">
        <v>10112863</v>
      </c>
      <c r="I2967" s="28">
        <v>308976</v>
      </c>
      <c r="J2967" s="28">
        <v>0.99</v>
      </c>
      <c r="K2967" s="28">
        <v>86</v>
      </c>
      <c r="L2967" s="28">
        <v>0</v>
      </c>
    </row>
    <row r="2968" spans="1:12" ht="14.25" customHeight="1" x14ac:dyDescent="0.2">
      <c r="A2968" s="28">
        <v>2967</v>
      </c>
      <c r="B2968" s="28" t="s">
        <v>3953</v>
      </c>
      <c r="C2968" s="28" t="s">
        <v>3949</v>
      </c>
      <c r="D2968" s="28" t="s">
        <v>3904</v>
      </c>
      <c r="E2968" s="28" t="s">
        <v>211</v>
      </c>
      <c r="F2968" s="28" t="s">
        <v>212</v>
      </c>
      <c r="G2968" s="28" t="s">
        <v>3950</v>
      </c>
      <c r="H2968" s="28">
        <v>9476723</v>
      </c>
      <c r="I2968" s="28">
        <v>290690</v>
      </c>
      <c r="J2968" s="28">
        <v>0.99</v>
      </c>
      <c r="K2968" s="28">
        <v>76</v>
      </c>
      <c r="L2968" s="28">
        <v>1</v>
      </c>
    </row>
    <row r="2969" spans="1:12" ht="14.25" customHeight="1" x14ac:dyDescent="0.2">
      <c r="A2969" s="28">
        <v>2968</v>
      </c>
      <c r="B2969" s="28" t="s">
        <v>3954</v>
      </c>
      <c r="C2969" s="28" t="s">
        <v>3949</v>
      </c>
      <c r="D2969" s="28" t="s">
        <v>3904</v>
      </c>
      <c r="E2969" s="28" t="s">
        <v>211</v>
      </c>
      <c r="F2969" s="28" t="s">
        <v>212</v>
      </c>
      <c r="G2969" s="28" t="s">
        <v>3950</v>
      </c>
      <c r="H2969" s="28">
        <v>11432026</v>
      </c>
      <c r="I2969" s="28">
        <v>347951</v>
      </c>
      <c r="J2969" s="28">
        <v>0.99</v>
      </c>
      <c r="K2969" s="28">
        <v>5</v>
      </c>
      <c r="L2969" s="28">
        <v>2</v>
      </c>
    </row>
    <row r="2970" spans="1:12" ht="14.25" customHeight="1" x14ac:dyDescent="0.2">
      <c r="A2970" s="28">
        <v>2969</v>
      </c>
      <c r="B2970" s="28" t="s">
        <v>3955</v>
      </c>
      <c r="C2970" s="28" t="s">
        <v>3949</v>
      </c>
      <c r="D2970" s="28" t="s">
        <v>3904</v>
      </c>
      <c r="E2970" s="28" t="s">
        <v>211</v>
      </c>
      <c r="F2970" s="28" t="s">
        <v>212</v>
      </c>
      <c r="G2970" s="28" t="s">
        <v>3950</v>
      </c>
      <c r="H2970" s="28">
        <v>7198014</v>
      </c>
      <c r="I2970" s="28">
        <v>219141</v>
      </c>
      <c r="J2970" s="28">
        <v>0.99</v>
      </c>
      <c r="K2970" s="28">
        <v>62</v>
      </c>
      <c r="L2970" s="28">
        <v>1</v>
      </c>
    </row>
    <row r="2971" spans="1:12" ht="14.25" customHeight="1" x14ac:dyDescent="0.2">
      <c r="A2971" s="28">
        <v>2970</v>
      </c>
      <c r="B2971" s="28" t="s">
        <v>3956</v>
      </c>
      <c r="C2971" s="28" t="s">
        <v>3949</v>
      </c>
      <c r="D2971" s="28" t="s">
        <v>3904</v>
      </c>
      <c r="E2971" s="28" t="s">
        <v>211</v>
      </c>
      <c r="F2971" s="28" t="s">
        <v>212</v>
      </c>
      <c r="G2971" s="28" t="s">
        <v>3950</v>
      </c>
      <c r="H2971" s="28">
        <v>8938285</v>
      </c>
      <c r="I2971" s="28">
        <v>270132</v>
      </c>
      <c r="J2971" s="28">
        <v>0.99</v>
      </c>
      <c r="K2971" s="28">
        <v>69</v>
      </c>
      <c r="L2971" s="28">
        <v>1</v>
      </c>
    </row>
    <row r="2972" spans="1:12" ht="14.25" customHeight="1" x14ac:dyDescent="0.2">
      <c r="A2972" s="28">
        <v>2971</v>
      </c>
      <c r="B2972" s="28" t="s">
        <v>3957</v>
      </c>
      <c r="C2972" s="28" t="s">
        <v>3949</v>
      </c>
      <c r="D2972" s="28" t="s">
        <v>3904</v>
      </c>
      <c r="E2972" s="28" t="s">
        <v>211</v>
      </c>
      <c r="F2972" s="28" t="s">
        <v>212</v>
      </c>
      <c r="G2972" s="28" t="s">
        <v>3950</v>
      </c>
      <c r="H2972" s="28">
        <v>9892349</v>
      </c>
      <c r="I2972" s="28">
        <v>303568</v>
      </c>
      <c r="J2972" s="28">
        <v>0.99</v>
      </c>
      <c r="K2972" s="28">
        <v>88</v>
      </c>
      <c r="L2972" s="28">
        <v>1</v>
      </c>
    </row>
    <row r="2973" spans="1:12" ht="14.25" customHeight="1" x14ac:dyDescent="0.2">
      <c r="A2973" s="28">
        <v>2972</v>
      </c>
      <c r="B2973" s="28" t="s">
        <v>3958</v>
      </c>
      <c r="C2973" s="28" t="s">
        <v>3949</v>
      </c>
      <c r="D2973" s="28" t="s">
        <v>3904</v>
      </c>
      <c r="E2973" s="28" t="s">
        <v>211</v>
      </c>
      <c r="F2973" s="28" t="s">
        <v>212</v>
      </c>
      <c r="G2973" s="28" t="s">
        <v>3950</v>
      </c>
      <c r="H2973" s="28">
        <v>7512912</v>
      </c>
      <c r="I2973" s="28">
        <v>231680</v>
      </c>
      <c r="J2973" s="28">
        <v>0.99</v>
      </c>
      <c r="K2973" s="28">
        <v>16</v>
      </c>
      <c r="L2973" s="28">
        <v>1</v>
      </c>
    </row>
    <row r="2974" spans="1:12" ht="14.25" customHeight="1" x14ac:dyDescent="0.2">
      <c r="A2974" s="28">
        <v>2973</v>
      </c>
      <c r="B2974" s="28" t="s">
        <v>3959</v>
      </c>
      <c r="C2974" s="28" t="s">
        <v>3949</v>
      </c>
      <c r="D2974" s="28" t="s">
        <v>3904</v>
      </c>
      <c r="E2974" s="28" t="s">
        <v>211</v>
      </c>
      <c r="F2974" s="28" t="s">
        <v>212</v>
      </c>
      <c r="G2974" s="28" t="s">
        <v>3950</v>
      </c>
      <c r="H2974" s="28">
        <v>9230041</v>
      </c>
      <c r="I2974" s="28">
        <v>281443</v>
      </c>
      <c r="J2974" s="28">
        <v>0.99</v>
      </c>
      <c r="K2974" s="28">
        <v>46</v>
      </c>
      <c r="L2974" s="28">
        <v>1</v>
      </c>
    </row>
    <row r="2975" spans="1:12" ht="14.25" customHeight="1" x14ac:dyDescent="0.2">
      <c r="A2975" s="28">
        <v>2974</v>
      </c>
      <c r="B2975" s="28" t="s">
        <v>3960</v>
      </c>
      <c r="C2975" s="28" t="s">
        <v>3949</v>
      </c>
      <c r="D2975" s="28" t="s">
        <v>3904</v>
      </c>
      <c r="E2975" s="28" t="s">
        <v>211</v>
      </c>
      <c r="F2975" s="28" t="s">
        <v>212</v>
      </c>
      <c r="G2975" s="28" t="s">
        <v>3950</v>
      </c>
      <c r="H2975" s="28">
        <v>8636998</v>
      </c>
      <c r="I2975" s="28">
        <v>262034</v>
      </c>
      <c r="J2975" s="28">
        <v>0.99</v>
      </c>
      <c r="K2975" s="28">
        <v>12</v>
      </c>
      <c r="L2975" s="28">
        <v>1</v>
      </c>
    </row>
    <row r="2976" spans="1:12" ht="14.25" customHeight="1" x14ac:dyDescent="0.2">
      <c r="A2976" s="28">
        <v>2975</v>
      </c>
      <c r="B2976" s="28" t="s">
        <v>3961</v>
      </c>
      <c r="C2976" s="28" t="s">
        <v>640</v>
      </c>
      <c r="D2976" s="28" t="s">
        <v>3904</v>
      </c>
      <c r="E2976" s="28" t="s">
        <v>211</v>
      </c>
      <c r="F2976" s="28" t="s">
        <v>212</v>
      </c>
      <c r="G2976" s="28" t="s">
        <v>3962</v>
      </c>
      <c r="H2976" s="28">
        <v>10442206</v>
      </c>
      <c r="I2976" s="28">
        <v>319582</v>
      </c>
      <c r="J2976" s="28">
        <v>0.99</v>
      </c>
      <c r="K2976" s="28">
        <v>2</v>
      </c>
      <c r="L2976" s="28">
        <v>1</v>
      </c>
    </row>
    <row r="2977" spans="1:12" ht="14.25" customHeight="1" x14ac:dyDescent="0.2">
      <c r="A2977" s="28">
        <v>2976</v>
      </c>
      <c r="B2977" s="28" t="s">
        <v>3963</v>
      </c>
      <c r="C2977" s="28" t="s">
        <v>640</v>
      </c>
      <c r="D2977" s="28" t="s">
        <v>3904</v>
      </c>
      <c r="E2977" s="28" t="s">
        <v>211</v>
      </c>
      <c r="F2977" s="28" t="s">
        <v>212</v>
      </c>
      <c r="G2977" s="28" t="s">
        <v>3962</v>
      </c>
      <c r="H2977" s="28">
        <v>10122694</v>
      </c>
      <c r="I2977" s="28">
        <v>307539</v>
      </c>
      <c r="J2977" s="28">
        <v>0.99</v>
      </c>
      <c r="K2977" s="28">
        <v>28</v>
      </c>
      <c r="L2977" s="28">
        <v>1</v>
      </c>
    </row>
    <row r="2978" spans="1:12" ht="14.25" customHeight="1" x14ac:dyDescent="0.2">
      <c r="A2978" s="28">
        <v>2977</v>
      </c>
      <c r="B2978" s="28" t="s">
        <v>3964</v>
      </c>
      <c r="C2978" s="28" t="s">
        <v>640</v>
      </c>
      <c r="D2978" s="28" t="s">
        <v>3904</v>
      </c>
      <c r="E2978" s="28" t="s">
        <v>211</v>
      </c>
      <c r="F2978" s="28" t="s">
        <v>212</v>
      </c>
      <c r="G2978" s="28" t="s">
        <v>3962</v>
      </c>
      <c r="H2978" s="28">
        <v>11583042</v>
      </c>
      <c r="I2978" s="28">
        <v>349178</v>
      </c>
      <c r="J2978" s="28">
        <v>0.99</v>
      </c>
      <c r="K2978" s="28">
        <v>48</v>
      </c>
      <c r="L2978" s="28">
        <v>1</v>
      </c>
    </row>
    <row r="2979" spans="1:12" ht="14.25" customHeight="1" x14ac:dyDescent="0.2">
      <c r="A2979" s="28">
        <v>2978</v>
      </c>
      <c r="B2979" s="28" t="s">
        <v>3965</v>
      </c>
      <c r="C2979" s="28" t="s">
        <v>640</v>
      </c>
      <c r="D2979" s="28" t="s">
        <v>3904</v>
      </c>
      <c r="E2979" s="28" t="s">
        <v>211</v>
      </c>
      <c r="F2979" s="28" t="s">
        <v>212</v>
      </c>
      <c r="G2979" s="28" t="s">
        <v>3962</v>
      </c>
      <c r="H2979" s="28">
        <v>10563329</v>
      </c>
      <c r="I2979" s="28">
        <v>322533</v>
      </c>
      <c r="J2979" s="28">
        <v>0.99</v>
      </c>
      <c r="K2979" s="28">
        <v>82</v>
      </c>
      <c r="L2979" s="28">
        <v>1</v>
      </c>
    </row>
    <row r="2980" spans="1:12" ht="14.25" customHeight="1" x14ac:dyDescent="0.2">
      <c r="A2980" s="28">
        <v>2979</v>
      </c>
      <c r="B2980" s="28" t="s">
        <v>3966</v>
      </c>
      <c r="C2980" s="28" t="s">
        <v>640</v>
      </c>
      <c r="D2980" s="28" t="s">
        <v>3904</v>
      </c>
      <c r="E2980" s="28" t="s">
        <v>211</v>
      </c>
      <c r="F2980" s="28" t="s">
        <v>212</v>
      </c>
      <c r="G2980" s="28" t="s">
        <v>3962</v>
      </c>
      <c r="H2980" s="28">
        <v>9082838</v>
      </c>
      <c r="I2980" s="28">
        <v>276924</v>
      </c>
      <c r="J2980" s="28">
        <v>0.99</v>
      </c>
      <c r="K2980" s="28">
        <v>50</v>
      </c>
      <c r="L2980" s="28">
        <v>1</v>
      </c>
    </row>
    <row r="2981" spans="1:12" ht="14.25" customHeight="1" x14ac:dyDescent="0.2">
      <c r="A2981" s="28">
        <v>2980</v>
      </c>
      <c r="B2981" s="28" t="s">
        <v>3967</v>
      </c>
      <c r="C2981" s="28" t="s">
        <v>640</v>
      </c>
      <c r="D2981" s="28" t="s">
        <v>3904</v>
      </c>
      <c r="E2981" s="28" t="s">
        <v>211</v>
      </c>
      <c r="F2981" s="28" t="s">
        <v>212</v>
      </c>
      <c r="G2981" s="28" t="s">
        <v>3962</v>
      </c>
      <c r="H2981" s="28">
        <v>9401017</v>
      </c>
      <c r="I2981" s="28">
        <v>285753</v>
      </c>
      <c r="J2981" s="28">
        <v>0.99</v>
      </c>
      <c r="K2981" s="28">
        <v>82</v>
      </c>
      <c r="L2981" s="28">
        <v>1</v>
      </c>
    </row>
    <row r="2982" spans="1:12" ht="14.25" customHeight="1" x14ac:dyDescent="0.2">
      <c r="A2982" s="28">
        <v>2981</v>
      </c>
      <c r="B2982" s="28" t="s">
        <v>2995</v>
      </c>
      <c r="C2982" s="28" t="s">
        <v>640</v>
      </c>
      <c r="D2982" s="28" t="s">
        <v>3904</v>
      </c>
      <c r="E2982" s="28" t="s">
        <v>211</v>
      </c>
      <c r="F2982" s="28" t="s">
        <v>212</v>
      </c>
      <c r="G2982" s="28" t="s">
        <v>3962</v>
      </c>
      <c r="H2982" s="28">
        <v>8746301</v>
      </c>
      <c r="I2982" s="28">
        <v>266866</v>
      </c>
      <c r="J2982" s="28">
        <v>0.99</v>
      </c>
      <c r="K2982" s="28">
        <v>92</v>
      </c>
      <c r="L2982" s="28">
        <v>0</v>
      </c>
    </row>
    <row r="2983" spans="1:12" ht="14.25" customHeight="1" x14ac:dyDescent="0.2">
      <c r="A2983" s="28">
        <v>2982</v>
      </c>
      <c r="B2983" s="28" t="s">
        <v>3968</v>
      </c>
      <c r="C2983" s="28" t="s">
        <v>640</v>
      </c>
      <c r="D2983" s="28" t="s">
        <v>3904</v>
      </c>
      <c r="E2983" s="28" t="s">
        <v>211</v>
      </c>
      <c r="F2983" s="28" t="s">
        <v>212</v>
      </c>
      <c r="G2983" s="28" t="s">
        <v>3962</v>
      </c>
      <c r="H2983" s="28">
        <v>9741603</v>
      </c>
      <c r="I2983" s="28">
        <v>293041</v>
      </c>
      <c r="J2983" s="28">
        <v>0.99</v>
      </c>
      <c r="K2983" s="28">
        <v>18</v>
      </c>
      <c r="L2983" s="28">
        <v>2</v>
      </c>
    </row>
    <row r="2984" spans="1:12" ht="14.25" customHeight="1" x14ac:dyDescent="0.2">
      <c r="A2984" s="28">
        <v>2983</v>
      </c>
      <c r="B2984" s="28" t="s">
        <v>3969</v>
      </c>
      <c r="C2984" s="28" t="s">
        <v>640</v>
      </c>
      <c r="D2984" s="28" t="s">
        <v>3904</v>
      </c>
      <c r="E2984" s="28" t="s">
        <v>211</v>
      </c>
      <c r="F2984" s="28" t="s">
        <v>212</v>
      </c>
      <c r="G2984" s="28" t="s">
        <v>3962</v>
      </c>
      <c r="H2984" s="28">
        <v>9274144</v>
      </c>
      <c r="I2984" s="28">
        <v>280555</v>
      </c>
      <c r="J2984" s="28">
        <v>0.99</v>
      </c>
      <c r="K2984" s="28">
        <v>47</v>
      </c>
      <c r="L2984" s="28">
        <v>1</v>
      </c>
    </row>
    <row r="2985" spans="1:12" ht="14.25" customHeight="1" x14ac:dyDescent="0.2">
      <c r="A2985" s="28">
        <v>2984</v>
      </c>
      <c r="B2985" s="28" t="s">
        <v>3970</v>
      </c>
      <c r="C2985" s="28" t="s">
        <v>640</v>
      </c>
      <c r="D2985" s="28" t="s">
        <v>3904</v>
      </c>
      <c r="E2985" s="28" t="s">
        <v>211</v>
      </c>
      <c r="F2985" s="28" t="s">
        <v>212</v>
      </c>
      <c r="G2985" s="28" t="s">
        <v>3962</v>
      </c>
      <c r="H2985" s="28">
        <v>10227333</v>
      </c>
      <c r="I2985" s="28">
        <v>315167</v>
      </c>
      <c r="J2985" s="28">
        <v>0.99</v>
      </c>
      <c r="K2985" s="28">
        <v>14</v>
      </c>
      <c r="L2985" s="28">
        <v>0</v>
      </c>
    </row>
    <row r="2986" spans="1:12" ht="14.25" customHeight="1" x14ac:dyDescent="0.2">
      <c r="A2986" s="28">
        <v>2985</v>
      </c>
      <c r="B2986" s="28" t="s">
        <v>3971</v>
      </c>
      <c r="C2986" s="28" t="s">
        <v>640</v>
      </c>
      <c r="D2986" s="28" t="s">
        <v>3904</v>
      </c>
      <c r="E2986" s="28" t="s">
        <v>211</v>
      </c>
      <c r="F2986" s="28" t="s">
        <v>212</v>
      </c>
      <c r="G2986" s="28" t="s">
        <v>3962</v>
      </c>
      <c r="H2986" s="28">
        <v>9909484</v>
      </c>
      <c r="I2986" s="28">
        <v>302602</v>
      </c>
      <c r="J2986" s="28">
        <v>0.99</v>
      </c>
      <c r="K2986" s="28">
        <v>78</v>
      </c>
      <c r="L2986" s="28">
        <v>0</v>
      </c>
    </row>
    <row r="2987" spans="1:12" ht="14.25" customHeight="1" x14ac:dyDescent="0.2">
      <c r="A2987" s="28">
        <v>2986</v>
      </c>
      <c r="B2987" s="28" t="s">
        <v>3972</v>
      </c>
      <c r="C2987" s="28" t="s">
        <v>640</v>
      </c>
      <c r="D2987" s="28" t="s">
        <v>3904</v>
      </c>
      <c r="E2987" s="28" t="s">
        <v>211</v>
      </c>
      <c r="F2987" s="28" t="s">
        <v>212</v>
      </c>
      <c r="G2987" s="28" t="s">
        <v>3962</v>
      </c>
      <c r="H2987" s="28">
        <v>9515903</v>
      </c>
      <c r="I2987" s="28">
        <v>292832</v>
      </c>
      <c r="J2987" s="28">
        <v>0.99</v>
      </c>
      <c r="K2987" s="28">
        <v>2</v>
      </c>
      <c r="L2987" s="28">
        <v>1</v>
      </c>
    </row>
    <row r="2988" spans="1:12" ht="14.25" customHeight="1" x14ac:dyDescent="0.2">
      <c r="A2988" s="28">
        <v>2987</v>
      </c>
      <c r="B2988" s="28" t="s">
        <v>3973</v>
      </c>
      <c r="C2988" s="28" t="s">
        <v>3974</v>
      </c>
      <c r="D2988" s="28" t="s">
        <v>3904</v>
      </c>
      <c r="E2988" s="28" t="s">
        <v>211</v>
      </c>
      <c r="F2988" s="28" t="s">
        <v>212</v>
      </c>
      <c r="G2988" s="28" t="s">
        <v>3975</v>
      </c>
      <c r="H2988" s="28">
        <v>6097636</v>
      </c>
      <c r="I2988" s="28">
        <v>187350</v>
      </c>
      <c r="J2988" s="28">
        <v>0.99</v>
      </c>
      <c r="K2988" s="28">
        <v>9</v>
      </c>
      <c r="L2988" s="28">
        <v>0</v>
      </c>
    </row>
    <row r="2989" spans="1:12" ht="14.25" customHeight="1" x14ac:dyDescent="0.2">
      <c r="A2989" s="28">
        <v>2988</v>
      </c>
      <c r="B2989" s="28" t="s">
        <v>3976</v>
      </c>
      <c r="C2989" s="28" t="s">
        <v>3974</v>
      </c>
      <c r="D2989" s="28" t="s">
        <v>3904</v>
      </c>
      <c r="E2989" s="28" t="s">
        <v>211</v>
      </c>
      <c r="F2989" s="28" t="s">
        <v>212</v>
      </c>
      <c r="G2989" s="28" t="s">
        <v>3977</v>
      </c>
      <c r="H2989" s="28">
        <v>5990280</v>
      </c>
      <c r="I2989" s="28">
        <v>186044</v>
      </c>
      <c r="J2989" s="28">
        <v>0.99</v>
      </c>
      <c r="K2989" s="28">
        <v>6</v>
      </c>
      <c r="L2989" s="28">
        <v>0</v>
      </c>
    </row>
    <row r="2990" spans="1:12" ht="14.25" customHeight="1" x14ac:dyDescent="0.2">
      <c r="A2990" s="28">
        <v>2989</v>
      </c>
      <c r="B2990" s="28" t="s">
        <v>3978</v>
      </c>
      <c r="C2990" s="28" t="s">
        <v>3974</v>
      </c>
      <c r="D2990" s="28" t="s">
        <v>3904</v>
      </c>
      <c r="E2990" s="28" t="s">
        <v>211</v>
      </c>
      <c r="F2990" s="28" t="s">
        <v>212</v>
      </c>
      <c r="G2990" s="28" t="s">
        <v>3977</v>
      </c>
      <c r="H2990" s="28">
        <v>5874535</v>
      </c>
      <c r="I2990" s="28">
        <v>179226</v>
      </c>
      <c r="J2990" s="28">
        <v>0.99</v>
      </c>
      <c r="K2990" s="28">
        <v>60</v>
      </c>
      <c r="L2990" s="28">
        <v>1</v>
      </c>
    </row>
    <row r="2991" spans="1:12" ht="14.25" customHeight="1" x14ac:dyDescent="0.2">
      <c r="A2991" s="28">
        <v>2990</v>
      </c>
      <c r="B2991" s="28" t="s">
        <v>3979</v>
      </c>
      <c r="C2991" s="28" t="s">
        <v>3974</v>
      </c>
      <c r="D2991" s="28" t="s">
        <v>3904</v>
      </c>
      <c r="E2991" s="28" t="s">
        <v>211</v>
      </c>
      <c r="F2991" s="28" t="s">
        <v>212</v>
      </c>
      <c r="G2991" s="28" t="s">
        <v>3977</v>
      </c>
      <c r="H2991" s="28">
        <v>12494987</v>
      </c>
      <c r="I2991" s="28">
        <v>382458</v>
      </c>
      <c r="J2991" s="28">
        <v>0.99</v>
      </c>
      <c r="K2991" s="28">
        <v>9</v>
      </c>
      <c r="L2991" s="28">
        <v>1</v>
      </c>
    </row>
    <row r="2992" spans="1:12" ht="14.25" customHeight="1" x14ac:dyDescent="0.2">
      <c r="A2992" s="28">
        <v>2991</v>
      </c>
      <c r="B2992" s="28" t="s">
        <v>3980</v>
      </c>
      <c r="C2992" s="28" t="s">
        <v>3974</v>
      </c>
      <c r="D2992" s="28" t="s">
        <v>3904</v>
      </c>
      <c r="E2992" s="28" t="s">
        <v>211</v>
      </c>
      <c r="F2992" s="28" t="s">
        <v>212</v>
      </c>
      <c r="G2992" s="28" t="s">
        <v>3981</v>
      </c>
      <c r="H2992" s="28">
        <v>8623572</v>
      </c>
      <c r="I2992" s="28">
        <v>264568</v>
      </c>
      <c r="J2992" s="28">
        <v>0.99</v>
      </c>
      <c r="K2992" s="28">
        <v>45</v>
      </c>
      <c r="L2992" s="28">
        <v>2</v>
      </c>
    </row>
    <row r="2993" spans="1:12" ht="14.25" customHeight="1" x14ac:dyDescent="0.2">
      <c r="A2993" s="28">
        <v>2992</v>
      </c>
      <c r="B2993" s="28" t="s">
        <v>3982</v>
      </c>
      <c r="C2993" s="28" t="s">
        <v>3974</v>
      </c>
      <c r="D2993" s="28" t="s">
        <v>3904</v>
      </c>
      <c r="E2993" s="28" t="s">
        <v>211</v>
      </c>
      <c r="F2993" s="28" t="s">
        <v>212</v>
      </c>
      <c r="G2993" s="28" t="s">
        <v>3977</v>
      </c>
      <c r="H2993" s="28">
        <v>11542247</v>
      </c>
      <c r="I2993" s="28">
        <v>353567</v>
      </c>
      <c r="J2993" s="28">
        <v>0.99</v>
      </c>
      <c r="K2993" s="28">
        <v>10</v>
      </c>
      <c r="L2993" s="28">
        <v>1</v>
      </c>
    </row>
    <row r="2994" spans="1:12" ht="14.25" customHeight="1" x14ac:dyDescent="0.2">
      <c r="A2994" s="28">
        <v>2993</v>
      </c>
      <c r="B2994" s="28" t="s">
        <v>3983</v>
      </c>
      <c r="C2994" s="28" t="s">
        <v>3974</v>
      </c>
      <c r="D2994" s="28" t="s">
        <v>3904</v>
      </c>
      <c r="E2994" s="28" t="s">
        <v>211</v>
      </c>
      <c r="F2994" s="28" t="s">
        <v>212</v>
      </c>
      <c r="G2994" s="28" t="s">
        <v>3984</v>
      </c>
      <c r="H2994" s="28">
        <v>1249764</v>
      </c>
      <c r="I2994" s="28">
        <v>38164</v>
      </c>
      <c r="J2994" s="28">
        <v>0.99</v>
      </c>
      <c r="K2994" s="28">
        <v>36</v>
      </c>
      <c r="L2994" s="28">
        <v>1</v>
      </c>
    </row>
    <row r="2995" spans="1:12" ht="14.25" customHeight="1" x14ac:dyDescent="0.2">
      <c r="A2995" s="28">
        <v>2994</v>
      </c>
      <c r="B2995" s="28" t="s">
        <v>3943</v>
      </c>
      <c r="C2995" s="28" t="s">
        <v>3974</v>
      </c>
      <c r="D2995" s="28" t="s">
        <v>3904</v>
      </c>
      <c r="E2995" s="28" t="s">
        <v>211</v>
      </c>
      <c r="F2995" s="28" t="s">
        <v>212</v>
      </c>
      <c r="G2995" s="28" t="s">
        <v>3977</v>
      </c>
      <c r="H2995" s="28">
        <v>11450194</v>
      </c>
      <c r="I2995" s="28">
        <v>349831</v>
      </c>
      <c r="J2995" s="28">
        <v>0.99</v>
      </c>
      <c r="K2995" s="28">
        <v>86</v>
      </c>
      <c r="L2995" s="28">
        <v>1</v>
      </c>
    </row>
    <row r="2996" spans="1:12" ht="14.25" customHeight="1" x14ac:dyDescent="0.2">
      <c r="A2996" s="28">
        <v>2995</v>
      </c>
      <c r="B2996" s="28" t="s">
        <v>3985</v>
      </c>
      <c r="C2996" s="28" t="s">
        <v>3974</v>
      </c>
      <c r="D2996" s="28" t="s">
        <v>3904</v>
      </c>
      <c r="E2996" s="28" t="s">
        <v>211</v>
      </c>
      <c r="F2996" s="28" t="s">
        <v>212</v>
      </c>
      <c r="G2996" s="28" t="s">
        <v>3977</v>
      </c>
      <c r="H2996" s="28">
        <v>8806361</v>
      </c>
      <c r="I2996" s="28">
        <v>267807</v>
      </c>
      <c r="J2996" s="28">
        <v>0.99</v>
      </c>
      <c r="K2996" s="28">
        <v>42</v>
      </c>
      <c r="L2996" s="28">
        <v>2</v>
      </c>
    </row>
    <row r="2997" spans="1:12" ht="14.25" customHeight="1" x14ac:dyDescent="0.2">
      <c r="A2997" s="28">
        <v>2996</v>
      </c>
      <c r="B2997" s="28" t="s">
        <v>3986</v>
      </c>
      <c r="C2997" s="28" t="s">
        <v>3974</v>
      </c>
      <c r="D2997" s="28" t="s">
        <v>3904</v>
      </c>
      <c r="E2997" s="28" t="s">
        <v>211</v>
      </c>
      <c r="F2997" s="28" t="s">
        <v>212</v>
      </c>
      <c r="G2997" s="28" t="s">
        <v>3977</v>
      </c>
      <c r="H2997" s="28">
        <v>7498022</v>
      </c>
      <c r="I2997" s="28">
        <v>229276</v>
      </c>
      <c r="J2997" s="28">
        <v>0.99</v>
      </c>
      <c r="K2997" s="28">
        <v>3</v>
      </c>
      <c r="L2997" s="28">
        <v>0</v>
      </c>
    </row>
    <row r="2998" spans="1:12" ht="14.25" customHeight="1" x14ac:dyDescent="0.2">
      <c r="A2998" s="28">
        <v>2997</v>
      </c>
      <c r="B2998" s="28" t="s">
        <v>3987</v>
      </c>
      <c r="C2998" s="28" t="s">
        <v>3974</v>
      </c>
      <c r="D2998" s="28" t="s">
        <v>3904</v>
      </c>
      <c r="E2998" s="28" t="s">
        <v>211</v>
      </c>
      <c r="F2998" s="28" t="s">
        <v>212</v>
      </c>
      <c r="G2998" s="28" t="s">
        <v>3988</v>
      </c>
      <c r="H2998" s="28">
        <v>12508716</v>
      </c>
      <c r="I2998" s="28">
        <v>384522</v>
      </c>
      <c r="J2998" s="28">
        <v>0.99</v>
      </c>
      <c r="K2998" s="28">
        <v>84</v>
      </c>
      <c r="L2998" s="28">
        <v>1</v>
      </c>
    </row>
    <row r="2999" spans="1:12" ht="14.25" customHeight="1" x14ac:dyDescent="0.2">
      <c r="A2999" s="28">
        <v>2998</v>
      </c>
      <c r="B2999" s="28" t="s">
        <v>3989</v>
      </c>
      <c r="C2999" s="28" t="s">
        <v>3974</v>
      </c>
      <c r="D2999" s="28" t="s">
        <v>3904</v>
      </c>
      <c r="E2999" s="28" t="s">
        <v>211</v>
      </c>
      <c r="F2999" s="28" t="s">
        <v>212</v>
      </c>
      <c r="G2999" s="28" t="s">
        <v>3977</v>
      </c>
      <c r="H2999" s="28">
        <v>8340954</v>
      </c>
      <c r="I2999" s="28">
        <v>255869</v>
      </c>
      <c r="J2999" s="28">
        <v>0.99</v>
      </c>
      <c r="K2999" s="28">
        <v>66</v>
      </c>
      <c r="L2999" s="28">
        <v>1</v>
      </c>
    </row>
    <row r="3000" spans="1:12" ht="14.25" customHeight="1" x14ac:dyDescent="0.2">
      <c r="A3000" s="28">
        <v>2999</v>
      </c>
      <c r="B3000" s="28" t="s">
        <v>3990</v>
      </c>
      <c r="C3000" s="28" t="s">
        <v>3974</v>
      </c>
      <c r="D3000" s="28" t="s">
        <v>3904</v>
      </c>
      <c r="E3000" s="28" t="s">
        <v>211</v>
      </c>
      <c r="F3000" s="28" t="s">
        <v>212</v>
      </c>
      <c r="G3000" s="28" t="s">
        <v>3977</v>
      </c>
      <c r="H3000" s="28">
        <v>9867748</v>
      </c>
      <c r="I3000" s="28">
        <v>303360</v>
      </c>
      <c r="J3000" s="28">
        <v>0.99</v>
      </c>
      <c r="K3000" s="28">
        <v>73</v>
      </c>
      <c r="L3000" s="28">
        <v>1</v>
      </c>
    </row>
    <row r="3001" spans="1:12" ht="14.25" customHeight="1" x14ac:dyDescent="0.2">
      <c r="A3001" s="28">
        <v>3000</v>
      </c>
      <c r="B3001" s="28" t="s">
        <v>3991</v>
      </c>
      <c r="C3001" s="28" t="s">
        <v>3974</v>
      </c>
      <c r="D3001" s="28" t="s">
        <v>3904</v>
      </c>
      <c r="E3001" s="28" t="s">
        <v>211</v>
      </c>
      <c r="F3001" s="28" t="s">
        <v>212</v>
      </c>
      <c r="G3001" s="28" t="s">
        <v>3977</v>
      </c>
      <c r="H3001" s="28">
        <v>6497570</v>
      </c>
      <c r="I3001" s="28">
        <v>195604</v>
      </c>
      <c r="J3001" s="28">
        <v>0.99</v>
      </c>
      <c r="K3001" s="28">
        <v>21</v>
      </c>
      <c r="L3001" s="28">
        <v>1</v>
      </c>
    </row>
    <row r="3002" spans="1:12" ht="14.25" customHeight="1" x14ac:dyDescent="0.2">
      <c r="A3002" s="28">
        <v>3001</v>
      </c>
      <c r="B3002" s="28" t="s">
        <v>3992</v>
      </c>
      <c r="C3002" s="28" t="s">
        <v>3974</v>
      </c>
      <c r="D3002" s="28" t="s">
        <v>3904</v>
      </c>
      <c r="E3002" s="28" t="s">
        <v>211</v>
      </c>
      <c r="F3002" s="28" t="s">
        <v>212</v>
      </c>
      <c r="G3002" s="28" t="s">
        <v>3993</v>
      </c>
      <c r="H3002" s="28">
        <v>1385810</v>
      </c>
      <c r="I3002" s="28">
        <v>43232</v>
      </c>
      <c r="J3002" s="28">
        <v>0.99</v>
      </c>
      <c r="K3002" s="28">
        <v>43</v>
      </c>
      <c r="L3002" s="28">
        <v>2</v>
      </c>
    </row>
    <row r="3003" spans="1:12" ht="14.25" customHeight="1" x14ac:dyDescent="0.2">
      <c r="A3003" s="28">
        <v>3002</v>
      </c>
      <c r="B3003" s="28" t="s">
        <v>3994</v>
      </c>
      <c r="C3003" s="28" t="s">
        <v>3974</v>
      </c>
      <c r="D3003" s="28" t="s">
        <v>3904</v>
      </c>
      <c r="E3003" s="28" t="s">
        <v>211</v>
      </c>
      <c r="F3003" s="28" t="s">
        <v>212</v>
      </c>
      <c r="G3003" s="28" t="s">
        <v>3977</v>
      </c>
      <c r="H3003" s="28">
        <v>10993607</v>
      </c>
      <c r="I3003" s="28">
        <v>337005</v>
      </c>
      <c r="J3003" s="28">
        <v>0.99</v>
      </c>
      <c r="K3003" s="28">
        <v>62</v>
      </c>
      <c r="L3003" s="28">
        <v>1</v>
      </c>
    </row>
    <row r="3004" spans="1:12" ht="14.25" customHeight="1" x14ac:dyDescent="0.2">
      <c r="A3004" s="28">
        <v>3003</v>
      </c>
      <c r="B3004" s="28" t="s">
        <v>3995</v>
      </c>
      <c r="C3004" s="28" t="s">
        <v>3974</v>
      </c>
      <c r="D3004" s="28" t="s">
        <v>3904</v>
      </c>
      <c r="E3004" s="28" t="s">
        <v>211</v>
      </c>
      <c r="F3004" s="28" t="s">
        <v>212</v>
      </c>
      <c r="G3004" s="28" t="s">
        <v>3977</v>
      </c>
      <c r="H3004" s="28">
        <v>12729820</v>
      </c>
      <c r="I3004" s="28">
        <v>390243</v>
      </c>
      <c r="J3004" s="28">
        <v>0.99</v>
      </c>
      <c r="K3004" s="28">
        <v>6</v>
      </c>
      <c r="L3004" s="28">
        <v>1</v>
      </c>
    </row>
    <row r="3005" spans="1:12" ht="14.25" customHeight="1" x14ac:dyDescent="0.2">
      <c r="A3005" s="28">
        <v>3004</v>
      </c>
      <c r="B3005" s="28" t="s">
        <v>3985</v>
      </c>
      <c r="C3005" s="28" t="s">
        <v>3996</v>
      </c>
      <c r="D3005" s="28" t="s">
        <v>3904</v>
      </c>
      <c r="E3005" s="28" t="s">
        <v>211</v>
      </c>
      <c r="F3005" s="28" t="s">
        <v>212</v>
      </c>
      <c r="G3005" s="28" t="s">
        <v>3904</v>
      </c>
      <c r="H3005" s="28">
        <v>7549085</v>
      </c>
      <c r="I3005" s="28">
        <v>230243</v>
      </c>
      <c r="J3005" s="28">
        <v>0.99</v>
      </c>
      <c r="K3005" s="28">
        <v>77</v>
      </c>
      <c r="L3005" s="28">
        <v>0</v>
      </c>
    </row>
    <row r="3006" spans="1:12" ht="14.25" customHeight="1" x14ac:dyDescent="0.2">
      <c r="A3006" s="28">
        <v>3005</v>
      </c>
      <c r="B3006" s="28" t="s">
        <v>3997</v>
      </c>
      <c r="C3006" s="28" t="s">
        <v>3996</v>
      </c>
      <c r="D3006" s="28" t="s">
        <v>3904</v>
      </c>
      <c r="E3006" s="28" t="s">
        <v>211</v>
      </c>
      <c r="F3006" s="28" t="s">
        <v>212</v>
      </c>
      <c r="G3006" s="28" t="s">
        <v>3904</v>
      </c>
      <c r="H3006" s="28">
        <v>8491818</v>
      </c>
      <c r="I3006" s="28">
        <v>258925</v>
      </c>
      <c r="J3006" s="28">
        <v>0.99</v>
      </c>
      <c r="K3006" s="28">
        <v>69</v>
      </c>
      <c r="L3006" s="28">
        <v>1</v>
      </c>
    </row>
    <row r="3007" spans="1:12" ht="14.25" customHeight="1" x14ac:dyDescent="0.2">
      <c r="A3007" s="28">
        <v>3006</v>
      </c>
      <c r="B3007" s="28" t="s">
        <v>3998</v>
      </c>
      <c r="C3007" s="28" t="s">
        <v>3996</v>
      </c>
      <c r="D3007" s="28" t="s">
        <v>3904</v>
      </c>
      <c r="E3007" s="28" t="s">
        <v>211</v>
      </c>
      <c r="F3007" s="28" t="s">
        <v>212</v>
      </c>
      <c r="G3007" s="28" t="s">
        <v>3904</v>
      </c>
      <c r="H3007" s="28">
        <v>9765188</v>
      </c>
      <c r="I3007" s="28">
        <v>299023</v>
      </c>
      <c r="J3007" s="28">
        <v>0.99</v>
      </c>
      <c r="K3007" s="28">
        <v>55</v>
      </c>
      <c r="L3007" s="28">
        <v>1</v>
      </c>
    </row>
    <row r="3008" spans="1:12" ht="14.25" customHeight="1" x14ac:dyDescent="0.2">
      <c r="A3008" s="28">
        <v>3007</v>
      </c>
      <c r="B3008" s="28" t="s">
        <v>3999</v>
      </c>
      <c r="C3008" s="28" t="s">
        <v>3996</v>
      </c>
      <c r="D3008" s="28" t="s">
        <v>3904</v>
      </c>
      <c r="E3008" s="28" t="s">
        <v>211</v>
      </c>
      <c r="F3008" s="28" t="s">
        <v>212</v>
      </c>
      <c r="G3008" s="28" t="s">
        <v>3904</v>
      </c>
      <c r="H3008" s="28">
        <v>9306737</v>
      </c>
      <c r="I3008" s="28">
        <v>280764</v>
      </c>
      <c r="J3008" s="28">
        <v>0.99</v>
      </c>
      <c r="K3008" s="28">
        <v>95</v>
      </c>
      <c r="L3008" s="28">
        <v>1</v>
      </c>
    </row>
    <row r="3009" spans="1:12" ht="14.25" customHeight="1" x14ac:dyDescent="0.2">
      <c r="A3009" s="28">
        <v>3008</v>
      </c>
      <c r="B3009" s="28" t="s">
        <v>4000</v>
      </c>
      <c r="C3009" s="28" t="s">
        <v>3996</v>
      </c>
      <c r="D3009" s="28" t="s">
        <v>3904</v>
      </c>
      <c r="E3009" s="28" t="s">
        <v>211</v>
      </c>
      <c r="F3009" s="28" t="s">
        <v>212</v>
      </c>
      <c r="G3009" s="28" t="s">
        <v>3904</v>
      </c>
      <c r="H3009" s="28">
        <v>9269668</v>
      </c>
      <c r="I3009" s="28">
        <v>282174</v>
      </c>
      <c r="J3009" s="28">
        <v>0.99</v>
      </c>
      <c r="K3009" s="28">
        <v>0</v>
      </c>
      <c r="L3009" s="28">
        <v>0</v>
      </c>
    </row>
    <row r="3010" spans="1:12" ht="14.25" customHeight="1" x14ac:dyDescent="0.2">
      <c r="A3010" s="28">
        <v>3009</v>
      </c>
      <c r="B3010" s="28" t="s">
        <v>4001</v>
      </c>
      <c r="C3010" s="28" t="s">
        <v>3996</v>
      </c>
      <c r="D3010" s="28" t="s">
        <v>3904</v>
      </c>
      <c r="E3010" s="28" t="s">
        <v>211</v>
      </c>
      <c r="F3010" s="28" t="s">
        <v>212</v>
      </c>
      <c r="G3010" s="28" t="s">
        <v>3904</v>
      </c>
      <c r="H3010" s="28">
        <v>11628058</v>
      </c>
      <c r="I3010" s="28">
        <v>351817</v>
      </c>
      <c r="J3010" s="28">
        <v>0.99</v>
      </c>
      <c r="K3010" s="28">
        <v>0</v>
      </c>
      <c r="L3010" s="28">
        <v>1</v>
      </c>
    </row>
    <row r="3011" spans="1:12" ht="14.25" customHeight="1" x14ac:dyDescent="0.2">
      <c r="A3011" s="28">
        <v>3010</v>
      </c>
      <c r="B3011" s="28" t="s">
        <v>4002</v>
      </c>
      <c r="C3011" s="28" t="s">
        <v>3996</v>
      </c>
      <c r="D3011" s="28" t="s">
        <v>3904</v>
      </c>
      <c r="E3011" s="28" t="s">
        <v>211</v>
      </c>
      <c r="F3011" s="28" t="s">
        <v>212</v>
      </c>
      <c r="G3011" s="28" t="s">
        <v>3904</v>
      </c>
      <c r="H3011" s="28">
        <v>9042305</v>
      </c>
      <c r="I3011" s="28">
        <v>276218</v>
      </c>
      <c r="J3011" s="28">
        <v>0.99</v>
      </c>
      <c r="K3011" s="28">
        <v>73</v>
      </c>
      <c r="L3011" s="28">
        <v>0</v>
      </c>
    </row>
    <row r="3012" spans="1:12" ht="14.25" customHeight="1" x14ac:dyDescent="0.2">
      <c r="A3012" s="28">
        <v>3011</v>
      </c>
      <c r="B3012" s="28" t="s">
        <v>4003</v>
      </c>
      <c r="C3012" s="28" t="s">
        <v>3996</v>
      </c>
      <c r="D3012" s="28" t="s">
        <v>3904</v>
      </c>
      <c r="E3012" s="28" t="s">
        <v>211</v>
      </c>
      <c r="F3012" s="28" t="s">
        <v>212</v>
      </c>
      <c r="G3012" s="28" t="s">
        <v>3904</v>
      </c>
      <c r="H3012" s="28">
        <v>7184825</v>
      </c>
      <c r="I3012" s="28">
        <v>218253</v>
      </c>
      <c r="J3012" s="28">
        <v>0.99</v>
      </c>
      <c r="K3012" s="28">
        <v>64</v>
      </c>
      <c r="L3012" s="28">
        <v>0</v>
      </c>
    </row>
    <row r="3013" spans="1:12" ht="14.25" customHeight="1" x14ac:dyDescent="0.2">
      <c r="A3013" s="28">
        <v>3012</v>
      </c>
      <c r="B3013" s="28" t="s">
        <v>4004</v>
      </c>
      <c r="C3013" s="28" t="s">
        <v>3996</v>
      </c>
      <c r="D3013" s="28" t="s">
        <v>3904</v>
      </c>
      <c r="E3013" s="28" t="s">
        <v>211</v>
      </c>
      <c r="F3013" s="28" t="s">
        <v>212</v>
      </c>
      <c r="G3013" s="28" t="s">
        <v>3904</v>
      </c>
      <c r="H3013" s="28">
        <v>9684664</v>
      </c>
      <c r="I3013" s="28">
        <v>295183</v>
      </c>
      <c r="J3013" s="28">
        <v>0.99</v>
      </c>
      <c r="K3013" s="28">
        <v>87</v>
      </c>
      <c r="L3013" s="28">
        <v>1</v>
      </c>
    </row>
    <row r="3014" spans="1:12" ht="14.25" customHeight="1" x14ac:dyDescent="0.2">
      <c r="A3014" s="28">
        <v>3013</v>
      </c>
      <c r="B3014" s="28" t="s">
        <v>3930</v>
      </c>
      <c r="C3014" s="28" t="s">
        <v>3996</v>
      </c>
      <c r="D3014" s="28" t="s">
        <v>3904</v>
      </c>
      <c r="E3014" s="28" t="s">
        <v>211</v>
      </c>
      <c r="F3014" s="28" t="s">
        <v>212</v>
      </c>
      <c r="G3014" s="28" t="s">
        <v>4005</v>
      </c>
      <c r="H3014" s="28">
        <v>6071385</v>
      </c>
      <c r="I3014" s="28">
        <v>183066</v>
      </c>
      <c r="J3014" s="28">
        <v>0.99</v>
      </c>
      <c r="K3014" s="28">
        <v>42</v>
      </c>
      <c r="L3014" s="28">
        <v>2</v>
      </c>
    </row>
    <row r="3015" spans="1:12" ht="14.25" customHeight="1" x14ac:dyDescent="0.2">
      <c r="A3015" s="28">
        <v>3014</v>
      </c>
      <c r="B3015" s="28" t="s">
        <v>3978</v>
      </c>
      <c r="C3015" s="28" t="s">
        <v>3996</v>
      </c>
      <c r="D3015" s="28" t="s">
        <v>3904</v>
      </c>
      <c r="E3015" s="28" t="s">
        <v>211</v>
      </c>
      <c r="F3015" s="28" t="s">
        <v>212</v>
      </c>
      <c r="G3015" s="28" t="s">
        <v>3904</v>
      </c>
      <c r="H3015" s="28">
        <v>5893206</v>
      </c>
      <c r="I3015" s="28">
        <v>179853</v>
      </c>
      <c r="J3015" s="28">
        <v>0.99</v>
      </c>
      <c r="K3015" s="28">
        <v>38</v>
      </c>
      <c r="L3015" s="28">
        <v>1</v>
      </c>
    </row>
    <row r="3016" spans="1:12" ht="14.25" customHeight="1" x14ac:dyDescent="0.2">
      <c r="A3016" s="28">
        <v>3015</v>
      </c>
      <c r="B3016" s="28" t="s">
        <v>3989</v>
      </c>
      <c r="C3016" s="28" t="s">
        <v>3996</v>
      </c>
      <c r="D3016" s="28" t="s">
        <v>3904</v>
      </c>
      <c r="E3016" s="28" t="s">
        <v>211</v>
      </c>
      <c r="F3016" s="28" t="s">
        <v>212</v>
      </c>
      <c r="G3016" s="28" t="s">
        <v>3904</v>
      </c>
      <c r="H3016" s="28">
        <v>8479525</v>
      </c>
      <c r="I3016" s="28">
        <v>258194</v>
      </c>
      <c r="J3016" s="28">
        <v>0.99</v>
      </c>
      <c r="K3016" s="28">
        <v>52</v>
      </c>
      <c r="L3016" s="28">
        <v>1</v>
      </c>
    </row>
    <row r="3017" spans="1:12" ht="14.25" customHeight="1" x14ac:dyDescent="0.2">
      <c r="A3017" s="28">
        <v>3016</v>
      </c>
      <c r="B3017" s="28" t="s">
        <v>3986</v>
      </c>
      <c r="C3017" s="28" t="s">
        <v>3996</v>
      </c>
      <c r="D3017" s="28" t="s">
        <v>3904</v>
      </c>
      <c r="E3017" s="28" t="s">
        <v>211</v>
      </c>
      <c r="F3017" s="28" t="s">
        <v>212</v>
      </c>
      <c r="G3017" s="28" t="s">
        <v>3904</v>
      </c>
      <c r="H3017" s="28">
        <v>7527339</v>
      </c>
      <c r="I3017" s="28">
        <v>230217</v>
      </c>
      <c r="J3017" s="28">
        <v>0.99</v>
      </c>
      <c r="K3017" s="28">
        <v>83</v>
      </c>
      <c r="L3017" s="28">
        <v>1</v>
      </c>
    </row>
    <row r="3018" spans="1:12" ht="14.25" customHeight="1" x14ac:dyDescent="0.2">
      <c r="A3018" s="28">
        <v>3017</v>
      </c>
      <c r="B3018" s="28" t="s">
        <v>3995</v>
      </c>
      <c r="C3018" s="28" t="s">
        <v>3996</v>
      </c>
      <c r="D3018" s="28" t="s">
        <v>3904</v>
      </c>
      <c r="E3018" s="28" t="s">
        <v>211</v>
      </c>
      <c r="F3018" s="28" t="s">
        <v>212</v>
      </c>
      <c r="G3018" s="28" t="s">
        <v>4006</v>
      </c>
      <c r="H3018" s="28">
        <v>19202252</v>
      </c>
      <c r="I3018" s="28">
        <v>591986</v>
      </c>
      <c r="J3018" s="28">
        <v>0.99</v>
      </c>
      <c r="K3018" s="28">
        <v>80</v>
      </c>
      <c r="L3018" s="28">
        <v>1</v>
      </c>
    </row>
    <row r="3019" spans="1:12" ht="14.25" customHeight="1" x14ac:dyDescent="0.2">
      <c r="A3019" s="28">
        <v>3018</v>
      </c>
      <c r="B3019" s="28" t="s">
        <v>4000</v>
      </c>
      <c r="C3019" s="28" t="s">
        <v>4007</v>
      </c>
      <c r="D3019" s="28" t="s">
        <v>3904</v>
      </c>
      <c r="E3019" s="28" t="s">
        <v>211</v>
      </c>
      <c r="F3019" s="28" t="s">
        <v>212</v>
      </c>
      <c r="G3019" s="28" t="s">
        <v>3904</v>
      </c>
      <c r="H3019" s="28">
        <v>9140849</v>
      </c>
      <c r="I3019" s="28">
        <v>278204</v>
      </c>
      <c r="J3019" s="28">
        <v>0.99</v>
      </c>
      <c r="K3019" s="28">
        <v>13</v>
      </c>
      <c r="L3019" s="28">
        <v>2</v>
      </c>
    </row>
    <row r="3020" spans="1:12" ht="14.25" customHeight="1" x14ac:dyDescent="0.2">
      <c r="A3020" s="28">
        <v>3019</v>
      </c>
      <c r="B3020" s="28" t="s">
        <v>4008</v>
      </c>
      <c r="C3020" s="28" t="s">
        <v>4007</v>
      </c>
      <c r="D3020" s="28" t="s">
        <v>3904</v>
      </c>
      <c r="E3020" s="28" t="s">
        <v>211</v>
      </c>
      <c r="F3020" s="28" t="s">
        <v>212</v>
      </c>
      <c r="G3020" s="28" t="s">
        <v>3904</v>
      </c>
      <c r="H3020" s="28">
        <v>6352121</v>
      </c>
      <c r="I3020" s="28">
        <v>191582</v>
      </c>
      <c r="J3020" s="28">
        <v>0.99</v>
      </c>
      <c r="K3020" s="28">
        <v>50</v>
      </c>
      <c r="L3020" s="28">
        <v>1</v>
      </c>
    </row>
    <row r="3021" spans="1:12" ht="14.25" customHeight="1" x14ac:dyDescent="0.2">
      <c r="A3021" s="28">
        <v>3020</v>
      </c>
      <c r="B3021" s="28" t="s">
        <v>3997</v>
      </c>
      <c r="C3021" s="28" t="s">
        <v>4007</v>
      </c>
      <c r="D3021" s="28" t="s">
        <v>3904</v>
      </c>
      <c r="E3021" s="28" t="s">
        <v>211</v>
      </c>
      <c r="F3021" s="28" t="s">
        <v>212</v>
      </c>
      <c r="G3021" s="28" t="s">
        <v>3904</v>
      </c>
      <c r="H3021" s="28">
        <v>11054732</v>
      </c>
      <c r="I3021" s="28">
        <v>336274</v>
      </c>
      <c r="J3021" s="28">
        <v>0.99</v>
      </c>
      <c r="K3021" s="28">
        <v>60</v>
      </c>
      <c r="L3021" s="28">
        <v>1</v>
      </c>
    </row>
    <row r="3022" spans="1:12" ht="14.25" customHeight="1" x14ac:dyDescent="0.2">
      <c r="A3022" s="28">
        <v>3021</v>
      </c>
      <c r="B3022" s="28" t="s">
        <v>4009</v>
      </c>
      <c r="C3022" s="28" t="s">
        <v>4007</v>
      </c>
      <c r="D3022" s="28" t="s">
        <v>3904</v>
      </c>
      <c r="E3022" s="28" t="s">
        <v>211</v>
      </c>
      <c r="F3022" s="28" t="s">
        <v>212</v>
      </c>
      <c r="G3022" s="28" t="s">
        <v>3904</v>
      </c>
      <c r="H3022" s="28">
        <v>9365379</v>
      </c>
      <c r="I3022" s="28">
        <v>287294</v>
      </c>
      <c r="J3022" s="28">
        <v>0.99</v>
      </c>
      <c r="K3022" s="28">
        <v>39</v>
      </c>
      <c r="L3022" s="28">
        <v>1</v>
      </c>
    </row>
    <row r="3023" spans="1:12" ht="14.25" customHeight="1" x14ac:dyDescent="0.2">
      <c r="A3023" s="28">
        <v>3022</v>
      </c>
      <c r="B3023" s="28" t="s">
        <v>4010</v>
      </c>
      <c r="C3023" s="28" t="s">
        <v>4007</v>
      </c>
      <c r="D3023" s="28" t="s">
        <v>3904</v>
      </c>
      <c r="E3023" s="28" t="s">
        <v>211</v>
      </c>
      <c r="F3023" s="28" t="s">
        <v>212</v>
      </c>
      <c r="G3023" s="28" t="s">
        <v>3904</v>
      </c>
      <c r="H3023" s="28">
        <v>8457066</v>
      </c>
      <c r="I3023" s="28">
        <v>254458</v>
      </c>
      <c r="J3023" s="28">
        <v>0.99</v>
      </c>
      <c r="K3023" s="28">
        <v>44</v>
      </c>
      <c r="L3023" s="28">
        <v>1</v>
      </c>
    </row>
    <row r="3024" spans="1:12" ht="14.25" customHeight="1" x14ac:dyDescent="0.2">
      <c r="A3024" s="28">
        <v>3023</v>
      </c>
      <c r="B3024" s="28" t="s">
        <v>4011</v>
      </c>
      <c r="C3024" s="28" t="s">
        <v>4007</v>
      </c>
      <c r="D3024" s="28" t="s">
        <v>3904</v>
      </c>
      <c r="E3024" s="28" t="s">
        <v>211</v>
      </c>
      <c r="F3024" s="28" t="s">
        <v>212</v>
      </c>
      <c r="G3024" s="28" t="s">
        <v>3904</v>
      </c>
      <c r="H3024" s="28">
        <v>7374043</v>
      </c>
      <c r="I3024" s="28">
        <v>221283</v>
      </c>
      <c r="J3024" s="28">
        <v>0.99</v>
      </c>
      <c r="K3024" s="28">
        <v>65</v>
      </c>
      <c r="L3024" s="28">
        <v>0</v>
      </c>
    </row>
    <row r="3025" spans="1:12" ht="14.25" customHeight="1" x14ac:dyDescent="0.2">
      <c r="A3025" s="28">
        <v>3024</v>
      </c>
      <c r="B3025" s="28" t="s">
        <v>4012</v>
      </c>
      <c r="C3025" s="28" t="s">
        <v>4007</v>
      </c>
      <c r="D3025" s="28" t="s">
        <v>3904</v>
      </c>
      <c r="E3025" s="28" t="s">
        <v>211</v>
      </c>
      <c r="F3025" s="28" t="s">
        <v>212</v>
      </c>
      <c r="G3025" s="28" t="s">
        <v>3904</v>
      </c>
      <c r="H3025" s="28">
        <v>7998323</v>
      </c>
      <c r="I3025" s="28">
        <v>243487</v>
      </c>
      <c r="J3025" s="28">
        <v>0.99</v>
      </c>
      <c r="K3025" s="28">
        <v>10</v>
      </c>
      <c r="L3025" s="28">
        <v>2</v>
      </c>
    </row>
    <row r="3026" spans="1:12" ht="14.25" customHeight="1" x14ac:dyDescent="0.2">
      <c r="A3026" s="28">
        <v>3025</v>
      </c>
      <c r="B3026" s="28" t="s">
        <v>4013</v>
      </c>
      <c r="C3026" s="28" t="s">
        <v>4007</v>
      </c>
      <c r="D3026" s="28" t="s">
        <v>3904</v>
      </c>
      <c r="E3026" s="28" t="s">
        <v>211</v>
      </c>
      <c r="F3026" s="28" t="s">
        <v>212</v>
      </c>
      <c r="G3026" s="28" t="s">
        <v>3904</v>
      </c>
      <c r="H3026" s="28">
        <v>7453704</v>
      </c>
      <c r="I3026" s="28">
        <v>225854</v>
      </c>
      <c r="J3026" s="28">
        <v>0.99</v>
      </c>
      <c r="K3026" s="28">
        <v>7</v>
      </c>
      <c r="L3026" s="28">
        <v>2</v>
      </c>
    </row>
    <row r="3027" spans="1:12" ht="14.25" customHeight="1" x14ac:dyDescent="0.2">
      <c r="A3027" s="28">
        <v>3026</v>
      </c>
      <c r="B3027" s="28" t="s">
        <v>859</v>
      </c>
      <c r="C3027" s="28" t="s">
        <v>4007</v>
      </c>
      <c r="D3027" s="28" t="s">
        <v>3904</v>
      </c>
      <c r="E3027" s="28" t="s">
        <v>211</v>
      </c>
      <c r="F3027" s="28" t="s">
        <v>212</v>
      </c>
      <c r="G3027" s="28" t="s">
        <v>3904</v>
      </c>
      <c r="H3027" s="28">
        <v>11221406</v>
      </c>
      <c r="I3027" s="28">
        <v>333505</v>
      </c>
      <c r="J3027" s="28">
        <v>0.99</v>
      </c>
      <c r="K3027" s="28">
        <v>88</v>
      </c>
      <c r="L3027" s="28">
        <v>1</v>
      </c>
    </row>
    <row r="3028" spans="1:12" ht="14.25" customHeight="1" x14ac:dyDescent="0.2">
      <c r="A3028" s="28">
        <v>3027</v>
      </c>
      <c r="B3028" s="28" t="s">
        <v>4014</v>
      </c>
      <c r="C3028" s="28" t="s">
        <v>4007</v>
      </c>
      <c r="D3028" s="28" t="s">
        <v>3904</v>
      </c>
      <c r="E3028" s="28" t="s">
        <v>211</v>
      </c>
      <c r="F3028" s="28" t="s">
        <v>212</v>
      </c>
      <c r="G3028" s="28" t="s">
        <v>3904</v>
      </c>
      <c r="H3028" s="28">
        <v>5251767</v>
      </c>
      <c r="I3028" s="28">
        <v>157962</v>
      </c>
      <c r="J3028" s="28">
        <v>0.99</v>
      </c>
      <c r="K3028" s="28">
        <v>43</v>
      </c>
      <c r="L3028" s="28">
        <v>0</v>
      </c>
    </row>
    <row r="3029" spans="1:12" ht="14.25" customHeight="1" x14ac:dyDescent="0.2">
      <c r="A3029" s="28">
        <v>3028</v>
      </c>
      <c r="B3029" s="28" t="s">
        <v>4015</v>
      </c>
      <c r="C3029" s="28" t="s">
        <v>4015</v>
      </c>
      <c r="D3029" s="28" t="s">
        <v>3904</v>
      </c>
      <c r="E3029" s="28" t="s">
        <v>211</v>
      </c>
      <c r="F3029" s="28" t="s">
        <v>212</v>
      </c>
      <c r="G3029" s="28" t="s">
        <v>4016</v>
      </c>
      <c r="H3029" s="28">
        <v>12807979</v>
      </c>
      <c r="I3029" s="28">
        <v>392359</v>
      </c>
      <c r="J3029" s="28">
        <v>0.99</v>
      </c>
      <c r="K3029" s="28">
        <v>87</v>
      </c>
      <c r="L3029" s="28">
        <v>1</v>
      </c>
    </row>
    <row r="3030" spans="1:12" ht="14.25" customHeight="1" x14ac:dyDescent="0.2">
      <c r="A3030" s="28">
        <v>3029</v>
      </c>
      <c r="B3030" s="28" t="s">
        <v>4017</v>
      </c>
      <c r="C3030" s="28" t="s">
        <v>4015</v>
      </c>
      <c r="D3030" s="28" t="s">
        <v>3904</v>
      </c>
      <c r="E3030" s="28" t="s">
        <v>211</v>
      </c>
      <c r="F3030" s="28" t="s">
        <v>212</v>
      </c>
      <c r="G3030" s="28" t="s">
        <v>4016</v>
      </c>
      <c r="H3030" s="28">
        <v>7942573</v>
      </c>
      <c r="I3030" s="28">
        <v>241998</v>
      </c>
      <c r="J3030" s="28">
        <v>0.99</v>
      </c>
      <c r="K3030" s="28">
        <v>61</v>
      </c>
      <c r="L3030" s="28">
        <v>1</v>
      </c>
    </row>
    <row r="3031" spans="1:12" ht="14.25" customHeight="1" x14ac:dyDescent="0.2">
      <c r="A3031" s="28">
        <v>3030</v>
      </c>
      <c r="B3031" s="28" t="s">
        <v>4018</v>
      </c>
      <c r="C3031" s="28" t="s">
        <v>4015</v>
      </c>
      <c r="D3031" s="28" t="s">
        <v>3904</v>
      </c>
      <c r="E3031" s="28" t="s">
        <v>211</v>
      </c>
      <c r="F3031" s="28" t="s">
        <v>212</v>
      </c>
      <c r="G3031" s="28" t="s">
        <v>4019</v>
      </c>
      <c r="H3031" s="28">
        <v>8577861</v>
      </c>
      <c r="I3031" s="28">
        <v>260284</v>
      </c>
      <c r="J3031" s="28">
        <v>0.99</v>
      </c>
      <c r="K3031" s="28">
        <v>33</v>
      </c>
      <c r="L3031" s="28">
        <v>1</v>
      </c>
    </row>
    <row r="3032" spans="1:12" ht="14.25" customHeight="1" x14ac:dyDescent="0.2">
      <c r="A3032" s="28">
        <v>3031</v>
      </c>
      <c r="B3032" s="28" t="s">
        <v>4020</v>
      </c>
      <c r="C3032" s="28" t="s">
        <v>4015</v>
      </c>
      <c r="D3032" s="28" t="s">
        <v>3904</v>
      </c>
      <c r="E3032" s="28" t="s">
        <v>211</v>
      </c>
      <c r="F3032" s="28" t="s">
        <v>212</v>
      </c>
      <c r="G3032" s="28" t="s">
        <v>4016</v>
      </c>
      <c r="H3032" s="28">
        <v>13988878</v>
      </c>
      <c r="I3032" s="28">
        <v>418324</v>
      </c>
      <c r="J3032" s="28">
        <v>0.99</v>
      </c>
      <c r="K3032" s="28">
        <v>26</v>
      </c>
      <c r="L3032" s="28">
        <v>1</v>
      </c>
    </row>
    <row r="3033" spans="1:12" ht="14.25" customHeight="1" x14ac:dyDescent="0.2">
      <c r="A3033" s="28">
        <v>3032</v>
      </c>
      <c r="B3033" s="28" t="s">
        <v>4021</v>
      </c>
      <c r="C3033" s="28" t="s">
        <v>4015</v>
      </c>
      <c r="D3033" s="28" t="s">
        <v>3904</v>
      </c>
      <c r="E3033" s="28" t="s">
        <v>211</v>
      </c>
      <c r="F3033" s="28" t="s">
        <v>212</v>
      </c>
      <c r="G3033" s="28" t="s">
        <v>4016</v>
      </c>
      <c r="H3033" s="28">
        <v>9785480</v>
      </c>
      <c r="I3033" s="28">
        <v>298475</v>
      </c>
      <c r="J3033" s="28">
        <v>0.99</v>
      </c>
      <c r="K3033" s="28">
        <v>65</v>
      </c>
      <c r="L3033" s="28">
        <v>1</v>
      </c>
    </row>
    <row r="3034" spans="1:12" ht="14.25" customHeight="1" x14ac:dyDescent="0.2">
      <c r="A3034" s="28">
        <v>3033</v>
      </c>
      <c r="B3034" s="28" t="s">
        <v>4022</v>
      </c>
      <c r="C3034" s="28" t="s">
        <v>4015</v>
      </c>
      <c r="D3034" s="28" t="s">
        <v>3904</v>
      </c>
      <c r="E3034" s="28" t="s">
        <v>211</v>
      </c>
      <c r="F3034" s="28" t="s">
        <v>212</v>
      </c>
      <c r="G3034" s="28" t="s">
        <v>4016</v>
      </c>
      <c r="H3034" s="28">
        <v>10609581</v>
      </c>
      <c r="I3034" s="28">
        <v>320287</v>
      </c>
      <c r="J3034" s="28">
        <v>0.99</v>
      </c>
      <c r="K3034" s="28">
        <v>60</v>
      </c>
      <c r="L3034" s="28">
        <v>0</v>
      </c>
    </row>
    <row r="3035" spans="1:12" ht="14.25" customHeight="1" x14ac:dyDescent="0.2">
      <c r="A3035" s="28">
        <v>3034</v>
      </c>
      <c r="B3035" s="28" t="s">
        <v>4023</v>
      </c>
      <c r="C3035" s="28" t="s">
        <v>4015</v>
      </c>
      <c r="D3035" s="28" t="s">
        <v>3904</v>
      </c>
      <c r="E3035" s="28" t="s">
        <v>211</v>
      </c>
      <c r="F3035" s="28" t="s">
        <v>212</v>
      </c>
      <c r="G3035" s="28" t="s">
        <v>4016</v>
      </c>
      <c r="H3035" s="28">
        <v>8417690</v>
      </c>
      <c r="I3035" s="28">
        <v>257436</v>
      </c>
      <c r="J3035" s="28">
        <v>0.99</v>
      </c>
      <c r="K3035" s="28">
        <v>35</v>
      </c>
      <c r="L3035" s="28">
        <v>0</v>
      </c>
    </row>
    <row r="3036" spans="1:12" ht="14.25" customHeight="1" x14ac:dyDescent="0.2">
      <c r="A3036" s="28">
        <v>3035</v>
      </c>
      <c r="B3036" s="28" t="s">
        <v>4024</v>
      </c>
      <c r="C3036" s="28" t="s">
        <v>4015</v>
      </c>
      <c r="D3036" s="28" t="s">
        <v>3904</v>
      </c>
      <c r="E3036" s="28" t="s">
        <v>211</v>
      </c>
      <c r="F3036" s="28" t="s">
        <v>212</v>
      </c>
      <c r="G3036" s="28" t="s">
        <v>4016</v>
      </c>
      <c r="H3036" s="28">
        <v>7247651</v>
      </c>
      <c r="I3036" s="28">
        <v>225697</v>
      </c>
      <c r="J3036" s="28">
        <v>0.99</v>
      </c>
      <c r="K3036" s="28">
        <v>5</v>
      </c>
      <c r="L3036" s="28">
        <v>1</v>
      </c>
    </row>
    <row r="3037" spans="1:12" ht="14.25" customHeight="1" x14ac:dyDescent="0.2">
      <c r="A3037" s="28">
        <v>3036</v>
      </c>
      <c r="B3037" s="28" t="s">
        <v>4025</v>
      </c>
      <c r="C3037" s="28" t="s">
        <v>4015</v>
      </c>
      <c r="D3037" s="28" t="s">
        <v>3904</v>
      </c>
      <c r="E3037" s="28" t="s">
        <v>211</v>
      </c>
      <c r="F3037" s="28" t="s">
        <v>212</v>
      </c>
      <c r="G3037" s="28" t="s">
        <v>4026</v>
      </c>
      <c r="H3037" s="28">
        <v>10652877</v>
      </c>
      <c r="I3037" s="28">
        <v>324440</v>
      </c>
      <c r="J3037" s="28">
        <v>0.99</v>
      </c>
      <c r="K3037" s="28">
        <v>29</v>
      </c>
      <c r="L3037" s="28">
        <v>2</v>
      </c>
    </row>
    <row r="3038" spans="1:12" ht="14.25" customHeight="1" x14ac:dyDescent="0.2">
      <c r="A3038" s="28">
        <v>3037</v>
      </c>
      <c r="B3038" s="28" t="s">
        <v>4027</v>
      </c>
      <c r="C3038" s="28" t="s">
        <v>4015</v>
      </c>
      <c r="D3038" s="28" t="s">
        <v>3904</v>
      </c>
      <c r="E3038" s="28" t="s">
        <v>211</v>
      </c>
      <c r="F3038" s="28" t="s">
        <v>212</v>
      </c>
      <c r="G3038" s="28" t="s">
        <v>4016</v>
      </c>
      <c r="H3038" s="28">
        <v>9258717</v>
      </c>
      <c r="I3038" s="28">
        <v>283951</v>
      </c>
      <c r="J3038" s="28">
        <v>0.99</v>
      </c>
      <c r="K3038" s="28">
        <v>78</v>
      </c>
      <c r="L3038" s="28">
        <v>1</v>
      </c>
    </row>
    <row r="3039" spans="1:12" ht="14.25" customHeight="1" x14ac:dyDescent="0.2">
      <c r="A3039" s="28">
        <v>3038</v>
      </c>
      <c r="B3039" s="28" t="s">
        <v>1306</v>
      </c>
      <c r="C3039" s="28" t="s">
        <v>4028</v>
      </c>
      <c r="D3039" s="28" t="s">
        <v>4029</v>
      </c>
      <c r="E3039" s="28" t="s">
        <v>211</v>
      </c>
      <c r="F3039" s="28" t="s">
        <v>581</v>
      </c>
      <c r="G3039" s="28"/>
      <c r="H3039" s="28">
        <v>6513325</v>
      </c>
      <c r="I3039" s="28">
        <v>196179</v>
      </c>
      <c r="J3039" s="28">
        <v>0.99</v>
      </c>
      <c r="K3039" s="28">
        <v>43</v>
      </c>
      <c r="L3039" s="28">
        <v>0</v>
      </c>
    </row>
    <row r="3040" spans="1:12" ht="14.25" customHeight="1" x14ac:dyDescent="0.2">
      <c r="A3040" s="28">
        <v>3039</v>
      </c>
      <c r="B3040" s="28" t="s">
        <v>4030</v>
      </c>
      <c r="C3040" s="28" t="s">
        <v>4028</v>
      </c>
      <c r="D3040" s="28" t="s">
        <v>4029</v>
      </c>
      <c r="E3040" s="28" t="s">
        <v>211</v>
      </c>
      <c r="F3040" s="28" t="s">
        <v>581</v>
      </c>
      <c r="G3040" s="28"/>
      <c r="H3040" s="28">
        <v>7485054</v>
      </c>
      <c r="I3040" s="28">
        <v>226742</v>
      </c>
      <c r="J3040" s="28">
        <v>0.99</v>
      </c>
      <c r="K3040" s="28">
        <v>75</v>
      </c>
      <c r="L3040" s="28">
        <v>0</v>
      </c>
    </row>
    <row r="3041" spans="1:12" ht="14.25" customHeight="1" x14ac:dyDescent="0.2">
      <c r="A3041" s="28">
        <v>3040</v>
      </c>
      <c r="B3041" s="28" t="s">
        <v>4031</v>
      </c>
      <c r="C3041" s="28" t="s">
        <v>4028</v>
      </c>
      <c r="D3041" s="28" t="s">
        <v>4029</v>
      </c>
      <c r="E3041" s="28" t="s">
        <v>211</v>
      </c>
      <c r="F3041" s="28" t="s">
        <v>581</v>
      </c>
      <c r="G3041" s="28"/>
      <c r="H3041" s="28">
        <v>11193602</v>
      </c>
      <c r="I3041" s="28">
        <v>334524</v>
      </c>
      <c r="J3041" s="28">
        <v>0.99</v>
      </c>
      <c r="K3041" s="28">
        <v>14</v>
      </c>
      <c r="L3041" s="28">
        <v>1</v>
      </c>
    </row>
    <row r="3042" spans="1:12" ht="14.25" customHeight="1" x14ac:dyDescent="0.2">
      <c r="A3042" s="28">
        <v>3041</v>
      </c>
      <c r="B3042" s="28" t="s">
        <v>4032</v>
      </c>
      <c r="C3042" s="28" t="s">
        <v>4028</v>
      </c>
      <c r="D3042" s="28" t="s">
        <v>4029</v>
      </c>
      <c r="E3042" s="28" t="s">
        <v>211</v>
      </c>
      <c r="F3042" s="28" t="s">
        <v>581</v>
      </c>
      <c r="G3042" s="28"/>
      <c r="H3042" s="28">
        <v>6790788</v>
      </c>
      <c r="I3042" s="28">
        <v>203833</v>
      </c>
      <c r="J3042" s="28">
        <v>0.99</v>
      </c>
      <c r="K3042" s="28">
        <v>78</v>
      </c>
      <c r="L3042" s="28">
        <v>1</v>
      </c>
    </row>
    <row r="3043" spans="1:12" ht="14.25" customHeight="1" x14ac:dyDescent="0.2">
      <c r="A3043" s="28">
        <v>3042</v>
      </c>
      <c r="B3043" s="28" t="s">
        <v>4033</v>
      </c>
      <c r="C3043" s="28" t="s">
        <v>4028</v>
      </c>
      <c r="D3043" s="28" t="s">
        <v>4029</v>
      </c>
      <c r="E3043" s="28" t="s">
        <v>211</v>
      </c>
      <c r="F3043" s="28" t="s">
        <v>581</v>
      </c>
      <c r="G3043" s="28"/>
      <c r="H3043" s="28">
        <v>8106249</v>
      </c>
      <c r="I3043" s="28">
        <v>242102</v>
      </c>
      <c r="J3043" s="28">
        <v>0.99</v>
      </c>
      <c r="K3043" s="28">
        <v>37</v>
      </c>
      <c r="L3043" s="28">
        <v>1</v>
      </c>
    </row>
    <row r="3044" spans="1:12" ht="14.25" customHeight="1" x14ac:dyDescent="0.2">
      <c r="A3044" s="28">
        <v>3043</v>
      </c>
      <c r="B3044" s="28" t="s">
        <v>4034</v>
      </c>
      <c r="C3044" s="28" t="s">
        <v>4028</v>
      </c>
      <c r="D3044" s="28" t="s">
        <v>4029</v>
      </c>
      <c r="E3044" s="28" t="s">
        <v>211</v>
      </c>
      <c r="F3044" s="28" t="s">
        <v>581</v>
      </c>
      <c r="G3044" s="28"/>
      <c r="H3044" s="28">
        <v>7638236</v>
      </c>
      <c r="I3044" s="28">
        <v>226951</v>
      </c>
      <c r="J3044" s="28">
        <v>0.99</v>
      </c>
      <c r="K3044" s="28">
        <v>43</v>
      </c>
      <c r="L3044" s="28">
        <v>0</v>
      </c>
    </row>
    <row r="3045" spans="1:12" ht="14.25" customHeight="1" x14ac:dyDescent="0.2">
      <c r="A3045" s="28">
        <v>3044</v>
      </c>
      <c r="B3045" s="28" t="s">
        <v>4035</v>
      </c>
      <c r="C3045" s="28" t="s">
        <v>4028</v>
      </c>
      <c r="D3045" s="28" t="s">
        <v>4029</v>
      </c>
      <c r="E3045" s="28" t="s">
        <v>211</v>
      </c>
      <c r="F3045" s="28" t="s">
        <v>581</v>
      </c>
      <c r="G3045" s="28"/>
      <c r="H3045" s="28">
        <v>7159527</v>
      </c>
      <c r="I3045" s="28">
        <v>213342</v>
      </c>
      <c r="J3045" s="28">
        <v>0.99</v>
      </c>
      <c r="K3045" s="28">
        <v>14</v>
      </c>
      <c r="L3045" s="28">
        <v>1</v>
      </c>
    </row>
    <row r="3046" spans="1:12" ht="14.25" customHeight="1" x14ac:dyDescent="0.2">
      <c r="A3046" s="28">
        <v>3045</v>
      </c>
      <c r="B3046" s="28" t="s">
        <v>4036</v>
      </c>
      <c r="C3046" s="28" t="s">
        <v>4028</v>
      </c>
      <c r="D3046" s="28" t="s">
        <v>4029</v>
      </c>
      <c r="E3046" s="28" t="s">
        <v>211</v>
      </c>
      <c r="F3046" s="28" t="s">
        <v>581</v>
      </c>
      <c r="G3046" s="28"/>
      <c r="H3046" s="28">
        <v>6905623</v>
      </c>
      <c r="I3046" s="28">
        <v>207568</v>
      </c>
      <c r="J3046" s="28">
        <v>0.99</v>
      </c>
      <c r="K3046" s="28">
        <v>33</v>
      </c>
      <c r="L3046" s="28">
        <v>0</v>
      </c>
    </row>
    <row r="3047" spans="1:12" ht="14.25" customHeight="1" x14ac:dyDescent="0.2">
      <c r="A3047" s="28">
        <v>3046</v>
      </c>
      <c r="B3047" s="28" t="s">
        <v>4037</v>
      </c>
      <c r="C3047" s="28" t="s">
        <v>4028</v>
      </c>
      <c r="D3047" s="28" t="s">
        <v>4029</v>
      </c>
      <c r="E3047" s="28" t="s">
        <v>211</v>
      </c>
      <c r="F3047" s="28" t="s">
        <v>581</v>
      </c>
      <c r="G3047" s="28"/>
      <c r="H3047" s="28">
        <v>8665244</v>
      </c>
      <c r="I3047" s="28">
        <v>260179</v>
      </c>
      <c r="J3047" s="28">
        <v>0.99</v>
      </c>
      <c r="K3047" s="28">
        <v>59</v>
      </c>
      <c r="L3047" s="28">
        <v>1</v>
      </c>
    </row>
    <row r="3048" spans="1:12" ht="14.25" customHeight="1" x14ac:dyDescent="0.2">
      <c r="A3048" s="28">
        <v>3047</v>
      </c>
      <c r="B3048" s="28" t="s">
        <v>4038</v>
      </c>
      <c r="C3048" s="28" t="s">
        <v>4028</v>
      </c>
      <c r="D3048" s="28" t="s">
        <v>4029</v>
      </c>
      <c r="E3048" s="28" t="s">
        <v>211</v>
      </c>
      <c r="F3048" s="28" t="s">
        <v>581</v>
      </c>
      <c r="G3048" s="28"/>
      <c r="H3048" s="28">
        <v>11346114</v>
      </c>
      <c r="I3048" s="28">
        <v>341498</v>
      </c>
      <c r="J3048" s="28">
        <v>0.99</v>
      </c>
      <c r="K3048" s="28">
        <v>24</v>
      </c>
      <c r="L3048" s="28">
        <v>1</v>
      </c>
    </row>
    <row r="3049" spans="1:12" ht="14.25" customHeight="1" x14ac:dyDescent="0.2">
      <c r="A3049" s="28">
        <v>3048</v>
      </c>
      <c r="B3049" s="28" t="s">
        <v>4039</v>
      </c>
      <c r="C3049" s="28" t="s">
        <v>4028</v>
      </c>
      <c r="D3049" s="28" t="s">
        <v>4029</v>
      </c>
      <c r="E3049" s="28" t="s">
        <v>211</v>
      </c>
      <c r="F3049" s="28" t="s">
        <v>581</v>
      </c>
      <c r="G3049" s="28"/>
      <c r="H3049" s="28">
        <v>9031661</v>
      </c>
      <c r="I3049" s="28">
        <v>270053</v>
      </c>
      <c r="J3049" s="28">
        <v>0.99</v>
      </c>
      <c r="K3049" s="28">
        <v>90</v>
      </c>
      <c r="L3049" s="28">
        <v>2</v>
      </c>
    </row>
    <row r="3050" spans="1:12" ht="14.25" customHeight="1" x14ac:dyDescent="0.2">
      <c r="A3050" s="28">
        <v>3049</v>
      </c>
      <c r="B3050" s="28" t="s">
        <v>4040</v>
      </c>
      <c r="C3050" s="28" t="s">
        <v>4028</v>
      </c>
      <c r="D3050" s="28" t="s">
        <v>4029</v>
      </c>
      <c r="E3050" s="28" t="s">
        <v>211</v>
      </c>
      <c r="F3050" s="28" t="s">
        <v>581</v>
      </c>
      <c r="G3050" s="28"/>
      <c r="H3050" s="28">
        <v>8203931</v>
      </c>
      <c r="I3050" s="28">
        <v>245106</v>
      </c>
      <c r="J3050" s="28">
        <v>0.99</v>
      </c>
      <c r="K3050" s="28">
        <v>4</v>
      </c>
      <c r="L3050" s="28">
        <v>0</v>
      </c>
    </row>
    <row r="3051" spans="1:12" ht="14.25" customHeight="1" x14ac:dyDescent="0.2">
      <c r="A3051" s="28">
        <v>3050</v>
      </c>
      <c r="B3051" s="28" t="s">
        <v>4041</v>
      </c>
      <c r="C3051" s="28" t="s">
        <v>4028</v>
      </c>
      <c r="D3051" s="28" t="s">
        <v>4029</v>
      </c>
      <c r="E3051" s="28" t="s">
        <v>211</v>
      </c>
      <c r="F3051" s="28" t="s">
        <v>581</v>
      </c>
      <c r="G3051" s="28"/>
      <c r="H3051" s="28">
        <v>10728099</v>
      </c>
      <c r="I3051" s="28">
        <v>319582</v>
      </c>
      <c r="J3051" s="28">
        <v>0.99</v>
      </c>
      <c r="K3051" s="28">
        <v>52</v>
      </c>
      <c r="L3051" s="28">
        <v>0</v>
      </c>
    </row>
    <row r="3052" spans="1:12" ht="14.25" customHeight="1" x14ac:dyDescent="0.2">
      <c r="A3052" s="28">
        <v>3051</v>
      </c>
      <c r="B3052" s="28" t="s">
        <v>4042</v>
      </c>
      <c r="C3052" s="28" t="s">
        <v>4028</v>
      </c>
      <c r="D3052" s="28" t="s">
        <v>4029</v>
      </c>
      <c r="E3052" s="28" t="s">
        <v>211</v>
      </c>
      <c r="F3052" s="28" t="s">
        <v>581</v>
      </c>
      <c r="G3052" s="28"/>
      <c r="H3052" s="28">
        <v>7886195</v>
      </c>
      <c r="I3052" s="28">
        <v>235807</v>
      </c>
      <c r="J3052" s="28">
        <v>0.99</v>
      </c>
      <c r="K3052" s="28">
        <v>44</v>
      </c>
      <c r="L3052" s="28">
        <v>0</v>
      </c>
    </row>
    <row r="3053" spans="1:12" ht="14.25" customHeight="1" x14ac:dyDescent="0.2">
      <c r="A3053" s="28">
        <v>3052</v>
      </c>
      <c r="B3053" s="28" t="s">
        <v>4043</v>
      </c>
      <c r="C3053" s="28" t="s">
        <v>4044</v>
      </c>
      <c r="D3053" s="28" t="s">
        <v>4045</v>
      </c>
      <c r="E3053" s="28" t="s">
        <v>211</v>
      </c>
      <c r="F3053" s="28" t="s">
        <v>212</v>
      </c>
      <c r="G3053" s="28" t="s">
        <v>4046</v>
      </c>
      <c r="H3053" s="28">
        <v>6063937</v>
      </c>
      <c r="I3053" s="28">
        <v>186723</v>
      </c>
      <c r="J3053" s="28">
        <v>0.99</v>
      </c>
      <c r="K3053" s="28">
        <v>69</v>
      </c>
      <c r="L3053" s="28">
        <v>1</v>
      </c>
    </row>
    <row r="3054" spans="1:12" ht="14.25" customHeight="1" x14ac:dyDescent="0.2">
      <c r="A3054" s="28">
        <v>3053</v>
      </c>
      <c r="B3054" s="28" t="s">
        <v>4047</v>
      </c>
      <c r="C3054" s="28" t="s">
        <v>4044</v>
      </c>
      <c r="D3054" s="28" t="s">
        <v>4045</v>
      </c>
      <c r="E3054" s="28" t="s">
        <v>211</v>
      </c>
      <c r="F3054" s="28" t="s">
        <v>212</v>
      </c>
      <c r="G3054" s="28" t="s">
        <v>4048</v>
      </c>
      <c r="H3054" s="28">
        <v>6872314</v>
      </c>
      <c r="I3054" s="28">
        <v>210259</v>
      </c>
      <c r="J3054" s="28">
        <v>0.99</v>
      </c>
      <c r="K3054" s="28">
        <v>75</v>
      </c>
      <c r="L3054" s="28">
        <v>1</v>
      </c>
    </row>
    <row r="3055" spans="1:12" ht="14.25" customHeight="1" x14ac:dyDescent="0.2">
      <c r="A3055" s="28">
        <v>3054</v>
      </c>
      <c r="B3055" s="28" t="s">
        <v>4049</v>
      </c>
      <c r="C3055" s="28" t="s">
        <v>4044</v>
      </c>
      <c r="D3055" s="28" t="s">
        <v>4045</v>
      </c>
      <c r="E3055" s="28" t="s">
        <v>211</v>
      </c>
      <c r="F3055" s="28" t="s">
        <v>212</v>
      </c>
      <c r="G3055" s="28" t="s">
        <v>4048</v>
      </c>
      <c r="H3055" s="28">
        <v>2650998</v>
      </c>
      <c r="I3055" s="28">
        <v>82860</v>
      </c>
      <c r="J3055" s="28">
        <v>0.99</v>
      </c>
      <c r="K3055" s="28">
        <v>68</v>
      </c>
      <c r="L3055" s="28">
        <v>1</v>
      </c>
    </row>
    <row r="3056" spans="1:12" ht="14.25" customHeight="1" x14ac:dyDescent="0.2">
      <c r="A3056" s="28">
        <v>3055</v>
      </c>
      <c r="B3056" s="28" t="s">
        <v>4050</v>
      </c>
      <c r="C3056" s="28" t="s">
        <v>4044</v>
      </c>
      <c r="D3056" s="28" t="s">
        <v>4045</v>
      </c>
      <c r="E3056" s="28" t="s">
        <v>211</v>
      </c>
      <c r="F3056" s="28" t="s">
        <v>212</v>
      </c>
      <c r="G3056" s="28" t="s">
        <v>4048</v>
      </c>
      <c r="H3056" s="28">
        <v>6803255</v>
      </c>
      <c r="I3056" s="28">
        <v>206968</v>
      </c>
      <c r="J3056" s="28">
        <v>0.99</v>
      </c>
      <c r="K3056" s="28">
        <v>87</v>
      </c>
      <c r="L3056" s="28">
        <v>1</v>
      </c>
    </row>
    <row r="3057" spans="1:12" ht="14.25" customHeight="1" x14ac:dyDescent="0.2">
      <c r="A3057" s="28">
        <v>3056</v>
      </c>
      <c r="B3057" s="28" t="s">
        <v>4051</v>
      </c>
      <c r="C3057" s="28" t="s">
        <v>4044</v>
      </c>
      <c r="D3057" s="28" t="s">
        <v>4045</v>
      </c>
      <c r="E3057" s="28" t="s">
        <v>211</v>
      </c>
      <c r="F3057" s="28" t="s">
        <v>212</v>
      </c>
      <c r="G3057" s="28" t="s">
        <v>4048</v>
      </c>
      <c r="H3057" s="28">
        <v>3282142</v>
      </c>
      <c r="I3057" s="28">
        <v>100153</v>
      </c>
      <c r="J3057" s="28">
        <v>0.99</v>
      </c>
      <c r="K3057" s="28">
        <v>57</v>
      </c>
      <c r="L3057" s="28">
        <v>0</v>
      </c>
    </row>
    <row r="3058" spans="1:12" ht="14.25" customHeight="1" x14ac:dyDescent="0.2">
      <c r="A3058" s="28">
        <v>3057</v>
      </c>
      <c r="B3058" s="28" t="s">
        <v>4052</v>
      </c>
      <c r="C3058" s="28" t="s">
        <v>4044</v>
      </c>
      <c r="D3058" s="28" t="s">
        <v>4045</v>
      </c>
      <c r="E3058" s="28" t="s">
        <v>211</v>
      </c>
      <c r="F3058" s="28" t="s">
        <v>212</v>
      </c>
      <c r="G3058" s="28" t="s">
        <v>4053</v>
      </c>
      <c r="H3058" s="28">
        <v>5665828</v>
      </c>
      <c r="I3058" s="28">
        <v>174680</v>
      </c>
      <c r="J3058" s="28">
        <v>0.99</v>
      </c>
      <c r="K3058" s="28">
        <v>45</v>
      </c>
      <c r="L3058" s="28">
        <v>0</v>
      </c>
    </row>
    <row r="3059" spans="1:12" ht="14.25" customHeight="1" x14ac:dyDescent="0.2">
      <c r="A3059" s="28">
        <v>3058</v>
      </c>
      <c r="B3059" s="28" t="s">
        <v>4054</v>
      </c>
      <c r="C3059" s="28" t="s">
        <v>4044</v>
      </c>
      <c r="D3059" s="28" t="s">
        <v>4045</v>
      </c>
      <c r="E3059" s="28" t="s">
        <v>211</v>
      </c>
      <c r="F3059" s="28" t="s">
        <v>212</v>
      </c>
      <c r="G3059" s="28" t="s">
        <v>4055</v>
      </c>
      <c r="H3059" s="28">
        <v>7461499</v>
      </c>
      <c r="I3059" s="28">
        <v>225985</v>
      </c>
      <c r="J3059" s="28">
        <v>0.99</v>
      </c>
      <c r="K3059" s="28">
        <v>7</v>
      </c>
      <c r="L3059" s="28">
        <v>1</v>
      </c>
    </row>
    <row r="3060" spans="1:12" ht="14.25" customHeight="1" x14ac:dyDescent="0.2">
      <c r="A3060" s="28">
        <v>3059</v>
      </c>
      <c r="B3060" s="28" t="s">
        <v>4056</v>
      </c>
      <c r="C3060" s="28" t="s">
        <v>4044</v>
      </c>
      <c r="D3060" s="28" t="s">
        <v>4045</v>
      </c>
      <c r="E3060" s="28" t="s">
        <v>211</v>
      </c>
      <c r="F3060" s="28" t="s">
        <v>212</v>
      </c>
      <c r="G3060" s="28" t="s">
        <v>4048</v>
      </c>
      <c r="H3060" s="28">
        <v>1439530</v>
      </c>
      <c r="I3060" s="28">
        <v>42240</v>
      </c>
      <c r="J3060" s="28">
        <v>0.99</v>
      </c>
      <c r="K3060" s="28">
        <v>67</v>
      </c>
      <c r="L3060" s="28">
        <v>1</v>
      </c>
    </row>
    <row r="3061" spans="1:12" ht="14.25" customHeight="1" x14ac:dyDescent="0.2">
      <c r="A3061" s="28">
        <v>3060</v>
      </c>
      <c r="B3061" s="28" t="s">
        <v>4057</v>
      </c>
      <c r="C3061" s="28" t="s">
        <v>4044</v>
      </c>
      <c r="D3061" s="28" t="s">
        <v>4045</v>
      </c>
      <c r="E3061" s="28" t="s">
        <v>211</v>
      </c>
      <c r="F3061" s="28" t="s">
        <v>212</v>
      </c>
      <c r="G3061" s="28" t="s">
        <v>4048</v>
      </c>
      <c r="H3061" s="28">
        <v>7453043</v>
      </c>
      <c r="I3061" s="28">
        <v>228806</v>
      </c>
      <c r="J3061" s="28">
        <v>0.99</v>
      </c>
      <c r="K3061" s="28">
        <v>90</v>
      </c>
      <c r="L3061" s="28">
        <v>1</v>
      </c>
    </row>
    <row r="3062" spans="1:12" ht="14.25" customHeight="1" x14ac:dyDescent="0.2">
      <c r="A3062" s="28">
        <v>3061</v>
      </c>
      <c r="B3062" s="28" t="s">
        <v>4058</v>
      </c>
      <c r="C3062" s="28" t="s">
        <v>4044</v>
      </c>
      <c r="D3062" s="28" t="s">
        <v>4045</v>
      </c>
      <c r="E3062" s="28" t="s">
        <v>211</v>
      </c>
      <c r="F3062" s="28" t="s">
        <v>212</v>
      </c>
      <c r="G3062" s="28" t="s">
        <v>4059</v>
      </c>
      <c r="H3062" s="28">
        <v>5489609</v>
      </c>
      <c r="I3062" s="28">
        <v>165146</v>
      </c>
      <c r="J3062" s="28">
        <v>0.99</v>
      </c>
      <c r="K3062" s="28">
        <v>18</v>
      </c>
      <c r="L3062" s="28">
        <v>0</v>
      </c>
    </row>
    <row r="3063" spans="1:12" ht="14.25" customHeight="1" x14ac:dyDescent="0.2">
      <c r="A3063" s="28">
        <v>3062</v>
      </c>
      <c r="B3063" s="28" t="s">
        <v>4060</v>
      </c>
      <c r="C3063" s="28" t="s">
        <v>4044</v>
      </c>
      <c r="D3063" s="28" t="s">
        <v>4045</v>
      </c>
      <c r="E3063" s="28" t="s">
        <v>211</v>
      </c>
      <c r="F3063" s="28" t="s">
        <v>212</v>
      </c>
      <c r="G3063" s="28" t="s">
        <v>4048</v>
      </c>
      <c r="H3063" s="28">
        <v>6551013</v>
      </c>
      <c r="I3063" s="28">
        <v>201116</v>
      </c>
      <c r="J3063" s="28">
        <v>0.99</v>
      </c>
      <c r="K3063" s="28">
        <v>41</v>
      </c>
      <c r="L3063" s="28">
        <v>0</v>
      </c>
    </row>
    <row r="3064" spans="1:12" ht="14.25" customHeight="1" x14ac:dyDescent="0.2">
      <c r="A3064" s="28">
        <v>3063</v>
      </c>
      <c r="B3064" s="28" t="s">
        <v>4061</v>
      </c>
      <c r="C3064" s="28" t="s">
        <v>4044</v>
      </c>
      <c r="D3064" s="28" t="s">
        <v>4045</v>
      </c>
      <c r="E3064" s="28" t="s">
        <v>211</v>
      </c>
      <c r="F3064" s="28" t="s">
        <v>212</v>
      </c>
      <c r="G3064" s="28" t="s">
        <v>4062</v>
      </c>
      <c r="H3064" s="28">
        <v>2111141</v>
      </c>
      <c r="I3064" s="28">
        <v>65488</v>
      </c>
      <c r="J3064" s="28">
        <v>0.99</v>
      </c>
      <c r="K3064" s="28">
        <v>71</v>
      </c>
      <c r="L3064" s="28">
        <v>0</v>
      </c>
    </row>
    <row r="3065" spans="1:12" ht="14.25" customHeight="1" x14ac:dyDescent="0.2">
      <c r="A3065" s="28">
        <v>3064</v>
      </c>
      <c r="B3065" s="28" t="s">
        <v>4063</v>
      </c>
      <c r="C3065" s="28" t="s">
        <v>4064</v>
      </c>
      <c r="D3065" s="28" t="s">
        <v>4045</v>
      </c>
      <c r="E3065" s="28" t="s">
        <v>211</v>
      </c>
      <c r="F3065" s="28" t="s">
        <v>212</v>
      </c>
      <c r="G3065" s="28" t="s">
        <v>4065</v>
      </c>
      <c r="H3065" s="28">
        <v>3272891</v>
      </c>
      <c r="I3065" s="28">
        <v>102164</v>
      </c>
      <c r="J3065" s="28">
        <v>0.99</v>
      </c>
      <c r="K3065" s="28">
        <v>18</v>
      </c>
      <c r="L3065" s="28">
        <v>2</v>
      </c>
    </row>
    <row r="3066" spans="1:12" ht="14.25" customHeight="1" x14ac:dyDescent="0.2">
      <c r="A3066" s="28">
        <v>3065</v>
      </c>
      <c r="B3066" s="28" t="s">
        <v>4066</v>
      </c>
      <c r="C3066" s="28" t="s">
        <v>4064</v>
      </c>
      <c r="D3066" s="28" t="s">
        <v>4045</v>
      </c>
      <c r="E3066" s="28" t="s">
        <v>211</v>
      </c>
      <c r="F3066" s="28" t="s">
        <v>212</v>
      </c>
      <c r="G3066" s="28" t="s">
        <v>4065</v>
      </c>
      <c r="H3066" s="28">
        <v>7569506</v>
      </c>
      <c r="I3066" s="28">
        <v>228336</v>
      </c>
      <c r="J3066" s="28">
        <v>0.99</v>
      </c>
      <c r="K3066" s="28">
        <v>67</v>
      </c>
      <c r="L3066" s="28">
        <v>1</v>
      </c>
    </row>
    <row r="3067" spans="1:12" ht="14.25" customHeight="1" x14ac:dyDescent="0.2">
      <c r="A3067" s="28">
        <v>3066</v>
      </c>
      <c r="B3067" s="28" t="s">
        <v>4067</v>
      </c>
      <c r="C3067" s="28" t="s">
        <v>4064</v>
      </c>
      <c r="D3067" s="28" t="s">
        <v>4045</v>
      </c>
      <c r="E3067" s="28" t="s">
        <v>211</v>
      </c>
      <c r="F3067" s="28" t="s">
        <v>212</v>
      </c>
      <c r="G3067" s="28" t="s">
        <v>4065</v>
      </c>
      <c r="H3067" s="28">
        <v>7061901</v>
      </c>
      <c r="I3067" s="28">
        <v>215902</v>
      </c>
      <c r="J3067" s="28">
        <v>0.99</v>
      </c>
      <c r="K3067" s="28">
        <v>45</v>
      </c>
      <c r="L3067" s="28">
        <v>0</v>
      </c>
    </row>
    <row r="3068" spans="1:12" ht="14.25" customHeight="1" x14ac:dyDescent="0.2">
      <c r="A3068" s="28">
        <v>3067</v>
      </c>
      <c r="B3068" s="28" t="s">
        <v>4068</v>
      </c>
      <c r="C3068" s="28" t="s">
        <v>4064</v>
      </c>
      <c r="D3068" s="28" t="s">
        <v>4045</v>
      </c>
      <c r="E3068" s="28" t="s">
        <v>211</v>
      </c>
      <c r="F3068" s="28" t="s">
        <v>212</v>
      </c>
      <c r="G3068" s="28" t="s">
        <v>4065</v>
      </c>
      <c r="H3068" s="28">
        <v>6087433</v>
      </c>
      <c r="I3068" s="28">
        <v>185965</v>
      </c>
      <c r="J3068" s="28">
        <v>0.99</v>
      </c>
      <c r="K3068" s="28">
        <v>89</v>
      </c>
      <c r="L3068" s="28">
        <v>0</v>
      </c>
    </row>
    <row r="3069" spans="1:12" ht="14.25" customHeight="1" x14ac:dyDescent="0.2">
      <c r="A3069" s="28">
        <v>3068</v>
      </c>
      <c r="B3069" s="28" t="s">
        <v>4069</v>
      </c>
      <c r="C3069" s="28" t="s">
        <v>4064</v>
      </c>
      <c r="D3069" s="28" t="s">
        <v>4045</v>
      </c>
      <c r="E3069" s="28" t="s">
        <v>211</v>
      </c>
      <c r="F3069" s="28" t="s">
        <v>212</v>
      </c>
      <c r="G3069" s="28" t="s">
        <v>4065</v>
      </c>
      <c r="H3069" s="28">
        <v>7011402</v>
      </c>
      <c r="I3069" s="28">
        <v>213968</v>
      </c>
      <c r="J3069" s="28">
        <v>0.99</v>
      </c>
      <c r="K3069" s="28">
        <v>20</v>
      </c>
      <c r="L3069" s="28">
        <v>0</v>
      </c>
    </row>
    <row r="3070" spans="1:12" ht="14.25" customHeight="1" x14ac:dyDescent="0.2">
      <c r="A3070" s="28">
        <v>3069</v>
      </c>
      <c r="B3070" s="28" t="s">
        <v>4070</v>
      </c>
      <c r="C3070" s="28" t="s">
        <v>4064</v>
      </c>
      <c r="D3070" s="28" t="s">
        <v>4045</v>
      </c>
      <c r="E3070" s="28" t="s">
        <v>211</v>
      </c>
      <c r="F3070" s="28" t="s">
        <v>212</v>
      </c>
      <c r="G3070" s="28" t="s">
        <v>4065</v>
      </c>
      <c r="H3070" s="28">
        <v>6777078</v>
      </c>
      <c r="I3070" s="28">
        <v>208953</v>
      </c>
      <c r="J3070" s="28">
        <v>0.99</v>
      </c>
      <c r="K3070" s="28">
        <v>43</v>
      </c>
      <c r="L3070" s="28">
        <v>1</v>
      </c>
    </row>
    <row r="3071" spans="1:12" ht="14.25" customHeight="1" x14ac:dyDescent="0.2">
      <c r="A3071" s="28">
        <v>3070</v>
      </c>
      <c r="B3071" s="28" t="s">
        <v>4071</v>
      </c>
      <c r="C3071" s="28" t="s">
        <v>4064</v>
      </c>
      <c r="D3071" s="28" t="s">
        <v>4045</v>
      </c>
      <c r="E3071" s="28" t="s">
        <v>211</v>
      </c>
      <c r="F3071" s="28" t="s">
        <v>212</v>
      </c>
      <c r="G3071" s="28" t="s">
        <v>4072</v>
      </c>
      <c r="H3071" s="28">
        <v>7911090</v>
      </c>
      <c r="I3071" s="28">
        <v>241711</v>
      </c>
      <c r="J3071" s="28">
        <v>0.99</v>
      </c>
      <c r="K3071" s="28">
        <v>32</v>
      </c>
      <c r="L3071" s="28">
        <v>1</v>
      </c>
    </row>
    <row r="3072" spans="1:12" ht="14.25" customHeight="1" x14ac:dyDescent="0.2">
      <c r="A3072" s="28">
        <v>3071</v>
      </c>
      <c r="B3072" s="28" t="s">
        <v>4073</v>
      </c>
      <c r="C3072" s="28" t="s">
        <v>4064</v>
      </c>
      <c r="D3072" s="28" t="s">
        <v>4045</v>
      </c>
      <c r="E3072" s="28" t="s">
        <v>211</v>
      </c>
      <c r="F3072" s="28" t="s">
        <v>212</v>
      </c>
      <c r="G3072" s="28" t="s">
        <v>4072</v>
      </c>
      <c r="H3072" s="28">
        <v>6921784</v>
      </c>
      <c r="I3072" s="28">
        <v>211853</v>
      </c>
      <c r="J3072" s="28">
        <v>0.99</v>
      </c>
      <c r="K3072" s="28">
        <v>73</v>
      </c>
      <c r="L3072" s="28">
        <v>1</v>
      </c>
    </row>
    <row r="3073" spans="1:12" ht="14.25" customHeight="1" x14ac:dyDescent="0.2">
      <c r="A3073" s="28">
        <v>3072</v>
      </c>
      <c r="B3073" s="28" t="s">
        <v>4074</v>
      </c>
      <c r="C3073" s="28" t="s">
        <v>4064</v>
      </c>
      <c r="D3073" s="28" t="s">
        <v>4045</v>
      </c>
      <c r="E3073" s="28" t="s">
        <v>211</v>
      </c>
      <c r="F3073" s="28" t="s">
        <v>212</v>
      </c>
      <c r="G3073" s="28" t="s">
        <v>4045</v>
      </c>
      <c r="H3073" s="28">
        <v>7457655</v>
      </c>
      <c r="I3073" s="28">
        <v>227761</v>
      </c>
      <c r="J3073" s="28">
        <v>0.99</v>
      </c>
      <c r="K3073" s="28">
        <v>9</v>
      </c>
      <c r="L3073" s="28">
        <v>0</v>
      </c>
    </row>
    <row r="3074" spans="1:12" ht="14.25" customHeight="1" x14ac:dyDescent="0.2">
      <c r="A3074" s="28">
        <v>3073</v>
      </c>
      <c r="B3074" s="28" t="s">
        <v>4075</v>
      </c>
      <c r="C3074" s="28" t="s">
        <v>4064</v>
      </c>
      <c r="D3074" s="28" t="s">
        <v>4045</v>
      </c>
      <c r="E3074" s="28" t="s">
        <v>211</v>
      </c>
      <c r="F3074" s="28" t="s">
        <v>212</v>
      </c>
      <c r="G3074" s="28" t="s">
        <v>4076</v>
      </c>
      <c r="H3074" s="28">
        <v>9504119</v>
      </c>
      <c r="I3074" s="28">
        <v>291813</v>
      </c>
      <c r="J3074" s="28">
        <v>0.99</v>
      </c>
      <c r="K3074" s="28">
        <v>41</v>
      </c>
      <c r="L3074" s="28">
        <v>1</v>
      </c>
    </row>
    <row r="3075" spans="1:12" ht="14.25" customHeight="1" x14ac:dyDescent="0.2">
      <c r="A3075" s="28">
        <v>3074</v>
      </c>
      <c r="B3075" s="28" t="s">
        <v>4077</v>
      </c>
      <c r="C3075" s="28" t="s">
        <v>4064</v>
      </c>
      <c r="D3075" s="28" t="s">
        <v>4045</v>
      </c>
      <c r="E3075" s="28" t="s">
        <v>211</v>
      </c>
      <c r="F3075" s="28" t="s">
        <v>212</v>
      </c>
      <c r="G3075" s="28" t="s">
        <v>4076</v>
      </c>
      <c r="H3075" s="28">
        <v>11049966</v>
      </c>
      <c r="I3075" s="28">
        <v>338991</v>
      </c>
      <c r="J3075" s="28">
        <v>0.99</v>
      </c>
      <c r="K3075" s="28">
        <v>7</v>
      </c>
      <c r="L3075" s="28">
        <v>0</v>
      </c>
    </row>
    <row r="3076" spans="1:12" ht="14.25" customHeight="1" x14ac:dyDescent="0.2">
      <c r="A3076" s="28">
        <v>3075</v>
      </c>
      <c r="B3076" s="28" t="s">
        <v>4078</v>
      </c>
      <c r="C3076" s="28" t="s">
        <v>4064</v>
      </c>
      <c r="D3076" s="28" t="s">
        <v>4045</v>
      </c>
      <c r="E3076" s="28" t="s">
        <v>211</v>
      </c>
      <c r="F3076" s="28" t="s">
        <v>212</v>
      </c>
      <c r="G3076" s="28" t="s">
        <v>4076</v>
      </c>
      <c r="H3076" s="28">
        <v>10366978</v>
      </c>
      <c r="I3076" s="28">
        <v>321854</v>
      </c>
      <c r="J3076" s="28">
        <v>0.99</v>
      </c>
      <c r="K3076" s="28">
        <v>14</v>
      </c>
      <c r="L3076" s="28">
        <v>0</v>
      </c>
    </row>
    <row r="3077" spans="1:12" ht="14.25" customHeight="1" x14ac:dyDescent="0.2">
      <c r="A3077" s="28">
        <v>3076</v>
      </c>
      <c r="B3077" s="28" t="s">
        <v>4079</v>
      </c>
      <c r="C3077" s="28" t="s">
        <v>4064</v>
      </c>
      <c r="D3077" s="28" t="s">
        <v>4045</v>
      </c>
      <c r="E3077" s="28" t="s">
        <v>211</v>
      </c>
      <c r="F3077" s="28" t="s">
        <v>212</v>
      </c>
      <c r="G3077" s="28" t="s">
        <v>4045</v>
      </c>
      <c r="H3077" s="28">
        <v>10503352</v>
      </c>
      <c r="I3077" s="28">
        <v>321828</v>
      </c>
      <c r="J3077" s="28">
        <v>0.99</v>
      </c>
      <c r="K3077" s="28">
        <v>38</v>
      </c>
      <c r="L3077" s="28">
        <v>1</v>
      </c>
    </row>
    <row r="3078" spans="1:12" ht="14.25" customHeight="1" x14ac:dyDescent="0.2">
      <c r="A3078" s="28">
        <v>3077</v>
      </c>
      <c r="B3078" s="28" t="s">
        <v>4080</v>
      </c>
      <c r="C3078" s="28" t="s">
        <v>4064</v>
      </c>
      <c r="D3078" s="28" t="s">
        <v>4045</v>
      </c>
      <c r="E3078" s="28" t="s">
        <v>211</v>
      </c>
      <c r="F3078" s="28" t="s">
        <v>212</v>
      </c>
      <c r="G3078" s="28" t="s">
        <v>4045</v>
      </c>
      <c r="H3078" s="28">
        <v>8107896</v>
      </c>
      <c r="I3078" s="28">
        <v>248502</v>
      </c>
      <c r="J3078" s="28">
        <v>0.99</v>
      </c>
      <c r="K3078" s="28">
        <v>13</v>
      </c>
      <c r="L3078" s="28">
        <v>1</v>
      </c>
    </row>
    <row r="3079" spans="1:12" ht="14.25" customHeight="1" x14ac:dyDescent="0.2">
      <c r="A3079" s="28">
        <v>3078</v>
      </c>
      <c r="B3079" s="28" t="s">
        <v>4081</v>
      </c>
      <c r="C3079" s="28" t="s">
        <v>4064</v>
      </c>
      <c r="D3079" s="28" t="s">
        <v>4045</v>
      </c>
      <c r="E3079" s="28" t="s">
        <v>211</v>
      </c>
      <c r="F3079" s="28" t="s">
        <v>212</v>
      </c>
      <c r="G3079" s="28" t="s">
        <v>4076</v>
      </c>
      <c r="H3079" s="28">
        <v>10014683</v>
      </c>
      <c r="I3079" s="28">
        <v>308950</v>
      </c>
      <c r="J3079" s="28">
        <v>0.99</v>
      </c>
      <c r="K3079" s="28">
        <v>11</v>
      </c>
      <c r="L3079" s="28">
        <v>1</v>
      </c>
    </row>
    <row r="3080" spans="1:12" ht="14.25" customHeight="1" x14ac:dyDescent="0.2">
      <c r="A3080" s="28">
        <v>3079</v>
      </c>
      <c r="B3080" s="28" t="s">
        <v>4082</v>
      </c>
      <c r="C3080" s="28" t="s">
        <v>4064</v>
      </c>
      <c r="D3080" s="28" t="s">
        <v>4045</v>
      </c>
      <c r="E3080" s="28" t="s">
        <v>211</v>
      </c>
      <c r="F3080" s="28" t="s">
        <v>212</v>
      </c>
      <c r="G3080" s="28" t="s">
        <v>4083</v>
      </c>
      <c r="H3080" s="28">
        <v>10355753</v>
      </c>
      <c r="I3080" s="28">
        <v>315376</v>
      </c>
      <c r="J3080" s="28">
        <v>0.99</v>
      </c>
      <c r="K3080" s="28">
        <v>86</v>
      </c>
      <c r="L3080" s="28">
        <v>0</v>
      </c>
    </row>
    <row r="3081" spans="1:12" ht="14.25" customHeight="1" x14ac:dyDescent="0.2">
      <c r="A3081" s="28">
        <v>3080</v>
      </c>
      <c r="B3081" s="28" t="s">
        <v>4084</v>
      </c>
      <c r="C3081" s="28" t="s">
        <v>4064</v>
      </c>
      <c r="D3081" s="28" t="s">
        <v>4045</v>
      </c>
      <c r="E3081" s="28" t="s">
        <v>211</v>
      </c>
      <c r="F3081" s="28" t="s">
        <v>212</v>
      </c>
      <c r="G3081" s="28" t="s">
        <v>4083</v>
      </c>
      <c r="H3081" s="28">
        <v>12013467</v>
      </c>
      <c r="I3081" s="28">
        <v>366053</v>
      </c>
      <c r="J3081" s="28">
        <v>0.99</v>
      </c>
      <c r="K3081" s="28">
        <v>13</v>
      </c>
      <c r="L3081" s="28">
        <v>0</v>
      </c>
    </row>
    <row r="3082" spans="1:12" ht="14.25" customHeight="1" x14ac:dyDescent="0.2">
      <c r="A3082" s="28">
        <v>3081</v>
      </c>
      <c r="B3082" s="28" t="s">
        <v>4067</v>
      </c>
      <c r="C3082" s="28" t="s">
        <v>4045</v>
      </c>
      <c r="D3082" s="28" t="s">
        <v>4045</v>
      </c>
      <c r="E3082" s="28" t="s">
        <v>211</v>
      </c>
      <c r="F3082" s="28" t="s">
        <v>212</v>
      </c>
      <c r="G3082" s="28" t="s">
        <v>4085</v>
      </c>
      <c r="H3082" s="28">
        <v>7056863</v>
      </c>
      <c r="I3082" s="28">
        <v>216032</v>
      </c>
      <c r="J3082" s="28">
        <v>0.99</v>
      </c>
      <c r="K3082" s="28">
        <v>83</v>
      </c>
      <c r="L3082" s="28">
        <v>0</v>
      </c>
    </row>
    <row r="3083" spans="1:12" ht="14.25" customHeight="1" x14ac:dyDescent="0.2">
      <c r="A3083" s="28">
        <v>3082</v>
      </c>
      <c r="B3083" s="28" t="s">
        <v>4063</v>
      </c>
      <c r="C3083" s="28" t="s">
        <v>4045</v>
      </c>
      <c r="D3083" s="28" t="s">
        <v>4045</v>
      </c>
      <c r="E3083" s="28" t="s">
        <v>211</v>
      </c>
      <c r="F3083" s="28" t="s">
        <v>212</v>
      </c>
      <c r="G3083" s="28" t="s">
        <v>4085</v>
      </c>
      <c r="H3083" s="28">
        <v>3286026</v>
      </c>
      <c r="I3083" s="28">
        <v>102556</v>
      </c>
      <c r="J3083" s="28">
        <v>0.99</v>
      </c>
      <c r="K3083" s="28">
        <v>86</v>
      </c>
      <c r="L3083" s="28">
        <v>2</v>
      </c>
    </row>
    <row r="3084" spans="1:12" ht="14.25" customHeight="1" x14ac:dyDescent="0.2">
      <c r="A3084" s="28">
        <v>3083</v>
      </c>
      <c r="B3084" s="28" t="s">
        <v>4086</v>
      </c>
      <c r="C3084" s="28" t="s">
        <v>4045</v>
      </c>
      <c r="D3084" s="28" t="s">
        <v>4045</v>
      </c>
      <c r="E3084" s="28" t="s">
        <v>211</v>
      </c>
      <c r="F3084" s="28" t="s">
        <v>212</v>
      </c>
      <c r="G3084" s="28" t="s">
        <v>4046</v>
      </c>
      <c r="H3084" s="28">
        <v>5194092</v>
      </c>
      <c r="I3084" s="28">
        <v>158589</v>
      </c>
      <c r="J3084" s="28">
        <v>0.99</v>
      </c>
      <c r="K3084" s="28">
        <v>4</v>
      </c>
      <c r="L3084" s="28">
        <v>1</v>
      </c>
    </row>
    <row r="3085" spans="1:12" ht="14.25" customHeight="1" x14ac:dyDescent="0.2">
      <c r="A3085" s="28">
        <v>3084</v>
      </c>
      <c r="B3085" s="28" t="s">
        <v>4087</v>
      </c>
      <c r="C3085" s="28" t="s">
        <v>4045</v>
      </c>
      <c r="D3085" s="28" t="s">
        <v>4045</v>
      </c>
      <c r="E3085" s="28" t="s">
        <v>211</v>
      </c>
      <c r="F3085" s="28" t="s">
        <v>212</v>
      </c>
      <c r="G3085" s="28" t="s">
        <v>4085</v>
      </c>
      <c r="H3085" s="28">
        <v>7617284</v>
      </c>
      <c r="I3085" s="28">
        <v>230060</v>
      </c>
      <c r="J3085" s="28">
        <v>0.99</v>
      </c>
      <c r="K3085" s="28">
        <v>6</v>
      </c>
      <c r="L3085" s="28">
        <v>0</v>
      </c>
    </row>
    <row r="3086" spans="1:12" ht="14.25" customHeight="1" x14ac:dyDescent="0.2">
      <c r="A3086" s="28">
        <v>3085</v>
      </c>
      <c r="B3086" s="28" t="s">
        <v>4088</v>
      </c>
      <c r="C3086" s="28" t="s">
        <v>4045</v>
      </c>
      <c r="D3086" s="28" t="s">
        <v>4045</v>
      </c>
      <c r="E3086" s="28" t="s">
        <v>211</v>
      </c>
      <c r="F3086" s="28" t="s">
        <v>212</v>
      </c>
      <c r="G3086" s="28" t="s">
        <v>4085</v>
      </c>
      <c r="H3086" s="28">
        <v>7373922</v>
      </c>
      <c r="I3086" s="28">
        <v>226507</v>
      </c>
      <c r="J3086" s="28">
        <v>0.99</v>
      </c>
      <c r="K3086" s="28">
        <v>25</v>
      </c>
      <c r="L3086" s="28">
        <v>0</v>
      </c>
    </row>
    <row r="3087" spans="1:12" ht="14.25" customHeight="1" x14ac:dyDescent="0.2">
      <c r="A3087" s="28">
        <v>3086</v>
      </c>
      <c r="B3087" s="28" t="s">
        <v>4089</v>
      </c>
      <c r="C3087" s="28" t="s">
        <v>4045</v>
      </c>
      <c r="D3087" s="28" t="s">
        <v>4045</v>
      </c>
      <c r="E3087" s="28" t="s">
        <v>211</v>
      </c>
      <c r="F3087" s="28" t="s">
        <v>212</v>
      </c>
      <c r="G3087" s="28" t="s">
        <v>4085</v>
      </c>
      <c r="H3087" s="28">
        <v>6946086</v>
      </c>
      <c r="I3087" s="28">
        <v>210546</v>
      </c>
      <c r="J3087" s="28">
        <v>0.99</v>
      </c>
      <c r="K3087" s="28">
        <v>39</v>
      </c>
      <c r="L3087" s="28">
        <v>0</v>
      </c>
    </row>
    <row r="3088" spans="1:12" ht="14.25" customHeight="1" x14ac:dyDescent="0.2">
      <c r="A3088" s="28">
        <v>3087</v>
      </c>
      <c r="B3088" s="28" t="s">
        <v>4090</v>
      </c>
      <c r="C3088" s="28" t="s">
        <v>4045</v>
      </c>
      <c r="D3088" s="28" t="s">
        <v>4045</v>
      </c>
      <c r="E3088" s="28" t="s">
        <v>211</v>
      </c>
      <c r="F3088" s="28" t="s">
        <v>212</v>
      </c>
      <c r="G3088" s="28" t="s">
        <v>4085</v>
      </c>
      <c r="H3088" s="28">
        <v>5908861</v>
      </c>
      <c r="I3088" s="28">
        <v>182073</v>
      </c>
      <c r="J3088" s="28">
        <v>0.99</v>
      </c>
      <c r="K3088" s="28">
        <v>66</v>
      </c>
      <c r="L3088" s="28">
        <v>1</v>
      </c>
    </row>
    <row r="3089" spans="1:12" ht="14.25" customHeight="1" x14ac:dyDescent="0.2">
      <c r="A3089" s="28">
        <v>3088</v>
      </c>
      <c r="B3089" s="28" t="s">
        <v>4091</v>
      </c>
      <c r="C3089" s="28" t="s">
        <v>4045</v>
      </c>
      <c r="D3089" s="28" t="s">
        <v>4045</v>
      </c>
      <c r="E3089" s="28" t="s">
        <v>211</v>
      </c>
      <c r="F3089" s="28" t="s">
        <v>212</v>
      </c>
      <c r="G3089" s="28" t="s">
        <v>4085</v>
      </c>
      <c r="H3089" s="28">
        <v>7293608</v>
      </c>
      <c r="I3089" s="28">
        <v>222850</v>
      </c>
      <c r="J3089" s="28">
        <v>0.99</v>
      </c>
      <c r="K3089" s="28">
        <v>17</v>
      </c>
      <c r="L3089" s="28">
        <v>1</v>
      </c>
    </row>
    <row r="3090" spans="1:12" ht="14.25" customHeight="1" x14ac:dyDescent="0.2">
      <c r="A3090" s="28">
        <v>3089</v>
      </c>
      <c r="B3090" s="28" t="s">
        <v>4092</v>
      </c>
      <c r="C3090" s="28" t="s">
        <v>4045</v>
      </c>
      <c r="D3090" s="28" t="s">
        <v>4045</v>
      </c>
      <c r="E3090" s="28" t="s">
        <v>211</v>
      </c>
      <c r="F3090" s="28" t="s">
        <v>212</v>
      </c>
      <c r="G3090" s="28" t="s">
        <v>4085</v>
      </c>
      <c r="H3090" s="28">
        <v>6648122</v>
      </c>
      <c r="I3090" s="28">
        <v>203258</v>
      </c>
      <c r="J3090" s="28">
        <v>0.99</v>
      </c>
      <c r="K3090" s="28">
        <v>81</v>
      </c>
      <c r="L3090" s="28">
        <v>0</v>
      </c>
    </row>
    <row r="3091" spans="1:12" ht="14.25" customHeight="1" x14ac:dyDescent="0.2">
      <c r="A3091" s="28">
        <v>3090</v>
      </c>
      <c r="B3091" s="28" t="s">
        <v>4093</v>
      </c>
      <c r="C3091" s="28" t="s">
        <v>4045</v>
      </c>
      <c r="D3091" s="28" t="s">
        <v>4045</v>
      </c>
      <c r="E3091" s="28" t="s">
        <v>211</v>
      </c>
      <c r="F3091" s="28" t="s">
        <v>212</v>
      </c>
      <c r="G3091" s="28" t="s">
        <v>4094</v>
      </c>
      <c r="H3091" s="28">
        <v>6573145</v>
      </c>
      <c r="I3091" s="28">
        <v>200306</v>
      </c>
      <c r="J3091" s="28">
        <v>0.99</v>
      </c>
      <c r="K3091" s="28">
        <v>2</v>
      </c>
      <c r="L3091" s="28">
        <v>0</v>
      </c>
    </row>
    <row r="3092" spans="1:12" ht="14.25" customHeight="1" x14ac:dyDescent="0.2">
      <c r="A3092" s="28">
        <v>3091</v>
      </c>
      <c r="B3092" s="28" t="s">
        <v>4095</v>
      </c>
      <c r="C3092" s="28" t="s">
        <v>4045</v>
      </c>
      <c r="D3092" s="28" t="s">
        <v>4045</v>
      </c>
      <c r="E3092" s="28" t="s">
        <v>211</v>
      </c>
      <c r="F3092" s="28" t="s">
        <v>212</v>
      </c>
      <c r="G3092" s="28" t="s">
        <v>4085</v>
      </c>
      <c r="H3092" s="28">
        <v>5879235</v>
      </c>
      <c r="I3092" s="28">
        <v>180636</v>
      </c>
      <c r="J3092" s="28">
        <v>0.99</v>
      </c>
      <c r="K3092" s="28">
        <v>75</v>
      </c>
      <c r="L3092" s="28">
        <v>1</v>
      </c>
    </row>
    <row r="3093" spans="1:12" ht="14.25" customHeight="1" x14ac:dyDescent="0.2">
      <c r="A3093" s="28">
        <v>3092</v>
      </c>
      <c r="B3093" s="28" t="s">
        <v>4096</v>
      </c>
      <c r="C3093" s="28" t="s">
        <v>4097</v>
      </c>
      <c r="D3093" s="28" t="s">
        <v>4045</v>
      </c>
      <c r="E3093" s="28" t="s">
        <v>211</v>
      </c>
      <c r="F3093" s="28" t="s">
        <v>212</v>
      </c>
      <c r="G3093" s="28" t="s">
        <v>4045</v>
      </c>
      <c r="H3093" s="28">
        <v>3495897</v>
      </c>
      <c r="I3093" s="28">
        <v>105639</v>
      </c>
      <c r="J3093" s="28">
        <v>0.99</v>
      </c>
      <c r="K3093" s="28">
        <v>10</v>
      </c>
      <c r="L3093" s="28">
        <v>1</v>
      </c>
    </row>
    <row r="3094" spans="1:12" ht="14.25" customHeight="1" x14ac:dyDescent="0.2">
      <c r="A3094" s="28">
        <v>3093</v>
      </c>
      <c r="B3094" s="28" t="s">
        <v>2762</v>
      </c>
      <c r="C3094" s="28" t="s">
        <v>4097</v>
      </c>
      <c r="D3094" s="28" t="s">
        <v>4045</v>
      </c>
      <c r="E3094" s="28" t="s">
        <v>211</v>
      </c>
      <c r="F3094" s="28" t="s">
        <v>212</v>
      </c>
      <c r="G3094" s="28" t="s">
        <v>4045</v>
      </c>
      <c r="H3094" s="28">
        <v>12619558</v>
      </c>
      <c r="I3094" s="28">
        <v>390295</v>
      </c>
      <c r="J3094" s="28">
        <v>0.99</v>
      </c>
      <c r="K3094" s="28">
        <v>8</v>
      </c>
      <c r="L3094" s="28">
        <v>0</v>
      </c>
    </row>
    <row r="3095" spans="1:12" ht="14.25" customHeight="1" x14ac:dyDescent="0.2">
      <c r="A3095" s="28">
        <v>3094</v>
      </c>
      <c r="B3095" s="28" t="s">
        <v>4098</v>
      </c>
      <c r="C3095" s="28" t="s">
        <v>4097</v>
      </c>
      <c r="D3095" s="28" t="s">
        <v>4045</v>
      </c>
      <c r="E3095" s="28" t="s">
        <v>211</v>
      </c>
      <c r="F3095" s="28" t="s">
        <v>212</v>
      </c>
      <c r="G3095" s="28" t="s">
        <v>4045</v>
      </c>
      <c r="H3095" s="28">
        <v>10743970</v>
      </c>
      <c r="I3095" s="28">
        <v>330788</v>
      </c>
      <c r="J3095" s="28">
        <v>0.99</v>
      </c>
      <c r="K3095" s="28">
        <v>92</v>
      </c>
      <c r="L3095" s="28">
        <v>1</v>
      </c>
    </row>
    <row r="3096" spans="1:12" ht="14.25" customHeight="1" x14ac:dyDescent="0.2">
      <c r="A3096" s="28">
        <v>3095</v>
      </c>
      <c r="B3096" s="28" t="s">
        <v>4099</v>
      </c>
      <c r="C3096" s="28" t="s">
        <v>4097</v>
      </c>
      <c r="D3096" s="28" t="s">
        <v>4045</v>
      </c>
      <c r="E3096" s="28" t="s">
        <v>211</v>
      </c>
      <c r="F3096" s="28" t="s">
        <v>212</v>
      </c>
      <c r="G3096" s="28" t="s">
        <v>4045</v>
      </c>
      <c r="H3096" s="28">
        <v>10524554</v>
      </c>
      <c r="I3096" s="28">
        <v>324414</v>
      </c>
      <c r="J3096" s="28">
        <v>0.99</v>
      </c>
      <c r="K3096" s="28">
        <v>67</v>
      </c>
      <c r="L3096" s="28">
        <v>0</v>
      </c>
    </row>
    <row r="3097" spans="1:12" ht="14.25" customHeight="1" x14ac:dyDescent="0.2">
      <c r="A3097" s="28">
        <v>3096</v>
      </c>
      <c r="B3097" s="28" t="s">
        <v>4100</v>
      </c>
      <c r="C3097" s="28" t="s">
        <v>4097</v>
      </c>
      <c r="D3097" s="28" t="s">
        <v>4045</v>
      </c>
      <c r="E3097" s="28" t="s">
        <v>211</v>
      </c>
      <c r="F3097" s="28" t="s">
        <v>212</v>
      </c>
      <c r="G3097" s="28" t="s">
        <v>4045</v>
      </c>
      <c r="H3097" s="28">
        <v>10709202</v>
      </c>
      <c r="I3097" s="28">
        <v>327392</v>
      </c>
      <c r="J3097" s="28">
        <v>0.99</v>
      </c>
      <c r="K3097" s="28">
        <v>90</v>
      </c>
      <c r="L3097" s="28">
        <v>1</v>
      </c>
    </row>
    <row r="3098" spans="1:12" ht="14.25" customHeight="1" x14ac:dyDescent="0.2">
      <c r="A3098" s="28">
        <v>3097</v>
      </c>
      <c r="B3098" s="28" t="s">
        <v>3017</v>
      </c>
      <c r="C3098" s="28" t="s">
        <v>4097</v>
      </c>
      <c r="D3098" s="28" t="s">
        <v>4045</v>
      </c>
      <c r="E3098" s="28" t="s">
        <v>211</v>
      </c>
      <c r="F3098" s="28" t="s">
        <v>212</v>
      </c>
      <c r="G3098" s="28" t="s">
        <v>4045</v>
      </c>
      <c r="H3098" s="28">
        <v>15378082</v>
      </c>
      <c r="I3098" s="28">
        <v>462837</v>
      </c>
      <c r="J3098" s="28">
        <v>0.99</v>
      </c>
      <c r="K3098" s="28">
        <v>25</v>
      </c>
      <c r="L3098" s="28">
        <v>0</v>
      </c>
    </row>
    <row r="3099" spans="1:12" ht="14.25" customHeight="1" x14ac:dyDescent="0.2">
      <c r="A3099" s="28">
        <v>3098</v>
      </c>
      <c r="B3099" s="28" t="s">
        <v>4101</v>
      </c>
      <c r="C3099" s="28" t="s">
        <v>4097</v>
      </c>
      <c r="D3099" s="28" t="s">
        <v>4045</v>
      </c>
      <c r="E3099" s="28" t="s">
        <v>211</v>
      </c>
      <c r="F3099" s="28" t="s">
        <v>212</v>
      </c>
      <c r="G3099" s="28" t="s">
        <v>4045</v>
      </c>
      <c r="H3099" s="28">
        <v>10846768</v>
      </c>
      <c r="I3099" s="28">
        <v>331728</v>
      </c>
      <c r="J3099" s="28">
        <v>0.99</v>
      </c>
      <c r="K3099" s="28">
        <v>39</v>
      </c>
      <c r="L3099" s="28">
        <v>0</v>
      </c>
    </row>
    <row r="3100" spans="1:12" ht="14.25" customHeight="1" x14ac:dyDescent="0.2">
      <c r="A3100" s="28">
        <v>3099</v>
      </c>
      <c r="B3100" s="28" t="s">
        <v>4102</v>
      </c>
      <c r="C3100" s="28" t="s">
        <v>4097</v>
      </c>
      <c r="D3100" s="28" t="s">
        <v>4045</v>
      </c>
      <c r="E3100" s="28" t="s">
        <v>211</v>
      </c>
      <c r="F3100" s="28" t="s">
        <v>212</v>
      </c>
      <c r="G3100" s="28" t="s">
        <v>4045</v>
      </c>
      <c r="H3100" s="28">
        <v>11161521</v>
      </c>
      <c r="I3100" s="28">
        <v>342491</v>
      </c>
      <c r="J3100" s="28">
        <v>0.99</v>
      </c>
      <c r="K3100" s="28">
        <v>27</v>
      </c>
      <c r="L3100" s="28">
        <v>0</v>
      </c>
    </row>
    <row r="3101" spans="1:12" ht="14.25" customHeight="1" x14ac:dyDescent="0.2">
      <c r="A3101" s="28">
        <v>3100</v>
      </c>
      <c r="B3101" s="28" t="s">
        <v>4103</v>
      </c>
      <c r="C3101" s="28" t="s">
        <v>4097</v>
      </c>
      <c r="D3101" s="28" t="s">
        <v>4045</v>
      </c>
      <c r="E3101" s="28" t="s">
        <v>211</v>
      </c>
      <c r="F3101" s="28" t="s">
        <v>212</v>
      </c>
      <c r="G3101" s="28" t="s">
        <v>4045</v>
      </c>
      <c r="H3101" s="28">
        <v>16621333</v>
      </c>
      <c r="I3101" s="28">
        <v>514612</v>
      </c>
      <c r="J3101" s="28">
        <v>0.99</v>
      </c>
      <c r="K3101" s="28">
        <v>34</v>
      </c>
      <c r="L3101" s="28">
        <v>2</v>
      </c>
    </row>
    <row r="3102" spans="1:12" ht="14.25" customHeight="1" x14ac:dyDescent="0.2">
      <c r="A3102" s="28">
        <v>3101</v>
      </c>
      <c r="B3102" s="28" t="s">
        <v>4104</v>
      </c>
      <c r="C3102" s="28" t="s">
        <v>4097</v>
      </c>
      <c r="D3102" s="28" t="s">
        <v>4045</v>
      </c>
      <c r="E3102" s="28" t="s">
        <v>211</v>
      </c>
      <c r="F3102" s="28" t="s">
        <v>212</v>
      </c>
      <c r="G3102" s="28" t="s">
        <v>4045</v>
      </c>
      <c r="H3102" s="28">
        <v>2812555</v>
      </c>
      <c r="I3102" s="28">
        <v>86987</v>
      </c>
      <c r="J3102" s="28">
        <v>0.99</v>
      </c>
      <c r="K3102" s="28">
        <v>15</v>
      </c>
      <c r="L3102" s="28">
        <v>1</v>
      </c>
    </row>
    <row r="3103" spans="1:12" ht="14.25" customHeight="1" x14ac:dyDescent="0.2">
      <c r="A3103" s="28">
        <v>3102</v>
      </c>
      <c r="B3103" s="28" t="s">
        <v>4105</v>
      </c>
      <c r="C3103" s="28" t="s">
        <v>4097</v>
      </c>
      <c r="D3103" s="28" t="s">
        <v>4045</v>
      </c>
      <c r="E3103" s="28" t="s">
        <v>211</v>
      </c>
      <c r="F3103" s="28" t="s">
        <v>212</v>
      </c>
      <c r="G3103" s="28" t="s">
        <v>4045</v>
      </c>
      <c r="H3103" s="28">
        <v>11212955</v>
      </c>
      <c r="I3103" s="28">
        <v>342282</v>
      </c>
      <c r="J3103" s="28">
        <v>0.99</v>
      </c>
      <c r="K3103" s="28">
        <v>12</v>
      </c>
      <c r="L3103" s="28">
        <v>0</v>
      </c>
    </row>
    <row r="3104" spans="1:12" ht="14.25" customHeight="1" x14ac:dyDescent="0.2">
      <c r="A3104" s="28">
        <v>3103</v>
      </c>
      <c r="B3104" s="28" t="s">
        <v>4106</v>
      </c>
      <c r="C3104" s="28" t="s">
        <v>4097</v>
      </c>
      <c r="D3104" s="28" t="s">
        <v>4045</v>
      </c>
      <c r="E3104" s="28" t="s">
        <v>211</v>
      </c>
      <c r="F3104" s="28" t="s">
        <v>212</v>
      </c>
      <c r="G3104" s="28" t="s">
        <v>4045</v>
      </c>
      <c r="H3104" s="28">
        <v>11716855</v>
      </c>
      <c r="I3104" s="28">
        <v>363937</v>
      </c>
      <c r="J3104" s="28">
        <v>0.99</v>
      </c>
      <c r="K3104" s="28">
        <v>27</v>
      </c>
      <c r="L3104" s="28">
        <v>0</v>
      </c>
    </row>
    <row r="3105" spans="1:12" ht="14.25" customHeight="1" x14ac:dyDescent="0.2">
      <c r="A3105" s="28">
        <v>3104</v>
      </c>
      <c r="B3105" s="28" t="s">
        <v>4107</v>
      </c>
      <c r="C3105" s="28" t="s">
        <v>4108</v>
      </c>
      <c r="D3105" s="28" t="s">
        <v>4109</v>
      </c>
      <c r="E3105" s="28" t="s">
        <v>211</v>
      </c>
      <c r="F3105" s="28" t="s">
        <v>212</v>
      </c>
      <c r="G3105" s="28" t="s">
        <v>4110</v>
      </c>
      <c r="H3105" s="28">
        <v>8738780</v>
      </c>
      <c r="I3105" s="28">
        <v>267859</v>
      </c>
      <c r="J3105" s="28">
        <v>0.99</v>
      </c>
      <c r="K3105" s="28">
        <v>76</v>
      </c>
      <c r="L3105" s="28">
        <v>0</v>
      </c>
    </row>
    <row r="3106" spans="1:12" ht="14.25" customHeight="1" x14ac:dyDescent="0.2">
      <c r="A3106" s="28">
        <v>3105</v>
      </c>
      <c r="B3106" s="28" t="s">
        <v>4111</v>
      </c>
      <c r="C3106" s="28" t="s">
        <v>4108</v>
      </c>
      <c r="D3106" s="28" t="s">
        <v>4109</v>
      </c>
      <c r="E3106" s="28" t="s">
        <v>211</v>
      </c>
      <c r="F3106" s="28" t="s">
        <v>212</v>
      </c>
      <c r="G3106" s="28" t="s">
        <v>4110</v>
      </c>
      <c r="H3106" s="28">
        <v>7693331</v>
      </c>
      <c r="I3106" s="28">
        <v>235911</v>
      </c>
      <c r="J3106" s="28">
        <v>0.99</v>
      </c>
      <c r="K3106" s="28">
        <v>41</v>
      </c>
      <c r="L3106" s="28">
        <v>1</v>
      </c>
    </row>
    <row r="3107" spans="1:12" ht="14.25" customHeight="1" x14ac:dyDescent="0.2">
      <c r="A3107" s="28">
        <v>3106</v>
      </c>
      <c r="B3107" s="28" t="s">
        <v>4112</v>
      </c>
      <c r="C3107" s="28" t="s">
        <v>4108</v>
      </c>
      <c r="D3107" s="28" t="s">
        <v>4109</v>
      </c>
      <c r="E3107" s="28" t="s">
        <v>211</v>
      </c>
      <c r="F3107" s="28" t="s">
        <v>212</v>
      </c>
      <c r="G3107" s="28" t="s">
        <v>4110</v>
      </c>
      <c r="H3107" s="28">
        <v>8673442</v>
      </c>
      <c r="I3107" s="28">
        <v>265613</v>
      </c>
      <c r="J3107" s="28">
        <v>0.99</v>
      </c>
      <c r="K3107" s="28">
        <v>42</v>
      </c>
      <c r="L3107" s="28">
        <v>1</v>
      </c>
    </row>
    <row r="3108" spans="1:12" ht="14.25" customHeight="1" x14ac:dyDescent="0.2">
      <c r="A3108" s="28">
        <v>3107</v>
      </c>
      <c r="B3108" s="28" t="s">
        <v>4113</v>
      </c>
      <c r="C3108" s="28" t="s">
        <v>4108</v>
      </c>
      <c r="D3108" s="28" t="s">
        <v>4109</v>
      </c>
      <c r="E3108" s="28" t="s">
        <v>211</v>
      </c>
      <c r="F3108" s="28" t="s">
        <v>212</v>
      </c>
      <c r="G3108" s="28" t="s">
        <v>4110</v>
      </c>
      <c r="H3108" s="28">
        <v>8483347</v>
      </c>
      <c r="I3108" s="28">
        <v>257750</v>
      </c>
      <c r="J3108" s="28">
        <v>0.99</v>
      </c>
      <c r="K3108" s="28">
        <v>28</v>
      </c>
      <c r="L3108" s="28">
        <v>0</v>
      </c>
    </row>
    <row r="3109" spans="1:12" ht="14.25" customHeight="1" x14ac:dyDescent="0.2">
      <c r="A3109" s="28">
        <v>3108</v>
      </c>
      <c r="B3109" s="28" t="s">
        <v>4114</v>
      </c>
      <c r="C3109" s="28" t="s">
        <v>4108</v>
      </c>
      <c r="D3109" s="28" t="s">
        <v>4109</v>
      </c>
      <c r="E3109" s="28" t="s">
        <v>211</v>
      </c>
      <c r="F3109" s="28" t="s">
        <v>212</v>
      </c>
      <c r="G3109" s="28" t="s">
        <v>4110</v>
      </c>
      <c r="H3109" s="28">
        <v>7252876</v>
      </c>
      <c r="I3109" s="28">
        <v>221701</v>
      </c>
      <c r="J3109" s="28">
        <v>0.99</v>
      </c>
      <c r="K3109" s="28">
        <v>51</v>
      </c>
      <c r="L3109" s="28">
        <v>0</v>
      </c>
    </row>
    <row r="3110" spans="1:12" ht="14.25" customHeight="1" x14ac:dyDescent="0.2">
      <c r="A3110" s="28">
        <v>3109</v>
      </c>
      <c r="B3110" s="28" t="s">
        <v>4115</v>
      </c>
      <c r="C3110" s="28" t="s">
        <v>4108</v>
      </c>
      <c r="D3110" s="28" t="s">
        <v>4109</v>
      </c>
      <c r="E3110" s="28" t="s">
        <v>211</v>
      </c>
      <c r="F3110" s="28" t="s">
        <v>212</v>
      </c>
      <c r="G3110" s="28" t="s">
        <v>4110</v>
      </c>
      <c r="H3110" s="28">
        <v>8823096</v>
      </c>
      <c r="I3110" s="28">
        <v>270889</v>
      </c>
      <c r="J3110" s="28">
        <v>0.99</v>
      </c>
      <c r="K3110" s="28">
        <v>92</v>
      </c>
      <c r="L3110" s="28">
        <v>1</v>
      </c>
    </row>
    <row r="3111" spans="1:12" ht="14.25" customHeight="1" x14ac:dyDescent="0.2">
      <c r="A3111" s="28">
        <v>3110</v>
      </c>
      <c r="B3111" s="28" t="s">
        <v>4116</v>
      </c>
      <c r="C3111" s="28" t="s">
        <v>4108</v>
      </c>
      <c r="D3111" s="28" t="s">
        <v>4109</v>
      </c>
      <c r="E3111" s="28" t="s">
        <v>211</v>
      </c>
      <c r="F3111" s="28" t="s">
        <v>212</v>
      </c>
      <c r="G3111" s="28" t="s">
        <v>4110</v>
      </c>
      <c r="H3111" s="28">
        <v>7237986</v>
      </c>
      <c r="I3111" s="28">
        <v>223033</v>
      </c>
      <c r="J3111" s="28">
        <v>0.99</v>
      </c>
      <c r="K3111" s="28">
        <v>12</v>
      </c>
      <c r="L3111" s="28">
        <v>1</v>
      </c>
    </row>
    <row r="3112" spans="1:12" ht="14.25" customHeight="1" x14ac:dyDescent="0.2">
      <c r="A3112" s="28">
        <v>3111</v>
      </c>
      <c r="B3112" s="28" t="s">
        <v>4117</v>
      </c>
      <c r="C3112" s="28" t="s">
        <v>4108</v>
      </c>
      <c r="D3112" s="28" t="s">
        <v>4109</v>
      </c>
      <c r="E3112" s="28" t="s">
        <v>211</v>
      </c>
      <c r="F3112" s="28" t="s">
        <v>212</v>
      </c>
      <c r="G3112" s="28" t="s">
        <v>4110</v>
      </c>
      <c r="H3112" s="28">
        <v>8365328</v>
      </c>
      <c r="I3112" s="28">
        <v>255921</v>
      </c>
      <c r="J3112" s="28">
        <v>0.99</v>
      </c>
      <c r="K3112" s="28">
        <v>47</v>
      </c>
      <c r="L3112" s="28">
        <v>0</v>
      </c>
    </row>
    <row r="3113" spans="1:12" ht="14.25" customHeight="1" x14ac:dyDescent="0.2">
      <c r="A3113" s="28">
        <v>3112</v>
      </c>
      <c r="B3113" s="28" t="s">
        <v>4118</v>
      </c>
      <c r="C3113" s="28" t="s">
        <v>4108</v>
      </c>
      <c r="D3113" s="28" t="s">
        <v>4109</v>
      </c>
      <c r="E3113" s="28" t="s">
        <v>211</v>
      </c>
      <c r="F3113" s="28" t="s">
        <v>212</v>
      </c>
      <c r="G3113" s="28" t="s">
        <v>4110</v>
      </c>
      <c r="H3113" s="28">
        <v>8053388</v>
      </c>
      <c r="I3113" s="28">
        <v>247954</v>
      </c>
      <c r="J3113" s="28">
        <v>0.99</v>
      </c>
      <c r="K3113" s="28">
        <v>32</v>
      </c>
      <c r="L3113" s="28">
        <v>0</v>
      </c>
    </row>
    <row r="3114" spans="1:12" ht="14.25" customHeight="1" x14ac:dyDescent="0.2">
      <c r="A3114" s="28">
        <v>3113</v>
      </c>
      <c r="B3114" s="28" t="s">
        <v>4119</v>
      </c>
      <c r="C3114" s="28" t="s">
        <v>4108</v>
      </c>
      <c r="D3114" s="28" t="s">
        <v>4109</v>
      </c>
      <c r="E3114" s="28" t="s">
        <v>211</v>
      </c>
      <c r="F3114" s="28" t="s">
        <v>212</v>
      </c>
      <c r="G3114" s="28" t="s">
        <v>4110</v>
      </c>
      <c r="H3114" s="28">
        <v>10991094</v>
      </c>
      <c r="I3114" s="28">
        <v>335412</v>
      </c>
      <c r="J3114" s="28">
        <v>0.99</v>
      </c>
      <c r="K3114" s="28">
        <v>25</v>
      </c>
      <c r="L3114" s="28">
        <v>0</v>
      </c>
    </row>
    <row r="3115" spans="1:12" ht="14.25" customHeight="1" x14ac:dyDescent="0.2">
      <c r="A3115" s="28">
        <v>3114</v>
      </c>
      <c r="B3115" s="28" t="s">
        <v>2606</v>
      </c>
      <c r="C3115" s="28" t="s">
        <v>4108</v>
      </c>
      <c r="D3115" s="28" t="s">
        <v>4109</v>
      </c>
      <c r="E3115" s="28" t="s">
        <v>211</v>
      </c>
      <c r="F3115" s="28" t="s">
        <v>212</v>
      </c>
      <c r="G3115" s="28" t="s">
        <v>4110</v>
      </c>
      <c r="H3115" s="28">
        <v>8118785</v>
      </c>
      <c r="I3115" s="28">
        <v>248398</v>
      </c>
      <c r="J3115" s="28">
        <v>0.99</v>
      </c>
      <c r="K3115" s="28">
        <v>54</v>
      </c>
      <c r="L3115" s="28">
        <v>1</v>
      </c>
    </row>
    <row r="3116" spans="1:12" ht="14.25" customHeight="1" x14ac:dyDescent="0.2">
      <c r="A3116" s="28">
        <v>3115</v>
      </c>
      <c r="B3116" s="28" t="s">
        <v>4120</v>
      </c>
      <c r="C3116" s="28" t="s">
        <v>4108</v>
      </c>
      <c r="D3116" s="28" t="s">
        <v>4109</v>
      </c>
      <c r="E3116" s="28" t="s">
        <v>211</v>
      </c>
      <c r="F3116" s="28" t="s">
        <v>212</v>
      </c>
      <c r="G3116" s="28" t="s">
        <v>4121</v>
      </c>
      <c r="H3116" s="28">
        <v>7732982</v>
      </c>
      <c r="I3116" s="28">
        <v>237844</v>
      </c>
      <c r="J3116" s="28">
        <v>0.99</v>
      </c>
      <c r="K3116" s="28">
        <v>90</v>
      </c>
      <c r="L3116" s="28">
        <v>1</v>
      </c>
    </row>
    <row r="3117" spans="1:12" ht="14.25" customHeight="1" x14ac:dyDescent="0.2">
      <c r="A3117" s="28">
        <v>3116</v>
      </c>
      <c r="B3117" s="28" t="s">
        <v>4122</v>
      </c>
      <c r="C3117" s="28" t="s">
        <v>4108</v>
      </c>
      <c r="D3117" s="28" t="s">
        <v>4109</v>
      </c>
      <c r="E3117" s="28" t="s">
        <v>211</v>
      </c>
      <c r="F3117" s="28" t="s">
        <v>212</v>
      </c>
      <c r="G3117" s="28" t="s">
        <v>4110</v>
      </c>
      <c r="H3117" s="28">
        <v>11412762</v>
      </c>
      <c r="I3117" s="28">
        <v>348786</v>
      </c>
      <c r="J3117" s="28">
        <v>0.99</v>
      </c>
      <c r="K3117" s="28">
        <v>44</v>
      </c>
      <c r="L3117" s="28">
        <v>0</v>
      </c>
    </row>
    <row r="3118" spans="1:12" ht="14.25" customHeight="1" x14ac:dyDescent="0.2">
      <c r="A3118" s="28">
        <v>3117</v>
      </c>
      <c r="B3118" s="28" t="s">
        <v>4123</v>
      </c>
      <c r="C3118" s="28" t="s">
        <v>4124</v>
      </c>
      <c r="D3118" s="28" t="s">
        <v>4125</v>
      </c>
      <c r="E3118" s="28" t="s">
        <v>211</v>
      </c>
      <c r="F3118" s="28" t="s">
        <v>490</v>
      </c>
      <c r="G3118" s="28"/>
      <c r="H3118" s="28">
        <v>3905715</v>
      </c>
      <c r="I3118" s="28">
        <v>119196</v>
      </c>
      <c r="J3118" s="28">
        <v>0.99</v>
      </c>
      <c r="K3118" s="28">
        <v>45</v>
      </c>
      <c r="L3118" s="28">
        <v>0</v>
      </c>
    </row>
    <row r="3119" spans="1:12" ht="14.25" customHeight="1" x14ac:dyDescent="0.2">
      <c r="A3119" s="28">
        <v>3118</v>
      </c>
      <c r="B3119" s="28" t="s">
        <v>4126</v>
      </c>
      <c r="C3119" s="28" t="s">
        <v>4124</v>
      </c>
      <c r="D3119" s="28" t="s">
        <v>4125</v>
      </c>
      <c r="E3119" s="28" t="s">
        <v>211</v>
      </c>
      <c r="F3119" s="28" t="s">
        <v>490</v>
      </c>
      <c r="G3119" s="28"/>
      <c r="H3119" s="28">
        <v>14234427</v>
      </c>
      <c r="I3119" s="28">
        <v>421093</v>
      </c>
      <c r="J3119" s="28">
        <v>0.99</v>
      </c>
      <c r="K3119" s="28">
        <v>51</v>
      </c>
      <c r="L3119" s="28">
        <v>1</v>
      </c>
    </row>
    <row r="3120" spans="1:12" ht="14.25" customHeight="1" x14ac:dyDescent="0.2">
      <c r="A3120" s="28">
        <v>3119</v>
      </c>
      <c r="B3120" s="28" t="s">
        <v>4127</v>
      </c>
      <c r="C3120" s="28" t="s">
        <v>4124</v>
      </c>
      <c r="D3120" s="28" t="s">
        <v>4125</v>
      </c>
      <c r="E3120" s="28" t="s">
        <v>211</v>
      </c>
      <c r="F3120" s="28" t="s">
        <v>490</v>
      </c>
      <c r="G3120" s="28"/>
      <c r="H3120" s="28">
        <v>7426757</v>
      </c>
      <c r="I3120" s="28">
        <v>222406</v>
      </c>
      <c r="J3120" s="28">
        <v>0.99</v>
      </c>
      <c r="K3120" s="28">
        <v>46</v>
      </c>
      <c r="L3120" s="28">
        <v>1</v>
      </c>
    </row>
    <row r="3121" spans="1:12" ht="14.25" customHeight="1" x14ac:dyDescent="0.2">
      <c r="A3121" s="28">
        <v>3120</v>
      </c>
      <c r="B3121" s="28" t="s">
        <v>4128</v>
      </c>
      <c r="C3121" s="28" t="s">
        <v>4124</v>
      </c>
      <c r="D3121" s="28" t="s">
        <v>4125</v>
      </c>
      <c r="E3121" s="28" t="s">
        <v>211</v>
      </c>
      <c r="F3121" s="28" t="s">
        <v>490</v>
      </c>
      <c r="G3121" s="28"/>
      <c r="H3121" s="28">
        <v>9126828</v>
      </c>
      <c r="I3121" s="28">
        <v>275121</v>
      </c>
      <c r="J3121" s="28">
        <v>0.99</v>
      </c>
      <c r="K3121" s="28">
        <v>2</v>
      </c>
      <c r="L3121" s="28">
        <v>0</v>
      </c>
    </row>
    <row r="3122" spans="1:12" ht="14.25" customHeight="1" x14ac:dyDescent="0.2">
      <c r="A3122" s="28">
        <v>3121</v>
      </c>
      <c r="B3122" s="28" t="s">
        <v>4129</v>
      </c>
      <c r="C3122" s="28" t="s">
        <v>4124</v>
      </c>
      <c r="D3122" s="28" t="s">
        <v>4125</v>
      </c>
      <c r="E3122" s="28" t="s">
        <v>211</v>
      </c>
      <c r="F3122" s="28" t="s">
        <v>490</v>
      </c>
      <c r="G3122" s="28"/>
      <c r="H3122" s="28">
        <v>1805797</v>
      </c>
      <c r="I3122" s="28">
        <v>55902</v>
      </c>
      <c r="J3122" s="28">
        <v>0.99</v>
      </c>
      <c r="K3122" s="28">
        <v>27</v>
      </c>
      <c r="L3122" s="28">
        <v>0</v>
      </c>
    </row>
    <row r="3123" spans="1:12" ht="14.25" customHeight="1" x14ac:dyDescent="0.2">
      <c r="A3123" s="28">
        <v>3122</v>
      </c>
      <c r="B3123" s="28" t="s">
        <v>4130</v>
      </c>
      <c r="C3123" s="28" t="s">
        <v>4124</v>
      </c>
      <c r="D3123" s="28" t="s">
        <v>4125</v>
      </c>
      <c r="E3123" s="28" t="s">
        <v>211</v>
      </c>
      <c r="F3123" s="28" t="s">
        <v>490</v>
      </c>
      <c r="G3123" s="28"/>
      <c r="H3123" s="28">
        <v>7259351</v>
      </c>
      <c r="I3123" s="28">
        <v>221884</v>
      </c>
      <c r="J3123" s="28">
        <v>0.99</v>
      </c>
      <c r="K3123" s="28">
        <v>53</v>
      </c>
      <c r="L3123" s="28">
        <v>0</v>
      </c>
    </row>
    <row r="3124" spans="1:12" ht="14.25" customHeight="1" x14ac:dyDescent="0.2">
      <c r="A3124" s="28">
        <v>3123</v>
      </c>
      <c r="B3124" s="28" t="s">
        <v>4131</v>
      </c>
      <c r="C3124" s="28" t="s">
        <v>4124</v>
      </c>
      <c r="D3124" s="28" t="s">
        <v>4125</v>
      </c>
      <c r="E3124" s="28" t="s">
        <v>211</v>
      </c>
      <c r="F3124" s="28" t="s">
        <v>490</v>
      </c>
      <c r="G3124" s="28"/>
      <c r="H3124" s="28">
        <v>8823551</v>
      </c>
      <c r="I3124" s="28">
        <v>259265</v>
      </c>
      <c r="J3124" s="28">
        <v>0.99</v>
      </c>
      <c r="K3124" s="28">
        <v>24</v>
      </c>
      <c r="L3124" s="28">
        <v>1</v>
      </c>
    </row>
    <row r="3125" spans="1:12" ht="14.25" customHeight="1" x14ac:dyDescent="0.2">
      <c r="A3125" s="28">
        <v>3124</v>
      </c>
      <c r="B3125" s="28" t="s">
        <v>4132</v>
      </c>
      <c r="C3125" s="28" t="s">
        <v>4124</v>
      </c>
      <c r="D3125" s="28" t="s">
        <v>4125</v>
      </c>
      <c r="E3125" s="28" t="s">
        <v>211</v>
      </c>
      <c r="F3125" s="28" t="s">
        <v>490</v>
      </c>
      <c r="G3125" s="28"/>
      <c r="H3125" s="28">
        <v>7745764</v>
      </c>
      <c r="I3125" s="28">
        <v>236591</v>
      </c>
      <c r="J3125" s="28">
        <v>0.99</v>
      </c>
      <c r="K3125" s="28">
        <v>37</v>
      </c>
      <c r="L3125" s="28">
        <v>1</v>
      </c>
    </row>
    <row r="3126" spans="1:12" ht="14.25" customHeight="1" x14ac:dyDescent="0.2">
      <c r="A3126" s="28">
        <v>3125</v>
      </c>
      <c r="B3126" s="28" t="s">
        <v>4133</v>
      </c>
      <c r="C3126" s="28" t="s">
        <v>4124</v>
      </c>
      <c r="D3126" s="28" t="s">
        <v>4125</v>
      </c>
      <c r="E3126" s="28" t="s">
        <v>211</v>
      </c>
      <c r="F3126" s="28" t="s">
        <v>490</v>
      </c>
      <c r="G3126" s="28"/>
      <c r="H3126" s="28">
        <v>6003345</v>
      </c>
      <c r="I3126" s="28">
        <v>181760</v>
      </c>
      <c r="J3126" s="28">
        <v>0.99</v>
      </c>
      <c r="K3126" s="28">
        <v>78</v>
      </c>
      <c r="L3126" s="28">
        <v>0</v>
      </c>
    </row>
    <row r="3127" spans="1:12" ht="14.25" customHeight="1" x14ac:dyDescent="0.2">
      <c r="A3127" s="28">
        <v>3126</v>
      </c>
      <c r="B3127" s="28" t="s">
        <v>4134</v>
      </c>
      <c r="C3127" s="28" t="s">
        <v>4124</v>
      </c>
      <c r="D3127" s="28" t="s">
        <v>4125</v>
      </c>
      <c r="E3127" s="28" t="s">
        <v>211</v>
      </c>
      <c r="F3127" s="28" t="s">
        <v>490</v>
      </c>
      <c r="G3127" s="28"/>
      <c r="H3127" s="28">
        <v>6395048</v>
      </c>
      <c r="I3127" s="28">
        <v>191686</v>
      </c>
      <c r="J3127" s="28">
        <v>0.99</v>
      </c>
      <c r="K3127" s="28">
        <v>53</v>
      </c>
      <c r="L3127" s="28">
        <v>0</v>
      </c>
    </row>
    <row r="3128" spans="1:12" ht="14.25" customHeight="1" x14ac:dyDescent="0.2">
      <c r="A3128" s="28">
        <v>3127</v>
      </c>
      <c r="B3128" s="28" t="s">
        <v>4135</v>
      </c>
      <c r="C3128" s="28" t="s">
        <v>4124</v>
      </c>
      <c r="D3128" s="28" t="s">
        <v>4125</v>
      </c>
      <c r="E3128" s="28" t="s">
        <v>211</v>
      </c>
      <c r="F3128" s="28" t="s">
        <v>490</v>
      </c>
      <c r="G3128" s="28"/>
      <c r="H3128" s="28">
        <v>4976227</v>
      </c>
      <c r="I3128" s="28">
        <v>151640</v>
      </c>
      <c r="J3128" s="28">
        <v>0.99</v>
      </c>
      <c r="K3128" s="28">
        <v>21</v>
      </c>
      <c r="L3128" s="28">
        <v>1</v>
      </c>
    </row>
    <row r="3129" spans="1:12" ht="14.25" customHeight="1" x14ac:dyDescent="0.2">
      <c r="A3129" s="28">
        <v>3128</v>
      </c>
      <c r="B3129" s="28" t="s">
        <v>4136</v>
      </c>
      <c r="C3129" s="28" t="s">
        <v>4124</v>
      </c>
      <c r="D3129" s="28" t="s">
        <v>4125</v>
      </c>
      <c r="E3129" s="28" t="s">
        <v>211</v>
      </c>
      <c r="F3129" s="28" t="s">
        <v>490</v>
      </c>
      <c r="G3129" s="28"/>
      <c r="H3129" s="28">
        <v>7357840</v>
      </c>
      <c r="I3129" s="28">
        <v>220813</v>
      </c>
      <c r="J3129" s="28">
        <v>0.99</v>
      </c>
      <c r="K3129" s="28">
        <v>29</v>
      </c>
      <c r="L3129" s="28">
        <v>1</v>
      </c>
    </row>
    <row r="3130" spans="1:12" ht="14.25" customHeight="1" x14ac:dyDescent="0.2">
      <c r="A3130" s="28">
        <v>3129</v>
      </c>
      <c r="B3130" s="28" t="s">
        <v>4137</v>
      </c>
      <c r="C3130" s="28" t="s">
        <v>4124</v>
      </c>
      <c r="D3130" s="28" t="s">
        <v>4125</v>
      </c>
      <c r="E3130" s="28" t="s">
        <v>211</v>
      </c>
      <c r="F3130" s="28" t="s">
        <v>490</v>
      </c>
      <c r="G3130" s="28"/>
      <c r="H3130" s="28">
        <v>5562700</v>
      </c>
      <c r="I3130" s="28">
        <v>167053</v>
      </c>
      <c r="J3130" s="28">
        <v>0.99</v>
      </c>
      <c r="K3130" s="28">
        <v>62</v>
      </c>
      <c r="L3130" s="28">
        <v>0</v>
      </c>
    </row>
    <row r="3131" spans="1:12" ht="14.25" customHeight="1" x14ac:dyDescent="0.2">
      <c r="A3131" s="28">
        <v>3130</v>
      </c>
      <c r="B3131" s="28" t="s">
        <v>4138</v>
      </c>
      <c r="C3131" s="28" t="s">
        <v>4124</v>
      </c>
      <c r="D3131" s="28" t="s">
        <v>4125</v>
      </c>
      <c r="E3131" s="28" t="s">
        <v>211</v>
      </c>
      <c r="F3131" s="28" t="s">
        <v>490</v>
      </c>
      <c r="G3131" s="28"/>
      <c r="H3131" s="28">
        <v>10858776</v>
      </c>
      <c r="I3131" s="28">
        <v>336431</v>
      </c>
      <c r="J3131" s="28">
        <v>0.99</v>
      </c>
      <c r="K3131" s="28">
        <v>31</v>
      </c>
      <c r="L3131" s="28">
        <v>0</v>
      </c>
    </row>
    <row r="3132" spans="1:12" ht="14.25" customHeight="1" x14ac:dyDescent="0.2">
      <c r="A3132" s="28">
        <v>3131</v>
      </c>
      <c r="B3132" s="28" t="s">
        <v>4139</v>
      </c>
      <c r="C3132" s="28" t="s">
        <v>4124</v>
      </c>
      <c r="D3132" s="28" t="s">
        <v>4125</v>
      </c>
      <c r="E3132" s="28" t="s">
        <v>211</v>
      </c>
      <c r="F3132" s="28" t="s">
        <v>490</v>
      </c>
      <c r="G3132" s="28"/>
      <c r="H3132" s="28">
        <v>6277511</v>
      </c>
      <c r="I3132" s="28">
        <v>193880</v>
      </c>
      <c r="J3132" s="28">
        <v>0.99</v>
      </c>
      <c r="K3132" s="28">
        <v>87</v>
      </c>
      <c r="L3132" s="28">
        <v>0</v>
      </c>
    </row>
    <row r="3133" spans="1:12" ht="14.25" customHeight="1" x14ac:dyDescent="0.2">
      <c r="A3133" s="28">
        <v>3132</v>
      </c>
      <c r="B3133" s="28" t="s">
        <v>4140</v>
      </c>
      <c r="C3133" s="28" t="s">
        <v>2393</v>
      </c>
      <c r="D3133" s="28" t="s">
        <v>2394</v>
      </c>
      <c r="E3133" s="28" t="s">
        <v>211</v>
      </c>
      <c r="F3133" s="28" t="s">
        <v>322</v>
      </c>
      <c r="G3133" s="28" t="s">
        <v>4141</v>
      </c>
      <c r="H3133" s="28">
        <v>13043817</v>
      </c>
      <c r="I3133" s="28">
        <v>398210</v>
      </c>
      <c r="J3133" s="28">
        <v>0.99</v>
      </c>
      <c r="K3133" s="28">
        <v>41</v>
      </c>
      <c r="L3133" s="28">
        <v>1</v>
      </c>
    </row>
    <row r="3134" spans="1:12" ht="14.25" customHeight="1" x14ac:dyDescent="0.2">
      <c r="A3134" s="28">
        <v>3133</v>
      </c>
      <c r="B3134" s="28" t="s">
        <v>4142</v>
      </c>
      <c r="C3134" s="28" t="s">
        <v>2393</v>
      </c>
      <c r="D3134" s="28" t="s">
        <v>2394</v>
      </c>
      <c r="E3134" s="28" t="s">
        <v>211</v>
      </c>
      <c r="F3134" s="28" t="s">
        <v>322</v>
      </c>
      <c r="G3134" s="28" t="s">
        <v>4143</v>
      </c>
      <c r="H3134" s="28">
        <v>7652473</v>
      </c>
      <c r="I3134" s="28">
        <v>233874</v>
      </c>
      <c r="J3134" s="28">
        <v>0.99</v>
      </c>
      <c r="K3134" s="28">
        <v>65</v>
      </c>
      <c r="L3134" s="28">
        <v>1</v>
      </c>
    </row>
    <row r="3135" spans="1:12" ht="14.25" customHeight="1" x14ac:dyDescent="0.2">
      <c r="A3135" s="28">
        <v>3134</v>
      </c>
      <c r="B3135" s="28" t="s">
        <v>4144</v>
      </c>
      <c r="C3135" s="28" t="s">
        <v>2393</v>
      </c>
      <c r="D3135" s="28" t="s">
        <v>2394</v>
      </c>
      <c r="E3135" s="28" t="s">
        <v>211</v>
      </c>
      <c r="F3135" s="28" t="s">
        <v>322</v>
      </c>
      <c r="G3135" s="28" t="s">
        <v>4141</v>
      </c>
      <c r="H3135" s="28">
        <v>9262360</v>
      </c>
      <c r="I3135" s="28">
        <v>283924</v>
      </c>
      <c r="J3135" s="28">
        <v>0.99</v>
      </c>
      <c r="K3135" s="28">
        <v>39</v>
      </c>
      <c r="L3135" s="28">
        <v>0</v>
      </c>
    </row>
    <row r="3136" spans="1:12" ht="14.25" customHeight="1" x14ac:dyDescent="0.2">
      <c r="A3136" s="28">
        <v>3135</v>
      </c>
      <c r="B3136" s="28" t="s">
        <v>4145</v>
      </c>
      <c r="C3136" s="28" t="s">
        <v>2393</v>
      </c>
      <c r="D3136" s="28" t="s">
        <v>2394</v>
      </c>
      <c r="E3136" s="28" t="s">
        <v>211</v>
      </c>
      <c r="F3136" s="28" t="s">
        <v>322</v>
      </c>
      <c r="G3136" s="28" t="s">
        <v>4146</v>
      </c>
      <c r="H3136" s="28">
        <v>8490428</v>
      </c>
      <c r="I3136" s="28">
        <v>259395</v>
      </c>
      <c r="J3136" s="28">
        <v>0.99</v>
      </c>
      <c r="K3136" s="28">
        <v>5</v>
      </c>
      <c r="L3136" s="28">
        <v>0</v>
      </c>
    </row>
    <row r="3137" spans="1:12" ht="14.25" customHeight="1" x14ac:dyDescent="0.2">
      <c r="A3137" s="28">
        <v>3136</v>
      </c>
      <c r="B3137" s="28" t="s">
        <v>4147</v>
      </c>
      <c r="C3137" s="28" t="s">
        <v>2393</v>
      </c>
      <c r="D3137" s="28" t="s">
        <v>2394</v>
      </c>
      <c r="E3137" s="28" t="s">
        <v>211</v>
      </c>
      <c r="F3137" s="28" t="s">
        <v>322</v>
      </c>
      <c r="G3137" s="28" t="s">
        <v>4141</v>
      </c>
      <c r="H3137" s="28">
        <v>12769847</v>
      </c>
      <c r="I3137" s="28">
        <v>391941</v>
      </c>
      <c r="J3137" s="28">
        <v>0.99</v>
      </c>
      <c r="K3137" s="28">
        <v>16</v>
      </c>
      <c r="L3137" s="28">
        <v>1</v>
      </c>
    </row>
    <row r="3138" spans="1:12" ht="14.25" customHeight="1" x14ac:dyDescent="0.2">
      <c r="A3138" s="28">
        <v>3137</v>
      </c>
      <c r="B3138" s="28" t="s">
        <v>4148</v>
      </c>
      <c r="C3138" s="28" t="s">
        <v>2393</v>
      </c>
      <c r="D3138" s="28" t="s">
        <v>2394</v>
      </c>
      <c r="E3138" s="28" t="s">
        <v>211</v>
      </c>
      <c r="F3138" s="28" t="s">
        <v>322</v>
      </c>
      <c r="G3138" s="28" t="s">
        <v>4149</v>
      </c>
      <c r="H3138" s="28">
        <v>8162193</v>
      </c>
      <c r="I3138" s="28">
        <v>251141</v>
      </c>
      <c r="J3138" s="28">
        <v>0.99</v>
      </c>
      <c r="K3138" s="28">
        <v>72</v>
      </c>
      <c r="L3138" s="28">
        <v>1</v>
      </c>
    </row>
    <row r="3139" spans="1:12" ht="14.25" customHeight="1" x14ac:dyDescent="0.2">
      <c r="A3139" s="28">
        <v>3138</v>
      </c>
      <c r="B3139" s="28" t="s">
        <v>4150</v>
      </c>
      <c r="C3139" s="28" t="s">
        <v>2393</v>
      </c>
      <c r="D3139" s="28" t="s">
        <v>2394</v>
      </c>
      <c r="E3139" s="28" t="s">
        <v>211</v>
      </c>
      <c r="F3139" s="28" t="s">
        <v>322</v>
      </c>
      <c r="G3139" s="28" t="s">
        <v>969</v>
      </c>
      <c r="H3139" s="28">
        <v>6615152</v>
      </c>
      <c r="I3139" s="28">
        <v>202475</v>
      </c>
      <c r="J3139" s="28">
        <v>0.99</v>
      </c>
      <c r="K3139" s="28">
        <v>95</v>
      </c>
      <c r="L3139" s="28">
        <v>0</v>
      </c>
    </row>
    <row r="3140" spans="1:12" ht="14.25" customHeight="1" x14ac:dyDescent="0.2">
      <c r="A3140" s="28">
        <v>3139</v>
      </c>
      <c r="B3140" s="28" t="s">
        <v>4151</v>
      </c>
      <c r="C3140" s="28" t="s">
        <v>2393</v>
      </c>
      <c r="D3140" s="28" t="s">
        <v>2394</v>
      </c>
      <c r="E3140" s="28" t="s">
        <v>211</v>
      </c>
      <c r="F3140" s="28" t="s">
        <v>322</v>
      </c>
      <c r="G3140" s="28" t="s">
        <v>4152</v>
      </c>
      <c r="H3140" s="28">
        <v>11961332</v>
      </c>
      <c r="I3140" s="28">
        <v>367255</v>
      </c>
      <c r="J3140" s="28">
        <v>0.99</v>
      </c>
      <c r="K3140" s="28">
        <v>0</v>
      </c>
      <c r="L3140" s="28">
        <v>0</v>
      </c>
    </row>
    <row r="3141" spans="1:12" ht="14.25" customHeight="1" x14ac:dyDescent="0.2">
      <c r="A3141" s="28">
        <v>3140</v>
      </c>
      <c r="B3141" s="28" t="s">
        <v>4153</v>
      </c>
      <c r="C3141" s="28" t="s">
        <v>2393</v>
      </c>
      <c r="D3141" s="28" t="s">
        <v>2394</v>
      </c>
      <c r="E3141" s="28" t="s">
        <v>211</v>
      </c>
      <c r="F3141" s="28" t="s">
        <v>322</v>
      </c>
      <c r="G3141" s="28" t="s">
        <v>4149</v>
      </c>
      <c r="H3141" s="28">
        <v>10326997</v>
      </c>
      <c r="I3141" s="28">
        <v>317074</v>
      </c>
      <c r="J3141" s="28">
        <v>0.99</v>
      </c>
      <c r="K3141" s="28">
        <v>29</v>
      </c>
      <c r="L3141" s="28">
        <v>0</v>
      </c>
    </row>
    <row r="3142" spans="1:12" ht="14.25" customHeight="1" x14ac:dyDescent="0.2">
      <c r="A3142" s="28">
        <v>3141</v>
      </c>
      <c r="B3142" s="28" t="s">
        <v>4154</v>
      </c>
      <c r="C3142" s="28" t="s">
        <v>2393</v>
      </c>
      <c r="D3142" s="28" t="s">
        <v>2394</v>
      </c>
      <c r="E3142" s="28" t="s">
        <v>211</v>
      </c>
      <c r="F3142" s="28" t="s">
        <v>322</v>
      </c>
      <c r="G3142" s="28" t="s">
        <v>4141</v>
      </c>
      <c r="H3142" s="28">
        <v>8176847</v>
      </c>
      <c r="I3142" s="28">
        <v>250853</v>
      </c>
      <c r="J3142" s="28">
        <v>0.99</v>
      </c>
      <c r="K3142" s="28">
        <v>53</v>
      </c>
      <c r="L3142" s="28">
        <v>1</v>
      </c>
    </row>
    <row r="3143" spans="1:12" ht="14.25" customHeight="1" x14ac:dyDescent="0.2">
      <c r="A3143" s="28">
        <v>3142</v>
      </c>
      <c r="B3143" s="28" t="s">
        <v>4155</v>
      </c>
      <c r="C3143" s="28" t="s">
        <v>2393</v>
      </c>
      <c r="D3143" s="28" t="s">
        <v>2394</v>
      </c>
      <c r="E3143" s="28" t="s">
        <v>211</v>
      </c>
      <c r="F3143" s="28" t="s">
        <v>322</v>
      </c>
      <c r="G3143" s="28" t="s">
        <v>4149</v>
      </c>
      <c r="H3143" s="28">
        <v>8606504</v>
      </c>
      <c r="I3143" s="28">
        <v>262791</v>
      </c>
      <c r="J3143" s="28">
        <v>0.99</v>
      </c>
      <c r="K3143" s="28">
        <v>4</v>
      </c>
      <c r="L3143" s="28">
        <v>1</v>
      </c>
    </row>
    <row r="3144" spans="1:12" ht="14.25" customHeight="1" x14ac:dyDescent="0.2">
      <c r="A3144" s="28">
        <v>3143</v>
      </c>
      <c r="B3144" s="28" t="s">
        <v>4156</v>
      </c>
      <c r="C3144" s="28" t="s">
        <v>2393</v>
      </c>
      <c r="D3144" s="28" t="s">
        <v>2394</v>
      </c>
      <c r="E3144" s="28" t="s">
        <v>211</v>
      </c>
      <c r="F3144" s="28" t="s">
        <v>322</v>
      </c>
      <c r="G3144" s="28" t="s">
        <v>969</v>
      </c>
      <c r="H3144" s="28">
        <v>10931921</v>
      </c>
      <c r="I3144" s="28">
        <v>337005</v>
      </c>
      <c r="J3144" s="28">
        <v>0.99</v>
      </c>
      <c r="K3144" s="28">
        <v>10</v>
      </c>
      <c r="L3144" s="28">
        <v>0</v>
      </c>
    </row>
    <row r="3145" spans="1:12" ht="14.25" customHeight="1" x14ac:dyDescent="0.2">
      <c r="A3145" s="28">
        <v>3144</v>
      </c>
      <c r="B3145" s="28" t="s">
        <v>4157</v>
      </c>
      <c r="C3145" s="28" t="s">
        <v>2393</v>
      </c>
      <c r="D3145" s="28" t="s">
        <v>2394</v>
      </c>
      <c r="E3145" s="28" t="s">
        <v>211</v>
      </c>
      <c r="F3145" s="28" t="s">
        <v>322</v>
      </c>
      <c r="G3145" s="28" t="s">
        <v>4158</v>
      </c>
      <c r="H3145" s="28">
        <v>8129820</v>
      </c>
      <c r="I3145" s="28">
        <v>250801</v>
      </c>
      <c r="J3145" s="28">
        <v>0.99</v>
      </c>
      <c r="K3145" s="28">
        <v>60</v>
      </c>
      <c r="L3145" s="28">
        <v>0</v>
      </c>
    </row>
    <row r="3146" spans="1:12" ht="14.25" customHeight="1" x14ac:dyDescent="0.2">
      <c r="A3146" s="28">
        <v>3145</v>
      </c>
      <c r="B3146" s="28" t="s">
        <v>4159</v>
      </c>
      <c r="C3146" s="28" t="s">
        <v>2393</v>
      </c>
      <c r="D3146" s="28" t="s">
        <v>2394</v>
      </c>
      <c r="E3146" s="28" t="s">
        <v>211</v>
      </c>
      <c r="F3146" s="28" t="s">
        <v>322</v>
      </c>
      <c r="G3146" s="28" t="s">
        <v>4149</v>
      </c>
      <c r="H3146" s="28">
        <v>8919163</v>
      </c>
      <c r="I3146" s="28">
        <v>273737</v>
      </c>
      <c r="J3146" s="28">
        <v>0.99</v>
      </c>
      <c r="K3146" s="28">
        <v>3</v>
      </c>
      <c r="L3146" s="28">
        <v>1</v>
      </c>
    </row>
    <row r="3147" spans="1:12" ht="14.25" customHeight="1" x14ac:dyDescent="0.2">
      <c r="A3147" s="28">
        <v>3146</v>
      </c>
      <c r="B3147" s="28" t="s">
        <v>4160</v>
      </c>
      <c r="C3147" s="28" t="s">
        <v>4161</v>
      </c>
      <c r="D3147" s="28" t="s">
        <v>4162</v>
      </c>
      <c r="E3147" s="28" t="s">
        <v>211</v>
      </c>
      <c r="F3147" s="28" t="s">
        <v>490</v>
      </c>
      <c r="G3147" s="28" t="s">
        <v>4163</v>
      </c>
      <c r="H3147" s="28">
        <v>8082036</v>
      </c>
      <c r="I3147" s="28">
        <v>240692</v>
      </c>
      <c r="J3147" s="28">
        <v>0.99</v>
      </c>
      <c r="K3147" s="28">
        <v>13</v>
      </c>
      <c r="L3147" s="28">
        <v>1</v>
      </c>
    </row>
    <row r="3148" spans="1:12" ht="14.25" customHeight="1" x14ac:dyDescent="0.2">
      <c r="A3148" s="28">
        <v>3147</v>
      </c>
      <c r="B3148" s="28" t="s">
        <v>4164</v>
      </c>
      <c r="C3148" s="28" t="s">
        <v>4161</v>
      </c>
      <c r="D3148" s="28" t="s">
        <v>4162</v>
      </c>
      <c r="E3148" s="28" t="s">
        <v>211</v>
      </c>
      <c r="F3148" s="28" t="s">
        <v>490</v>
      </c>
      <c r="G3148" s="28" t="s">
        <v>4165</v>
      </c>
      <c r="H3148" s="28">
        <v>6735526</v>
      </c>
      <c r="I3148" s="28">
        <v>200698</v>
      </c>
      <c r="J3148" s="28">
        <v>0.99</v>
      </c>
      <c r="K3148" s="28">
        <v>3</v>
      </c>
      <c r="L3148" s="28">
        <v>0</v>
      </c>
    </row>
    <row r="3149" spans="1:12" ht="14.25" customHeight="1" x14ac:dyDescent="0.2">
      <c r="A3149" s="28">
        <v>3148</v>
      </c>
      <c r="B3149" s="28" t="s">
        <v>4166</v>
      </c>
      <c r="C3149" s="28" t="s">
        <v>4161</v>
      </c>
      <c r="D3149" s="28" t="s">
        <v>4162</v>
      </c>
      <c r="E3149" s="28" t="s">
        <v>211</v>
      </c>
      <c r="F3149" s="28" t="s">
        <v>490</v>
      </c>
      <c r="G3149" s="28" t="s">
        <v>4167</v>
      </c>
      <c r="H3149" s="28">
        <v>7613817</v>
      </c>
      <c r="I3149" s="28">
        <v>225985</v>
      </c>
      <c r="J3149" s="28">
        <v>0.99</v>
      </c>
      <c r="K3149" s="28">
        <v>4</v>
      </c>
      <c r="L3149" s="28">
        <v>0</v>
      </c>
    </row>
    <row r="3150" spans="1:12" ht="14.25" customHeight="1" x14ac:dyDescent="0.2">
      <c r="A3150" s="28">
        <v>3149</v>
      </c>
      <c r="B3150" s="28" t="s">
        <v>4168</v>
      </c>
      <c r="C3150" s="28" t="s">
        <v>4161</v>
      </c>
      <c r="D3150" s="28" t="s">
        <v>4162</v>
      </c>
      <c r="E3150" s="28" t="s">
        <v>211</v>
      </c>
      <c r="F3150" s="28" t="s">
        <v>490</v>
      </c>
      <c r="G3150" s="28" t="s">
        <v>4169</v>
      </c>
      <c r="H3150" s="28">
        <v>6073995</v>
      </c>
      <c r="I3150" s="28">
        <v>180035</v>
      </c>
      <c r="J3150" s="28">
        <v>0.99</v>
      </c>
      <c r="K3150" s="28">
        <v>93</v>
      </c>
      <c r="L3150" s="28">
        <v>0</v>
      </c>
    </row>
    <row r="3151" spans="1:12" ht="14.25" customHeight="1" x14ac:dyDescent="0.2">
      <c r="A3151" s="28">
        <v>3150</v>
      </c>
      <c r="B3151" s="28" t="s">
        <v>4170</v>
      </c>
      <c r="C3151" s="28" t="s">
        <v>4161</v>
      </c>
      <c r="D3151" s="28" t="s">
        <v>4162</v>
      </c>
      <c r="E3151" s="28" t="s">
        <v>211</v>
      </c>
      <c r="F3151" s="28" t="s">
        <v>490</v>
      </c>
      <c r="G3151" s="28" t="s">
        <v>4171</v>
      </c>
      <c r="H3151" s="28">
        <v>6225948</v>
      </c>
      <c r="I3151" s="28">
        <v>185208</v>
      </c>
      <c r="J3151" s="28">
        <v>0.99</v>
      </c>
      <c r="K3151" s="28">
        <v>44</v>
      </c>
      <c r="L3151" s="28">
        <v>1</v>
      </c>
    </row>
    <row r="3152" spans="1:12" ht="14.25" customHeight="1" x14ac:dyDescent="0.2">
      <c r="A3152" s="28">
        <v>3151</v>
      </c>
      <c r="B3152" s="28" t="s">
        <v>4172</v>
      </c>
      <c r="C3152" s="28" t="s">
        <v>4161</v>
      </c>
      <c r="D3152" s="28" t="s">
        <v>4162</v>
      </c>
      <c r="E3152" s="28" t="s">
        <v>211</v>
      </c>
      <c r="F3152" s="28" t="s">
        <v>490</v>
      </c>
      <c r="G3152" s="28" t="s">
        <v>4173</v>
      </c>
      <c r="H3152" s="28">
        <v>7311219</v>
      </c>
      <c r="I3152" s="28">
        <v>219454</v>
      </c>
      <c r="J3152" s="28">
        <v>0.99</v>
      </c>
      <c r="K3152" s="28">
        <v>78</v>
      </c>
      <c r="L3152" s="28">
        <v>1</v>
      </c>
    </row>
    <row r="3153" spans="1:12" ht="14.25" customHeight="1" x14ac:dyDescent="0.2">
      <c r="A3153" s="28">
        <v>3152</v>
      </c>
      <c r="B3153" s="28" t="s">
        <v>4174</v>
      </c>
      <c r="C3153" s="28" t="s">
        <v>4161</v>
      </c>
      <c r="D3153" s="28" t="s">
        <v>4162</v>
      </c>
      <c r="E3153" s="28" t="s">
        <v>211</v>
      </c>
      <c r="F3153" s="28" t="s">
        <v>490</v>
      </c>
      <c r="G3153" s="28" t="s">
        <v>4175</v>
      </c>
      <c r="H3153" s="28">
        <v>9134882</v>
      </c>
      <c r="I3153" s="28">
        <v>270393</v>
      </c>
      <c r="J3153" s="28">
        <v>0.99</v>
      </c>
      <c r="K3153" s="28">
        <v>48</v>
      </c>
      <c r="L3153" s="28">
        <v>0</v>
      </c>
    </row>
    <row r="3154" spans="1:12" ht="14.25" customHeight="1" x14ac:dyDescent="0.2">
      <c r="A3154" s="28">
        <v>3153</v>
      </c>
      <c r="B3154" s="28" t="s">
        <v>4176</v>
      </c>
      <c r="C3154" s="28" t="s">
        <v>4161</v>
      </c>
      <c r="D3154" s="28" t="s">
        <v>4162</v>
      </c>
      <c r="E3154" s="28" t="s">
        <v>211</v>
      </c>
      <c r="F3154" s="28" t="s">
        <v>490</v>
      </c>
      <c r="G3154" s="28" t="s">
        <v>4177</v>
      </c>
      <c r="H3154" s="28">
        <v>4703182</v>
      </c>
      <c r="I3154" s="28">
        <v>140930</v>
      </c>
      <c r="J3154" s="28">
        <v>0.99</v>
      </c>
      <c r="K3154" s="28">
        <v>4</v>
      </c>
      <c r="L3154" s="28">
        <v>0</v>
      </c>
    </row>
    <row r="3155" spans="1:12" ht="14.25" customHeight="1" x14ac:dyDescent="0.2">
      <c r="A3155" s="28">
        <v>3154</v>
      </c>
      <c r="B3155" s="28" t="s">
        <v>4178</v>
      </c>
      <c r="C3155" s="28" t="s">
        <v>4161</v>
      </c>
      <c r="D3155" s="28" t="s">
        <v>4162</v>
      </c>
      <c r="E3155" s="28" t="s">
        <v>211</v>
      </c>
      <c r="F3155" s="28" t="s">
        <v>490</v>
      </c>
      <c r="G3155" s="28" t="s">
        <v>4179</v>
      </c>
      <c r="H3155" s="28">
        <v>3593684</v>
      </c>
      <c r="I3155" s="28">
        <v>107206</v>
      </c>
      <c r="J3155" s="28">
        <v>0.99</v>
      </c>
      <c r="K3155" s="28">
        <v>74</v>
      </c>
      <c r="L3155" s="28">
        <v>1</v>
      </c>
    </row>
    <row r="3156" spans="1:12" ht="14.25" customHeight="1" x14ac:dyDescent="0.2">
      <c r="A3156" s="28">
        <v>3155</v>
      </c>
      <c r="B3156" s="28" t="s">
        <v>4180</v>
      </c>
      <c r="C3156" s="28" t="s">
        <v>4161</v>
      </c>
      <c r="D3156" s="28" t="s">
        <v>4162</v>
      </c>
      <c r="E3156" s="28" t="s">
        <v>211</v>
      </c>
      <c r="F3156" s="28" t="s">
        <v>490</v>
      </c>
      <c r="G3156" s="28" t="s">
        <v>4181</v>
      </c>
      <c r="H3156" s="28">
        <v>5332668</v>
      </c>
      <c r="I3156" s="28">
        <v>158484</v>
      </c>
      <c r="J3156" s="28">
        <v>0.99</v>
      </c>
      <c r="K3156" s="28">
        <v>80</v>
      </c>
      <c r="L3156" s="28">
        <v>1</v>
      </c>
    </row>
    <row r="3157" spans="1:12" ht="14.25" customHeight="1" x14ac:dyDescent="0.2">
      <c r="A3157" s="28">
        <v>3156</v>
      </c>
      <c r="B3157" s="28" t="s">
        <v>4182</v>
      </c>
      <c r="C3157" s="28" t="s">
        <v>4161</v>
      </c>
      <c r="D3157" s="28" t="s">
        <v>4162</v>
      </c>
      <c r="E3157" s="28" t="s">
        <v>211</v>
      </c>
      <c r="F3157" s="28" t="s">
        <v>490</v>
      </c>
      <c r="G3157" s="28" t="s">
        <v>4183</v>
      </c>
      <c r="H3157" s="28">
        <v>9122188</v>
      </c>
      <c r="I3157" s="28">
        <v>269374</v>
      </c>
      <c r="J3157" s="28">
        <v>0.99</v>
      </c>
      <c r="K3157" s="28">
        <v>0</v>
      </c>
      <c r="L3157" s="28">
        <v>0</v>
      </c>
    </row>
    <row r="3158" spans="1:12" ht="14.25" customHeight="1" x14ac:dyDescent="0.2">
      <c r="A3158" s="28">
        <v>3157</v>
      </c>
      <c r="B3158" s="28" t="s">
        <v>4184</v>
      </c>
      <c r="C3158" s="28" t="s">
        <v>4161</v>
      </c>
      <c r="D3158" s="28" t="s">
        <v>4162</v>
      </c>
      <c r="E3158" s="28" t="s">
        <v>211</v>
      </c>
      <c r="F3158" s="28" t="s">
        <v>490</v>
      </c>
      <c r="G3158" s="28" t="s">
        <v>4185</v>
      </c>
      <c r="H3158" s="28">
        <v>7325302</v>
      </c>
      <c r="I3158" s="28">
        <v>217495</v>
      </c>
      <c r="J3158" s="28">
        <v>0.99</v>
      </c>
      <c r="K3158" s="28">
        <v>24</v>
      </c>
      <c r="L3158" s="28">
        <v>0</v>
      </c>
    </row>
    <row r="3159" spans="1:12" ht="14.25" customHeight="1" x14ac:dyDescent="0.2">
      <c r="A3159" s="28">
        <v>3158</v>
      </c>
      <c r="B3159" s="28" t="s">
        <v>4186</v>
      </c>
      <c r="C3159" s="28" t="s">
        <v>4161</v>
      </c>
      <c r="D3159" s="28" t="s">
        <v>4162</v>
      </c>
      <c r="E3159" s="28" t="s">
        <v>211</v>
      </c>
      <c r="F3159" s="28" t="s">
        <v>490</v>
      </c>
      <c r="G3159" s="28" t="s">
        <v>4187</v>
      </c>
      <c r="H3159" s="28">
        <v>8136475</v>
      </c>
      <c r="I3159" s="28">
        <v>243591</v>
      </c>
      <c r="J3159" s="28">
        <v>0.99</v>
      </c>
      <c r="K3159" s="28">
        <v>15</v>
      </c>
      <c r="L3159" s="28">
        <v>0</v>
      </c>
    </row>
    <row r="3160" spans="1:12" ht="14.25" customHeight="1" x14ac:dyDescent="0.2">
      <c r="A3160" s="28">
        <v>3159</v>
      </c>
      <c r="B3160" s="28" t="s">
        <v>4188</v>
      </c>
      <c r="C3160" s="28" t="s">
        <v>4161</v>
      </c>
      <c r="D3160" s="28" t="s">
        <v>4162</v>
      </c>
      <c r="E3160" s="28" t="s">
        <v>211</v>
      </c>
      <c r="F3160" s="28" t="s">
        <v>490</v>
      </c>
      <c r="G3160" s="28" t="s">
        <v>4189</v>
      </c>
      <c r="H3160" s="28">
        <v>10012231</v>
      </c>
      <c r="I3160" s="28">
        <v>299102</v>
      </c>
      <c r="J3160" s="28">
        <v>0.99</v>
      </c>
      <c r="K3160" s="28">
        <v>66</v>
      </c>
      <c r="L3160" s="28">
        <v>1</v>
      </c>
    </row>
    <row r="3161" spans="1:12" ht="14.25" customHeight="1" x14ac:dyDescent="0.2">
      <c r="A3161" s="28">
        <v>3160</v>
      </c>
      <c r="B3161" s="28" t="s">
        <v>4190</v>
      </c>
      <c r="C3161" s="28" t="s">
        <v>4161</v>
      </c>
      <c r="D3161" s="28" t="s">
        <v>4162</v>
      </c>
      <c r="E3161" s="28" t="s">
        <v>211</v>
      </c>
      <c r="F3161" s="28" t="s">
        <v>490</v>
      </c>
      <c r="G3161" s="28" t="s">
        <v>4191</v>
      </c>
      <c r="H3161" s="28">
        <v>8268712</v>
      </c>
      <c r="I3161" s="28">
        <v>245394</v>
      </c>
      <c r="J3161" s="28">
        <v>0.99</v>
      </c>
      <c r="K3161" s="28">
        <v>52</v>
      </c>
      <c r="L3161" s="28">
        <v>1</v>
      </c>
    </row>
    <row r="3162" spans="1:12" ht="14.25" customHeight="1" x14ac:dyDescent="0.2">
      <c r="A3162" s="28">
        <v>3161</v>
      </c>
      <c r="B3162" s="28" t="s">
        <v>4192</v>
      </c>
      <c r="C3162" s="28" t="s">
        <v>4161</v>
      </c>
      <c r="D3162" s="28" t="s">
        <v>4162</v>
      </c>
      <c r="E3162" s="28" t="s">
        <v>211</v>
      </c>
      <c r="F3162" s="28" t="s">
        <v>490</v>
      </c>
      <c r="G3162" s="28" t="s">
        <v>4193</v>
      </c>
      <c r="H3162" s="28">
        <v>6981474</v>
      </c>
      <c r="I3162" s="28">
        <v>206994</v>
      </c>
      <c r="J3162" s="28">
        <v>0.99</v>
      </c>
      <c r="K3162" s="28">
        <v>94</v>
      </c>
      <c r="L3162" s="28">
        <v>0</v>
      </c>
    </row>
    <row r="3163" spans="1:12" ht="14.25" customHeight="1" x14ac:dyDescent="0.2">
      <c r="A3163" s="28">
        <v>3162</v>
      </c>
      <c r="B3163" s="28" t="s">
        <v>4194</v>
      </c>
      <c r="C3163" s="28" t="s">
        <v>4161</v>
      </c>
      <c r="D3163" s="28" t="s">
        <v>4162</v>
      </c>
      <c r="E3163" s="28" t="s">
        <v>211</v>
      </c>
      <c r="F3163" s="28" t="s">
        <v>490</v>
      </c>
      <c r="G3163" s="28" t="s">
        <v>4195</v>
      </c>
      <c r="H3163" s="28">
        <v>5719129</v>
      </c>
      <c r="I3163" s="28">
        <v>168463</v>
      </c>
      <c r="J3163" s="28">
        <v>0.99</v>
      </c>
      <c r="K3163" s="28">
        <v>20</v>
      </c>
      <c r="L3163" s="28">
        <v>0</v>
      </c>
    </row>
    <row r="3164" spans="1:12" ht="14.25" customHeight="1" x14ac:dyDescent="0.2">
      <c r="A3164" s="28">
        <v>3163</v>
      </c>
      <c r="B3164" s="28" t="s">
        <v>4196</v>
      </c>
      <c r="C3164" s="28" t="s">
        <v>4161</v>
      </c>
      <c r="D3164" s="28" t="s">
        <v>4162</v>
      </c>
      <c r="E3164" s="28" t="s">
        <v>211</v>
      </c>
      <c r="F3164" s="28" t="s">
        <v>490</v>
      </c>
      <c r="G3164" s="28" t="s">
        <v>4197</v>
      </c>
      <c r="H3164" s="28">
        <v>5121366</v>
      </c>
      <c r="I3164" s="28">
        <v>152816</v>
      </c>
      <c r="J3164" s="28">
        <v>0.99</v>
      </c>
      <c r="K3164" s="28">
        <v>38</v>
      </c>
      <c r="L3164" s="28">
        <v>1</v>
      </c>
    </row>
    <row r="3165" spans="1:12" ht="14.25" customHeight="1" x14ac:dyDescent="0.2">
      <c r="A3165" s="28">
        <v>3164</v>
      </c>
      <c r="B3165" s="28" t="s">
        <v>4198</v>
      </c>
      <c r="C3165" s="28" t="s">
        <v>4161</v>
      </c>
      <c r="D3165" s="28" t="s">
        <v>4162</v>
      </c>
      <c r="E3165" s="28" t="s">
        <v>211</v>
      </c>
      <c r="F3165" s="28" t="s">
        <v>490</v>
      </c>
      <c r="G3165" s="28" t="s">
        <v>4199</v>
      </c>
      <c r="H3165" s="28">
        <v>11120708</v>
      </c>
      <c r="I3165" s="28">
        <v>332826</v>
      </c>
      <c r="J3165" s="28">
        <v>0.99</v>
      </c>
      <c r="K3165" s="28">
        <v>16</v>
      </c>
      <c r="L3165" s="28">
        <v>1</v>
      </c>
    </row>
    <row r="3166" spans="1:12" ht="14.25" customHeight="1" x14ac:dyDescent="0.2">
      <c r="A3166" s="28">
        <v>3165</v>
      </c>
      <c r="B3166" s="28" t="s">
        <v>4200</v>
      </c>
      <c r="C3166" s="28" t="s">
        <v>3833</v>
      </c>
      <c r="D3166" s="28" t="s">
        <v>3834</v>
      </c>
      <c r="E3166" s="28" t="s">
        <v>3790</v>
      </c>
      <c r="F3166" s="28" t="s">
        <v>3817</v>
      </c>
      <c r="G3166" s="28"/>
      <c r="H3166" s="28">
        <v>488919543</v>
      </c>
      <c r="I3166" s="28">
        <v>2617325</v>
      </c>
      <c r="J3166" s="28">
        <v>1.99</v>
      </c>
      <c r="K3166" s="28">
        <v>57</v>
      </c>
      <c r="L3166" s="28">
        <v>0</v>
      </c>
    </row>
    <row r="3167" spans="1:12" ht="14.25" customHeight="1" x14ac:dyDescent="0.2">
      <c r="A3167" s="28">
        <v>3166</v>
      </c>
      <c r="B3167" s="33">
        <v>6.9999999999999999E-4</v>
      </c>
      <c r="C3167" s="28" t="s">
        <v>3815</v>
      </c>
      <c r="D3167" s="28" t="s">
        <v>3816</v>
      </c>
      <c r="E3167" s="28" t="s">
        <v>3790</v>
      </c>
      <c r="F3167" s="28" t="s">
        <v>3817</v>
      </c>
      <c r="G3167" s="28"/>
      <c r="H3167" s="28">
        <v>541715199</v>
      </c>
      <c r="I3167" s="28">
        <v>2585794</v>
      </c>
      <c r="J3167" s="28">
        <v>1.99</v>
      </c>
      <c r="K3167" s="28">
        <v>42</v>
      </c>
      <c r="L3167" s="28">
        <v>0</v>
      </c>
    </row>
    <row r="3168" spans="1:12" ht="14.25" customHeight="1" x14ac:dyDescent="0.2">
      <c r="A3168" s="28">
        <v>3167</v>
      </c>
      <c r="B3168" s="28" t="s">
        <v>4201</v>
      </c>
      <c r="C3168" s="28" t="s">
        <v>3815</v>
      </c>
      <c r="D3168" s="28" t="s">
        <v>3816</v>
      </c>
      <c r="E3168" s="28" t="s">
        <v>3790</v>
      </c>
      <c r="F3168" s="28" t="s">
        <v>3817</v>
      </c>
      <c r="G3168" s="28"/>
      <c r="H3168" s="28">
        <v>530551890</v>
      </c>
      <c r="I3168" s="28">
        <v>2587712</v>
      </c>
      <c r="J3168" s="28">
        <v>1.99</v>
      </c>
      <c r="K3168" s="28">
        <v>90</v>
      </c>
      <c r="L3168" s="28">
        <v>0</v>
      </c>
    </row>
    <row r="3169" spans="1:12" ht="14.25" customHeight="1" x14ac:dyDescent="0.2">
      <c r="A3169" s="28">
        <v>3168</v>
      </c>
      <c r="B3169" s="28" t="s">
        <v>4202</v>
      </c>
      <c r="C3169" s="28" t="s">
        <v>3815</v>
      </c>
      <c r="D3169" s="28" t="s">
        <v>3816</v>
      </c>
      <c r="E3169" s="28" t="s">
        <v>3790</v>
      </c>
      <c r="F3169" s="28" t="s">
        <v>3817</v>
      </c>
      <c r="G3169" s="28"/>
      <c r="H3169" s="28">
        <v>475996611</v>
      </c>
      <c r="I3169" s="28">
        <v>2601017</v>
      </c>
      <c r="J3169" s="28">
        <v>1.99</v>
      </c>
      <c r="K3169" s="28">
        <v>72</v>
      </c>
      <c r="L3169" s="28">
        <v>1</v>
      </c>
    </row>
    <row r="3170" spans="1:12" ht="14.25" customHeight="1" x14ac:dyDescent="0.2">
      <c r="A3170" s="28">
        <v>3169</v>
      </c>
      <c r="B3170" s="28" t="s">
        <v>4203</v>
      </c>
      <c r="C3170" s="28" t="s">
        <v>3833</v>
      </c>
      <c r="D3170" s="28" t="s">
        <v>3834</v>
      </c>
      <c r="E3170" s="28" t="s">
        <v>3790</v>
      </c>
      <c r="F3170" s="28" t="s">
        <v>3817</v>
      </c>
      <c r="G3170" s="28"/>
      <c r="H3170" s="28">
        <v>493951081</v>
      </c>
      <c r="I3170" s="28">
        <v>2615990</v>
      </c>
      <c r="J3170" s="28">
        <v>1.99</v>
      </c>
      <c r="K3170" s="28">
        <v>3</v>
      </c>
      <c r="L3170" s="28">
        <v>1</v>
      </c>
    </row>
    <row r="3171" spans="1:12" ht="14.25" customHeight="1" x14ac:dyDescent="0.2">
      <c r="A3171" s="28">
        <v>3170</v>
      </c>
      <c r="B3171" s="28" t="s">
        <v>2393</v>
      </c>
      <c r="C3171" s="28" t="s">
        <v>3833</v>
      </c>
      <c r="D3171" s="28" t="s">
        <v>3834</v>
      </c>
      <c r="E3171" s="28" t="s">
        <v>3790</v>
      </c>
      <c r="F3171" s="28" t="s">
        <v>3817</v>
      </c>
      <c r="G3171" s="28"/>
      <c r="H3171" s="28">
        <v>522102916</v>
      </c>
      <c r="I3171" s="28">
        <v>2617117</v>
      </c>
      <c r="J3171" s="28">
        <v>1.99</v>
      </c>
      <c r="K3171" s="28">
        <v>98</v>
      </c>
      <c r="L3171" s="28">
        <v>0</v>
      </c>
    </row>
    <row r="3172" spans="1:12" ht="14.25" customHeight="1" x14ac:dyDescent="0.2">
      <c r="A3172" s="28">
        <v>3171</v>
      </c>
      <c r="B3172" s="28" t="s">
        <v>3378</v>
      </c>
      <c r="C3172" s="28" t="s">
        <v>3815</v>
      </c>
      <c r="D3172" s="28" t="s">
        <v>3816</v>
      </c>
      <c r="E3172" s="28" t="s">
        <v>3790</v>
      </c>
      <c r="F3172" s="28" t="s">
        <v>3817</v>
      </c>
      <c r="G3172" s="28"/>
      <c r="H3172" s="28">
        <v>518677861</v>
      </c>
      <c r="I3172" s="28">
        <v>2600725</v>
      </c>
      <c r="J3172" s="28">
        <v>1.99</v>
      </c>
      <c r="K3172" s="28">
        <v>23</v>
      </c>
      <c r="L3172" s="28">
        <v>0</v>
      </c>
    </row>
    <row r="3173" spans="1:12" ht="14.25" customHeight="1" x14ac:dyDescent="0.2">
      <c r="A3173" s="28">
        <v>3172</v>
      </c>
      <c r="B3173" s="28" t="s">
        <v>4204</v>
      </c>
      <c r="C3173" s="28" t="s">
        <v>4205</v>
      </c>
      <c r="D3173" s="28" t="s">
        <v>4206</v>
      </c>
      <c r="E3173" s="28" t="s">
        <v>3790</v>
      </c>
      <c r="F3173" s="28" t="s">
        <v>3794</v>
      </c>
      <c r="G3173" s="28"/>
      <c r="H3173" s="28">
        <v>290482361</v>
      </c>
      <c r="I3173" s="28">
        <v>1380833</v>
      </c>
      <c r="J3173" s="28">
        <v>1.99</v>
      </c>
      <c r="K3173" s="28">
        <v>14</v>
      </c>
      <c r="L3173" s="28">
        <v>0</v>
      </c>
    </row>
    <row r="3174" spans="1:12" ht="14.25" customHeight="1" x14ac:dyDescent="0.2">
      <c r="A3174" s="28">
        <v>3173</v>
      </c>
      <c r="B3174" s="28" t="s">
        <v>4207</v>
      </c>
      <c r="C3174" s="28" t="s">
        <v>4205</v>
      </c>
      <c r="D3174" s="28" t="s">
        <v>4206</v>
      </c>
      <c r="E3174" s="28" t="s">
        <v>3790</v>
      </c>
      <c r="F3174" s="28" t="s">
        <v>3794</v>
      </c>
      <c r="G3174" s="28"/>
      <c r="H3174" s="28">
        <v>257879716</v>
      </c>
      <c r="I3174" s="28">
        <v>1306416</v>
      </c>
      <c r="J3174" s="28">
        <v>1.99</v>
      </c>
      <c r="K3174" s="28">
        <v>98</v>
      </c>
      <c r="L3174" s="28">
        <v>1</v>
      </c>
    </row>
    <row r="3175" spans="1:12" ht="14.25" customHeight="1" x14ac:dyDescent="0.2">
      <c r="A3175" s="28">
        <v>3174</v>
      </c>
      <c r="B3175" s="28" t="s">
        <v>4208</v>
      </c>
      <c r="C3175" s="28" t="s">
        <v>4205</v>
      </c>
      <c r="D3175" s="28" t="s">
        <v>4206</v>
      </c>
      <c r="E3175" s="28" t="s">
        <v>3790</v>
      </c>
      <c r="F3175" s="28" t="s">
        <v>3794</v>
      </c>
      <c r="G3175" s="28"/>
      <c r="H3175" s="28">
        <v>260493577</v>
      </c>
      <c r="I3175" s="28">
        <v>1321791</v>
      </c>
      <c r="J3175" s="28">
        <v>1.99</v>
      </c>
      <c r="K3175" s="28">
        <v>10</v>
      </c>
      <c r="L3175" s="28">
        <v>0</v>
      </c>
    </row>
    <row r="3176" spans="1:12" ht="14.25" customHeight="1" x14ac:dyDescent="0.2">
      <c r="A3176" s="28">
        <v>3175</v>
      </c>
      <c r="B3176" s="28" t="s">
        <v>4209</v>
      </c>
      <c r="C3176" s="28" t="s">
        <v>4205</v>
      </c>
      <c r="D3176" s="28" t="s">
        <v>4206</v>
      </c>
      <c r="E3176" s="28" t="s">
        <v>3790</v>
      </c>
      <c r="F3176" s="28" t="s">
        <v>3794</v>
      </c>
      <c r="G3176" s="28"/>
      <c r="H3176" s="28">
        <v>266203162</v>
      </c>
      <c r="I3176" s="28">
        <v>1317125</v>
      </c>
      <c r="J3176" s="28">
        <v>1.99</v>
      </c>
      <c r="K3176" s="28">
        <v>72</v>
      </c>
      <c r="L3176" s="28">
        <v>0</v>
      </c>
    </row>
    <row r="3177" spans="1:12" ht="14.25" customHeight="1" x14ac:dyDescent="0.2">
      <c r="A3177" s="28">
        <v>3176</v>
      </c>
      <c r="B3177" s="28" t="s">
        <v>4210</v>
      </c>
      <c r="C3177" s="28" t="s">
        <v>4205</v>
      </c>
      <c r="D3177" s="28" t="s">
        <v>4206</v>
      </c>
      <c r="E3177" s="28" t="s">
        <v>3790</v>
      </c>
      <c r="F3177" s="28" t="s">
        <v>3794</v>
      </c>
      <c r="G3177" s="28"/>
      <c r="H3177" s="28">
        <v>267464180</v>
      </c>
      <c r="I3177" s="28">
        <v>1323541</v>
      </c>
      <c r="J3177" s="28">
        <v>1.99</v>
      </c>
      <c r="K3177" s="28">
        <v>93</v>
      </c>
      <c r="L3177" s="28">
        <v>0</v>
      </c>
    </row>
    <row r="3178" spans="1:12" ht="14.25" customHeight="1" x14ac:dyDescent="0.2">
      <c r="A3178" s="28">
        <v>3177</v>
      </c>
      <c r="B3178" s="28" t="s">
        <v>4211</v>
      </c>
      <c r="C3178" s="28" t="s">
        <v>4205</v>
      </c>
      <c r="D3178" s="28" t="s">
        <v>4206</v>
      </c>
      <c r="E3178" s="28" t="s">
        <v>3790</v>
      </c>
      <c r="F3178" s="28" t="s">
        <v>3794</v>
      </c>
      <c r="G3178" s="28"/>
      <c r="H3178" s="28">
        <v>267836576</v>
      </c>
      <c r="I3178" s="28">
        <v>1325458</v>
      </c>
      <c r="J3178" s="28">
        <v>1.99</v>
      </c>
      <c r="K3178" s="28">
        <v>97</v>
      </c>
      <c r="L3178" s="28">
        <v>2</v>
      </c>
    </row>
    <row r="3179" spans="1:12" ht="14.25" customHeight="1" x14ac:dyDescent="0.2">
      <c r="A3179" s="28">
        <v>3178</v>
      </c>
      <c r="B3179" s="28" t="s">
        <v>4212</v>
      </c>
      <c r="C3179" s="28" t="s">
        <v>4213</v>
      </c>
      <c r="D3179" s="28" t="s">
        <v>4206</v>
      </c>
      <c r="E3179" s="28" t="s">
        <v>3790</v>
      </c>
      <c r="F3179" s="28" t="s">
        <v>3794</v>
      </c>
      <c r="G3179" s="28"/>
      <c r="H3179" s="28">
        <v>246845576</v>
      </c>
      <c r="I3179" s="28">
        <v>1253541</v>
      </c>
      <c r="J3179" s="28">
        <v>1.99</v>
      </c>
      <c r="K3179" s="28">
        <v>89</v>
      </c>
      <c r="L3179" s="28">
        <v>1</v>
      </c>
    </row>
    <row r="3180" spans="1:12" ht="14.25" customHeight="1" x14ac:dyDescent="0.2">
      <c r="A3180" s="28">
        <v>3179</v>
      </c>
      <c r="B3180" s="28" t="s">
        <v>4214</v>
      </c>
      <c r="C3180" s="28" t="s">
        <v>4213</v>
      </c>
      <c r="D3180" s="28" t="s">
        <v>4206</v>
      </c>
      <c r="E3180" s="28" t="s">
        <v>3790</v>
      </c>
      <c r="F3180" s="28" t="s">
        <v>3794</v>
      </c>
      <c r="G3180" s="28"/>
      <c r="H3180" s="28">
        <v>273069146</v>
      </c>
      <c r="I3180" s="28">
        <v>1294541</v>
      </c>
      <c r="J3180" s="28">
        <v>1.99</v>
      </c>
      <c r="K3180" s="28">
        <v>10</v>
      </c>
      <c r="L3180" s="28">
        <v>0</v>
      </c>
    </row>
    <row r="3181" spans="1:12" ht="14.25" customHeight="1" x14ac:dyDescent="0.2">
      <c r="A3181" s="28">
        <v>3180</v>
      </c>
      <c r="B3181" s="28" t="s">
        <v>4215</v>
      </c>
      <c r="C3181" s="28" t="s">
        <v>4213</v>
      </c>
      <c r="D3181" s="28" t="s">
        <v>4206</v>
      </c>
      <c r="E3181" s="28" t="s">
        <v>3790</v>
      </c>
      <c r="F3181" s="28" t="s">
        <v>3794</v>
      </c>
      <c r="G3181" s="28"/>
      <c r="H3181" s="28">
        <v>256247623</v>
      </c>
      <c r="I3181" s="28">
        <v>1290458</v>
      </c>
      <c r="J3181" s="28">
        <v>1.99</v>
      </c>
      <c r="K3181" s="28">
        <v>49</v>
      </c>
      <c r="L3181" s="28">
        <v>0</v>
      </c>
    </row>
    <row r="3182" spans="1:12" ht="14.25" customHeight="1" x14ac:dyDescent="0.2">
      <c r="A3182" s="28">
        <v>3181</v>
      </c>
      <c r="B3182" s="28" t="s">
        <v>4216</v>
      </c>
      <c r="C3182" s="28" t="s">
        <v>4213</v>
      </c>
      <c r="D3182" s="28" t="s">
        <v>4206</v>
      </c>
      <c r="E3182" s="28" t="s">
        <v>3790</v>
      </c>
      <c r="F3182" s="28" t="s">
        <v>3794</v>
      </c>
      <c r="G3182" s="28"/>
      <c r="H3182" s="28">
        <v>266856017</v>
      </c>
      <c r="I3182" s="28">
        <v>1288166</v>
      </c>
      <c r="J3182" s="28">
        <v>1.99</v>
      </c>
      <c r="K3182" s="28">
        <v>73</v>
      </c>
      <c r="L3182" s="28">
        <v>0</v>
      </c>
    </row>
    <row r="3183" spans="1:12" ht="14.25" customHeight="1" x14ac:dyDescent="0.2">
      <c r="A3183" s="28">
        <v>3182</v>
      </c>
      <c r="B3183" s="28" t="s">
        <v>4217</v>
      </c>
      <c r="C3183" s="28" t="s">
        <v>4213</v>
      </c>
      <c r="D3183" s="28" t="s">
        <v>4206</v>
      </c>
      <c r="E3183" s="28" t="s">
        <v>3790</v>
      </c>
      <c r="F3183" s="28" t="s">
        <v>3794</v>
      </c>
      <c r="G3183" s="28"/>
      <c r="H3183" s="28">
        <v>249205209</v>
      </c>
      <c r="I3183" s="28">
        <v>1315333</v>
      </c>
      <c r="J3183" s="28">
        <v>1.99</v>
      </c>
      <c r="K3183" s="28">
        <v>90</v>
      </c>
      <c r="L3183" s="28">
        <v>1</v>
      </c>
    </row>
    <row r="3184" spans="1:12" ht="14.25" customHeight="1" x14ac:dyDescent="0.2">
      <c r="A3184" s="28">
        <v>3183</v>
      </c>
      <c r="B3184" s="28" t="s">
        <v>4218</v>
      </c>
      <c r="C3184" s="28" t="s">
        <v>4213</v>
      </c>
      <c r="D3184" s="28" t="s">
        <v>4206</v>
      </c>
      <c r="E3184" s="28" t="s">
        <v>3790</v>
      </c>
      <c r="F3184" s="28" t="s">
        <v>3794</v>
      </c>
      <c r="G3184" s="28"/>
      <c r="H3184" s="28">
        <v>277149457</v>
      </c>
      <c r="I3184" s="28">
        <v>1320028</v>
      </c>
      <c r="J3184" s="28">
        <v>1.99</v>
      </c>
      <c r="K3184" s="28">
        <v>50</v>
      </c>
      <c r="L3184" s="28">
        <v>0</v>
      </c>
    </row>
    <row r="3185" spans="1:12" ht="14.25" customHeight="1" x14ac:dyDescent="0.2">
      <c r="A3185" s="28">
        <v>3184</v>
      </c>
      <c r="B3185" s="28" t="s">
        <v>4219</v>
      </c>
      <c r="C3185" s="28" t="s">
        <v>4213</v>
      </c>
      <c r="D3185" s="28" t="s">
        <v>4206</v>
      </c>
      <c r="E3185" s="28" t="s">
        <v>3790</v>
      </c>
      <c r="F3185" s="28" t="s">
        <v>3794</v>
      </c>
      <c r="G3185" s="28"/>
      <c r="H3185" s="28">
        <v>253836788</v>
      </c>
      <c r="I3185" s="28">
        <v>1299341</v>
      </c>
      <c r="J3185" s="28">
        <v>1.99</v>
      </c>
      <c r="K3185" s="28">
        <v>91</v>
      </c>
      <c r="L3185" s="28">
        <v>0</v>
      </c>
    </row>
    <row r="3186" spans="1:12" ht="14.25" customHeight="1" x14ac:dyDescent="0.2">
      <c r="A3186" s="28">
        <v>3185</v>
      </c>
      <c r="B3186" s="28" t="s">
        <v>4220</v>
      </c>
      <c r="C3186" s="28" t="s">
        <v>4213</v>
      </c>
      <c r="D3186" s="28" t="s">
        <v>4206</v>
      </c>
      <c r="E3186" s="28" t="s">
        <v>3790</v>
      </c>
      <c r="F3186" s="28" t="s">
        <v>3794</v>
      </c>
      <c r="G3186" s="28"/>
      <c r="H3186" s="28">
        <v>256143822</v>
      </c>
      <c r="I3186" s="28">
        <v>1292458</v>
      </c>
      <c r="J3186" s="28">
        <v>1.99</v>
      </c>
      <c r="K3186" s="28">
        <v>97</v>
      </c>
      <c r="L3186" s="28">
        <v>0</v>
      </c>
    </row>
    <row r="3187" spans="1:12" ht="14.25" customHeight="1" x14ac:dyDescent="0.2">
      <c r="A3187" s="28">
        <v>3186</v>
      </c>
      <c r="B3187" s="28" t="s">
        <v>4221</v>
      </c>
      <c r="C3187" s="28" t="s">
        <v>4213</v>
      </c>
      <c r="D3187" s="28" t="s">
        <v>4206</v>
      </c>
      <c r="E3187" s="28" t="s">
        <v>3790</v>
      </c>
      <c r="F3187" s="28" t="s">
        <v>3794</v>
      </c>
      <c r="G3187" s="28"/>
      <c r="H3187" s="28">
        <v>265101113</v>
      </c>
      <c r="I3187" s="28">
        <v>1328870</v>
      </c>
      <c r="J3187" s="28">
        <v>1.99</v>
      </c>
      <c r="K3187" s="28">
        <v>54</v>
      </c>
      <c r="L3187" s="28">
        <v>1</v>
      </c>
    </row>
    <row r="3188" spans="1:12" ht="14.25" customHeight="1" x14ac:dyDescent="0.2">
      <c r="A3188" s="28">
        <v>3187</v>
      </c>
      <c r="B3188" s="28" t="s">
        <v>4222</v>
      </c>
      <c r="C3188" s="28" t="s">
        <v>4213</v>
      </c>
      <c r="D3188" s="28" t="s">
        <v>4206</v>
      </c>
      <c r="E3188" s="28" t="s">
        <v>3790</v>
      </c>
      <c r="F3188" s="28" t="s">
        <v>3794</v>
      </c>
      <c r="G3188" s="28"/>
      <c r="H3188" s="28">
        <v>260891300</v>
      </c>
      <c r="I3188" s="28">
        <v>1282115</v>
      </c>
      <c r="J3188" s="28">
        <v>1.99</v>
      </c>
      <c r="K3188" s="28">
        <v>85</v>
      </c>
      <c r="L3188" s="28">
        <v>1</v>
      </c>
    </row>
    <row r="3189" spans="1:12" ht="14.25" customHeight="1" x14ac:dyDescent="0.2">
      <c r="A3189" s="28">
        <v>3188</v>
      </c>
      <c r="B3189" s="28" t="s">
        <v>4223</v>
      </c>
      <c r="C3189" s="28" t="s">
        <v>4213</v>
      </c>
      <c r="D3189" s="28" t="s">
        <v>4206</v>
      </c>
      <c r="E3189" s="28" t="s">
        <v>3790</v>
      </c>
      <c r="F3189" s="28" t="s">
        <v>3794</v>
      </c>
      <c r="G3189" s="28"/>
      <c r="H3189" s="28">
        <v>252518021</v>
      </c>
      <c r="I3189" s="28">
        <v>1267958</v>
      </c>
      <c r="J3189" s="28">
        <v>1.99</v>
      </c>
      <c r="K3189" s="28">
        <v>75</v>
      </c>
      <c r="L3189" s="28">
        <v>0</v>
      </c>
    </row>
    <row r="3190" spans="1:12" ht="14.25" customHeight="1" x14ac:dyDescent="0.2">
      <c r="A3190" s="28">
        <v>3189</v>
      </c>
      <c r="B3190" s="28" t="s">
        <v>4224</v>
      </c>
      <c r="C3190" s="28" t="s">
        <v>4213</v>
      </c>
      <c r="D3190" s="28" t="s">
        <v>4206</v>
      </c>
      <c r="E3190" s="28" t="s">
        <v>3790</v>
      </c>
      <c r="F3190" s="28" t="s">
        <v>3794</v>
      </c>
      <c r="G3190" s="28"/>
      <c r="H3190" s="28">
        <v>253912762</v>
      </c>
      <c r="I3190" s="28">
        <v>1275275</v>
      </c>
      <c r="J3190" s="28">
        <v>1.99</v>
      </c>
      <c r="K3190" s="28">
        <v>98</v>
      </c>
      <c r="L3190" s="28">
        <v>0</v>
      </c>
    </row>
    <row r="3191" spans="1:12" ht="14.25" customHeight="1" x14ac:dyDescent="0.2">
      <c r="A3191" s="28">
        <v>3190</v>
      </c>
      <c r="B3191" s="28" t="s">
        <v>4225</v>
      </c>
      <c r="C3191" s="28" t="s">
        <v>4213</v>
      </c>
      <c r="D3191" s="28" t="s">
        <v>4206</v>
      </c>
      <c r="E3191" s="28" t="s">
        <v>3790</v>
      </c>
      <c r="F3191" s="28" t="s">
        <v>3794</v>
      </c>
      <c r="G3191" s="28"/>
      <c r="H3191" s="28">
        <v>253143200</v>
      </c>
      <c r="I3191" s="28">
        <v>1264875</v>
      </c>
      <c r="J3191" s="28">
        <v>1.99</v>
      </c>
      <c r="K3191" s="28">
        <v>38</v>
      </c>
      <c r="L3191" s="28">
        <v>0</v>
      </c>
    </row>
    <row r="3192" spans="1:12" ht="14.25" customHeight="1" x14ac:dyDescent="0.2">
      <c r="A3192" s="28">
        <v>3191</v>
      </c>
      <c r="B3192" s="28" t="s">
        <v>4226</v>
      </c>
      <c r="C3192" s="28" t="s">
        <v>4213</v>
      </c>
      <c r="D3192" s="28" t="s">
        <v>4206</v>
      </c>
      <c r="E3192" s="28" t="s">
        <v>3790</v>
      </c>
      <c r="F3192" s="28" t="s">
        <v>3794</v>
      </c>
      <c r="G3192" s="28"/>
      <c r="H3192" s="28">
        <v>256477011</v>
      </c>
      <c r="I3192" s="28">
        <v>1264375</v>
      </c>
      <c r="J3192" s="28">
        <v>1.99</v>
      </c>
      <c r="K3192" s="28">
        <v>33</v>
      </c>
      <c r="L3192" s="28">
        <v>1</v>
      </c>
    </row>
    <row r="3193" spans="1:12" ht="14.25" customHeight="1" x14ac:dyDescent="0.2">
      <c r="A3193" s="28">
        <v>3192</v>
      </c>
      <c r="B3193" s="28" t="s">
        <v>4227</v>
      </c>
      <c r="C3193" s="28" t="s">
        <v>4213</v>
      </c>
      <c r="D3193" s="28" t="s">
        <v>4206</v>
      </c>
      <c r="E3193" s="28" t="s">
        <v>3790</v>
      </c>
      <c r="F3193" s="28" t="s">
        <v>3794</v>
      </c>
      <c r="G3193" s="28"/>
      <c r="H3193" s="28">
        <v>255245729</v>
      </c>
      <c r="I3193" s="28">
        <v>1278333</v>
      </c>
      <c r="J3193" s="28">
        <v>1.99</v>
      </c>
      <c r="K3193" s="28">
        <v>62</v>
      </c>
      <c r="L3193" s="28">
        <v>0</v>
      </c>
    </row>
    <row r="3194" spans="1:12" ht="14.25" customHeight="1" x14ac:dyDescent="0.2">
      <c r="A3194" s="28">
        <v>3193</v>
      </c>
      <c r="B3194" s="28" t="s">
        <v>4228</v>
      </c>
      <c r="C3194" s="28" t="s">
        <v>4213</v>
      </c>
      <c r="D3194" s="28" t="s">
        <v>4206</v>
      </c>
      <c r="E3194" s="28" t="s">
        <v>3790</v>
      </c>
      <c r="F3194" s="28" t="s">
        <v>3794</v>
      </c>
      <c r="G3194" s="28"/>
      <c r="H3194" s="28">
        <v>253552710</v>
      </c>
      <c r="I3194" s="28">
        <v>1270375</v>
      </c>
      <c r="J3194" s="28">
        <v>1.99</v>
      </c>
      <c r="K3194" s="28">
        <v>38</v>
      </c>
      <c r="L3194" s="28">
        <v>0</v>
      </c>
    </row>
    <row r="3195" spans="1:12" ht="14.25" customHeight="1" x14ac:dyDescent="0.2">
      <c r="A3195" s="28">
        <v>3194</v>
      </c>
      <c r="B3195" s="28" t="s">
        <v>4229</v>
      </c>
      <c r="C3195" s="28" t="s">
        <v>4213</v>
      </c>
      <c r="D3195" s="28" t="s">
        <v>4206</v>
      </c>
      <c r="E3195" s="28" t="s">
        <v>3790</v>
      </c>
      <c r="F3195" s="28" t="s">
        <v>3794</v>
      </c>
      <c r="G3195" s="28"/>
      <c r="H3195" s="28">
        <v>255001728</v>
      </c>
      <c r="I3195" s="28">
        <v>1278041</v>
      </c>
      <c r="J3195" s="28">
        <v>1.99</v>
      </c>
      <c r="K3195" s="28">
        <v>33</v>
      </c>
      <c r="L3195" s="28">
        <v>0</v>
      </c>
    </row>
    <row r="3196" spans="1:12" ht="14.25" customHeight="1" x14ac:dyDescent="0.2">
      <c r="A3196" s="28">
        <v>3195</v>
      </c>
      <c r="B3196" s="28" t="s">
        <v>4230</v>
      </c>
      <c r="C3196" s="28" t="s">
        <v>4213</v>
      </c>
      <c r="D3196" s="28" t="s">
        <v>4206</v>
      </c>
      <c r="E3196" s="28" t="s">
        <v>3790</v>
      </c>
      <c r="F3196" s="28" t="s">
        <v>3794</v>
      </c>
      <c r="G3196" s="28"/>
      <c r="H3196" s="28">
        <v>253451012</v>
      </c>
      <c r="I3196" s="28">
        <v>1268333</v>
      </c>
      <c r="J3196" s="28">
        <v>1.99</v>
      </c>
      <c r="K3196" s="28">
        <v>27</v>
      </c>
      <c r="L3196" s="28">
        <v>0</v>
      </c>
    </row>
    <row r="3197" spans="1:12" ht="14.25" customHeight="1" x14ac:dyDescent="0.2">
      <c r="A3197" s="28">
        <v>3196</v>
      </c>
      <c r="B3197" s="28" t="s">
        <v>4231</v>
      </c>
      <c r="C3197" s="28" t="s">
        <v>4213</v>
      </c>
      <c r="D3197" s="28" t="s">
        <v>4206</v>
      </c>
      <c r="E3197" s="28" t="s">
        <v>3790</v>
      </c>
      <c r="F3197" s="28" t="s">
        <v>3794</v>
      </c>
      <c r="G3197" s="28"/>
      <c r="H3197" s="28">
        <v>247238398</v>
      </c>
      <c r="I3197" s="28">
        <v>1237791</v>
      </c>
      <c r="J3197" s="28">
        <v>1.99</v>
      </c>
      <c r="K3197" s="28">
        <v>47</v>
      </c>
      <c r="L3197" s="28">
        <v>1</v>
      </c>
    </row>
    <row r="3198" spans="1:12" ht="14.25" customHeight="1" x14ac:dyDescent="0.2">
      <c r="A3198" s="28">
        <v>3197</v>
      </c>
      <c r="B3198" s="28" t="s">
        <v>4232</v>
      </c>
      <c r="C3198" s="28" t="s">
        <v>4213</v>
      </c>
      <c r="D3198" s="28" t="s">
        <v>4206</v>
      </c>
      <c r="E3198" s="28" t="s">
        <v>3790</v>
      </c>
      <c r="F3198" s="28" t="s">
        <v>3794</v>
      </c>
      <c r="G3198" s="28"/>
      <c r="H3198" s="28">
        <v>244626927</v>
      </c>
      <c r="I3198" s="28">
        <v>1278625</v>
      </c>
      <c r="J3198" s="28">
        <v>1.99</v>
      </c>
      <c r="K3198" s="28">
        <v>54</v>
      </c>
      <c r="L3198" s="28">
        <v>0</v>
      </c>
    </row>
    <row r="3199" spans="1:12" ht="14.25" customHeight="1" x14ac:dyDescent="0.2">
      <c r="A3199" s="28">
        <v>3198</v>
      </c>
      <c r="B3199" s="28" t="s">
        <v>4233</v>
      </c>
      <c r="C3199" s="28" t="s">
        <v>4213</v>
      </c>
      <c r="D3199" s="28" t="s">
        <v>4206</v>
      </c>
      <c r="E3199" s="28" t="s">
        <v>3790</v>
      </c>
      <c r="F3199" s="28" t="s">
        <v>3794</v>
      </c>
      <c r="G3199" s="28"/>
      <c r="H3199" s="28">
        <v>253808658</v>
      </c>
      <c r="I3199" s="28">
        <v>1274583</v>
      </c>
      <c r="J3199" s="28">
        <v>1.99</v>
      </c>
      <c r="K3199" s="28">
        <v>69</v>
      </c>
      <c r="L3199" s="28">
        <v>0</v>
      </c>
    </row>
    <row r="3200" spans="1:12" ht="14.25" customHeight="1" x14ac:dyDescent="0.2">
      <c r="A3200" s="28">
        <v>3199</v>
      </c>
      <c r="B3200" s="28" t="s">
        <v>4234</v>
      </c>
      <c r="C3200" s="28" t="s">
        <v>4213</v>
      </c>
      <c r="D3200" s="28" t="s">
        <v>4206</v>
      </c>
      <c r="E3200" s="28" t="s">
        <v>3790</v>
      </c>
      <c r="F3200" s="28" t="s">
        <v>3794</v>
      </c>
      <c r="G3200" s="28"/>
      <c r="H3200" s="28">
        <v>327642458</v>
      </c>
      <c r="I3200" s="28">
        <v>1712791</v>
      </c>
      <c r="J3200" s="28">
        <v>1.99</v>
      </c>
      <c r="K3200" s="28">
        <v>84</v>
      </c>
      <c r="L3200" s="28">
        <v>0</v>
      </c>
    </row>
    <row r="3201" spans="1:12" ht="14.25" customHeight="1" x14ac:dyDescent="0.2">
      <c r="A3201" s="28">
        <v>3200</v>
      </c>
      <c r="B3201" s="28" t="s">
        <v>4235</v>
      </c>
      <c r="C3201" s="28" t="s">
        <v>4236</v>
      </c>
      <c r="D3201" s="28" t="s">
        <v>4206</v>
      </c>
      <c r="E3201" s="28" t="s">
        <v>3790</v>
      </c>
      <c r="F3201" s="28" t="s">
        <v>3794</v>
      </c>
      <c r="G3201" s="28"/>
      <c r="H3201" s="28">
        <v>276942637</v>
      </c>
      <c r="I3201" s="28">
        <v>1326534</v>
      </c>
      <c r="J3201" s="28">
        <v>1.99</v>
      </c>
      <c r="K3201" s="28">
        <v>35</v>
      </c>
      <c r="L3201" s="28">
        <v>2</v>
      </c>
    </row>
    <row r="3202" spans="1:12" ht="14.25" customHeight="1" x14ac:dyDescent="0.2">
      <c r="A3202" s="28">
        <v>3201</v>
      </c>
      <c r="B3202" s="28" t="s">
        <v>4237</v>
      </c>
      <c r="C3202" s="28" t="s">
        <v>4236</v>
      </c>
      <c r="D3202" s="28" t="s">
        <v>4206</v>
      </c>
      <c r="E3202" s="28" t="s">
        <v>3790</v>
      </c>
      <c r="F3202" s="28" t="s">
        <v>3794</v>
      </c>
      <c r="G3202" s="28"/>
      <c r="H3202" s="28">
        <v>255117055</v>
      </c>
      <c r="I3202" s="28">
        <v>1297213</v>
      </c>
      <c r="J3202" s="28">
        <v>1.99</v>
      </c>
      <c r="K3202" s="28">
        <v>26</v>
      </c>
      <c r="L3202" s="28">
        <v>1</v>
      </c>
    </row>
    <row r="3203" spans="1:12" ht="14.25" customHeight="1" x14ac:dyDescent="0.2">
      <c r="A3203" s="28">
        <v>3202</v>
      </c>
      <c r="B3203" s="28" t="s">
        <v>4238</v>
      </c>
      <c r="C3203" s="28" t="s">
        <v>4236</v>
      </c>
      <c r="D3203" s="28" t="s">
        <v>4206</v>
      </c>
      <c r="E3203" s="28" t="s">
        <v>3790</v>
      </c>
      <c r="F3203" s="28" t="s">
        <v>3794</v>
      </c>
      <c r="G3203" s="28"/>
      <c r="H3203" s="28">
        <v>267205501</v>
      </c>
      <c r="I3203" s="28">
        <v>1276526</v>
      </c>
      <c r="J3203" s="28">
        <v>1.99</v>
      </c>
      <c r="K3203" s="28">
        <v>19</v>
      </c>
      <c r="L3203" s="28">
        <v>1</v>
      </c>
    </row>
    <row r="3204" spans="1:12" ht="14.25" customHeight="1" x14ac:dyDescent="0.2">
      <c r="A3204" s="28">
        <v>3203</v>
      </c>
      <c r="B3204" s="28" t="s">
        <v>4239</v>
      </c>
      <c r="C3204" s="28" t="s">
        <v>4236</v>
      </c>
      <c r="D3204" s="28" t="s">
        <v>4206</v>
      </c>
      <c r="E3204" s="28" t="s">
        <v>3790</v>
      </c>
      <c r="F3204" s="28" t="s">
        <v>3794</v>
      </c>
      <c r="G3204" s="28"/>
      <c r="H3204" s="28">
        <v>256912833</v>
      </c>
      <c r="I3204" s="28">
        <v>1282615</v>
      </c>
      <c r="J3204" s="28">
        <v>1.99</v>
      </c>
      <c r="K3204" s="28">
        <v>88</v>
      </c>
      <c r="L3204" s="28">
        <v>0</v>
      </c>
    </row>
    <row r="3205" spans="1:12" ht="14.25" customHeight="1" x14ac:dyDescent="0.2">
      <c r="A3205" s="28">
        <v>3204</v>
      </c>
      <c r="B3205" s="28" t="s">
        <v>4240</v>
      </c>
      <c r="C3205" s="28" t="s">
        <v>4236</v>
      </c>
      <c r="D3205" s="28" t="s">
        <v>4206</v>
      </c>
      <c r="E3205" s="28" t="s">
        <v>3790</v>
      </c>
      <c r="F3205" s="28" t="s">
        <v>3794</v>
      </c>
      <c r="G3205" s="28"/>
      <c r="H3205" s="28">
        <v>251728257</v>
      </c>
      <c r="I3205" s="28">
        <v>1280113</v>
      </c>
      <c r="J3205" s="28">
        <v>1.99</v>
      </c>
      <c r="K3205" s="28">
        <v>0</v>
      </c>
      <c r="L3205" s="28">
        <v>1</v>
      </c>
    </row>
    <row r="3206" spans="1:12" ht="14.25" customHeight="1" x14ac:dyDescent="0.2">
      <c r="A3206" s="28">
        <v>3205</v>
      </c>
      <c r="B3206" s="28" t="s">
        <v>4241</v>
      </c>
      <c r="C3206" s="28" t="s">
        <v>4236</v>
      </c>
      <c r="D3206" s="28" t="s">
        <v>4206</v>
      </c>
      <c r="E3206" s="28" t="s">
        <v>3790</v>
      </c>
      <c r="F3206" s="28" t="s">
        <v>3794</v>
      </c>
      <c r="G3206" s="28"/>
      <c r="H3206" s="28">
        <v>252726644</v>
      </c>
      <c r="I3206" s="28">
        <v>1279904</v>
      </c>
      <c r="J3206" s="28">
        <v>1.99</v>
      </c>
      <c r="K3206" s="28">
        <v>22</v>
      </c>
      <c r="L3206" s="28">
        <v>1</v>
      </c>
    </row>
    <row r="3207" spans="1:12" ht="14.25" customHeight="1" x14ac:dyDescent="0.2">
      <c r="A3207" s="28">
        <v>3206</v>
      </c>
      <c r="B3207" s="28" t="s">
        <v>4242</v>
      </c>
      <c r="C3207" s="28" t="s">
        <v>4236</v>
      </c>
      <c r="D3207" s="28" t="s">
        <v>4206</v>
      </c>
      <c r="E3207" s="28" t="s">
        <v>3790</v>
      </c>
      <c r="F3207" s="28" t="s">
        <v>3794</v>
      </c>
      <c r="G3207" s="28"/>
      <c r="H3207" s="28">
        <v>358761786</v>
      </c>
      <c r="I3207" s="28">
        <v>1822781</v>
      </c>
      <c r="J3207" s="28">
        <v>1.99</v>
      </c>
      <c r="K3207" s="28">
        <v>28</v>
      </c>
      <c r="L3207" s="28">
        <v>1</v>
      </c>
    </row>
    <row r="3208" spans="1:12" ht="14.25" customHeight="1" x14ac:dyDescent="0.2">
      <c r="A3208" s="28">
        <v>3207</v>
      </c>
      <c r="B3208" s="28" t="s">
        <v>4243</v>
      </c>
      <c r="C3208" s="28" t="s">
        <v>4236</v>
      </c>
      <c r="D3208" s="28" t="s">
        <v>4206</v>
      </c>
      <c r="E3208" s="28" t="s">
        <v>3790</v>
      </c>
      <c r="F3208" s="28" t="s">
        <v>3794</v>
      </c>
      <c r="G3208" s="28"/>
      <c r="H3208" s="28">
        <v>345960631</v>
      </c>
      <c r="I3208" s="28">
        <v>1801926</v>
      </c>
      <c r="J3208" s="28">
        <v>1.99</v>
      </c>
      <c r="K3208" s="28">
        <v>90</v>
      </c>
      <c r="L3208" s="28">
        <v>0</v>
      </c>
    </row>
    <row r="3209" spans="1:12" ht="14.25" customHeight="1" x14ac:dyDescent="0.2">
      <c r="A3209" s="28">
        <v>3208</v>
      </c>
      <c r="B3209" s="28" t="s">
        <v>4244</v>
      </c>
      <c r="C3209" s="28" t="s">
        <v>4236</v>
      </c>
      <c r="D3209" s="28" t="s">
        <v>4206</v>
      </c>
      <c r="E3209" s="28" t="s">
        <v>3790</v>
      </c>
      <c r="F3209" s="28" t="s">
        <v>4245</v>
      </c>
      <c r="G3209" s="28"/>
      <c r="H3209" s="28">
        <v>248863427</v>
      </c>
      <c r="I3209" s="28">
        <v>1273064</v>
      </c>
      <c r="J3209" s="28">
        <v>1.99</v>
      </c>
      <c r="K3209" s="28">
        <v>75</v>
      </c>
      <c r="L3209" s="28">
        <v>1</v>
      </c>
    </row>
    <row r="3210" spans="1:12" ht="14.25" customHeight="1" x14ac:dyDescent="0.2">
      <c r="A3210" s="28">
        <v>3209</v>
      </c>
      <c r="B3210" s="28" t="s">
        <v>4246</v>
      </c>
      <c r="C3210" s="28" t="s">
        <v>4236</v>
      </c>
      <c r="D3210" s="28" t="s">
        <v>4206</v>
      </c>
      <c r="E3210" s="28" t="s">
        <v>3790</v>
      </c>
      <c r="F3210" s="28" t="s">
        <v>4245</v>
      </c>
      <c r="G3210" s="28"/>
      <c r="H3210" s="28">
        <v>515301752</v>
      </c>
      <c r="I3210" s="28">
        <v>2519436</v>
      </c>
      <c r="J3210" s="28">
        <v>1.99</v>
      </c>
      <c r="K3210" s="28">
        <v>4</v>
      </c>
      <c r="L3210" s="28">
        <v>1</v>
      </c>
    </row>
    <row r="3211" spans="1:12" ht="14.25" customHeight="1" x14ac:dyDescent="0.2">
      <c r="A3211" s="28">
        <v>3210</v>
      </c>
      <c r="B3211" s="28" t="s">
        <v>4247</v>
      </c>
      <c r="C3211" s="28" t="s">
        <v>4236</v>
      </c>
      <c r="D3211" s="28" t="s">
        <v>4206</v>
      </c>
      <c r="E3211" s="28" t="s">
        <v>3790</v>
      </c>
      <c r="F3211" s="28" t="s">
        <v>4245</v>
      </c>
      <c r="G3211" s="28"/>
      <c r="H3211" s="28">
        <v>245378749</v>
      </c>
      <c r="I3211" s="28">
        <v>1271688</v>
      </c>
      <c r="J3211" s="28">
        <v>1.99</v>
      </c>
      <c r="K3211" s="28">
        <v>94</v>
      </c>
      <c r="L3211" s="28">
        <v>1</v>
      </c>
    </row>
    <row r="3212" spans="1:12" ht="14.25" customHeight="1" x14ac:dyDescent="0.2">
      <c r="A3212" s="28">
        <v>3211</v>
      </c>
      <c r="B3212" s="28" t="s">
        <v>4248</v>
      </c>
      <c r="C3212" s="28" t="s">
        <v>4236</v>
      </c>
      <c r="D3212" s="28" t="s">
        <v>4206</v>
      </c>
      <c r="E3212" s="28" t="s">
        <v>3790</v>
      </c>
      <c r="F3212" s="28" t="s">
        <v>4245</v>
      </c>
      <c r="G3212" s="28"/>
      <c r="H3212" s="28">
        <v>250822697</v>
      </c>
      <c r="I3212" s="28">
        <v>1289039</v>
      </c>
      <c r="J3212" s="28">
        <v>1.99</v>
      </c>
      <c r="K3212" s="28">
        <v>38</v>
      </c>
      <c r="L3212" s="28">
        <v>0</v>
      </c>
    </row>
    <row r="3213" spans="1:12" ht="14.25" customHeight="1" x14ac:dyDescent="0.2">
      <c r="A3213" s="28">
        <v>3212</v>
      </c>
      <c r="B3213" s="28" t="s">
        <v>4249</v>
      </c>
      <c r="C3213" s="28" t="s">
        <v>4236</v>
      </c>
      <c r="D3213" s="28" t="s">
        <v>4206</v>
      </c>
      <c r="E3213" s="28" t="s">
        <v>3790</v>
      </c>
      <c r="F3213" s="28" t="s">
        <v>4245</v>
      </c>
      <c r="G3213" s="28"/>
      <c r="H3213" s="28">
        <v>337219980</v>
      </c>
      <c r="I3213" s="28">
        <v>1700241</v>
      </c>
      <c r="J3213" s="28">
        <v>1.99</v>
      </c>
      <c r="K3213" s="28">
        <v>69</v>
      </c>
      <c r="L3213" s="28">
        <v>1</v>
      </c>
    </row>
    <row r="3214" spans="1:12" ht="14.25" customHeight="1" x14ac:dyDescent="0.2">
      <c r="A3214" s="28">
        <v>3213</v>
      </c>
      <c r="B3214" s="28" t="s">
        <v>4250</v>
      </c>
      <c r="C3214" s="28" t="s">
        <v>4236</v>
      </c>
      <c r="D3214" s="28" t="s">
        <v>4206</v>
      </c>
      <c r="E3214" s="28" t="s">
        <v>3790</v>
      </c>
      <c r="F3214" s="28" t="s">
        <v>4245</v>
      </c>
      <c r="G3214" s="28"/>
      <c r="H3214" s="28">
        <v>264168080</v>
      </c>
      <c r="I3214" s="28">
        <v>1271938</v>
      </c>
      <c r="J3214" s="28">
        <v>1.99</v>
      </c>
      <c r="K3214" s="28">
        <v>58</v>
      </c>
      <c r="L3214" s="28">
        <v>0</v>
      </c>
    </row>
    <row r="3215" spans="1:12" ht="14.25" customHeight="1" x14ac:dyDescent="0.2">
      <c r="A3215" s="28">
        <v>3214</v>
      </c>
      <c r="B3215" s="28" t="s">
        <v>4251</v>
      </c>
      <c r="C3215" s="28" t="s">
        <v>4236</v>
      </c>
      <c r="D3215" s="28" t="s">
        <v>4206</v>
      </c>
      <c r="E3215" s="28" t="s">
        <v>3790</v>
      </c>
      <c r="F3215" s="28" t="s">
        <v>4245</v>
      </c>
      <c r="G3215" s="28"/>
      <c r="H3215" s="28">
        <v>258561054</v>
      </c>
      <c r="I3215" s="28">
        <v>1271521</v>
      </c>
      <c r="J3215" s="28">
        <v>1.99</v>
      </c>
      <c r="K3215" s="28">
        <v>48</v>
      </c>
      <c r="L3215" s="28">
        <v>2</v>
      </c>
    </row>
    <row r="3216" spans="1:12" ht="14.25" customHeight="1" x14ac:dyDescent="0.2">
      <c r="A3216" s="28">
        <v>3215</v>
      </c>
      <c r="B3216" s="28" t="s">
        <v>4252</v>
      </c>
      <c r="C3216" s="28" t="s">
        <v>4236</v>
      </c>
      <c r="D3216" s="28" t="s">
        <v>4206</v>
      </c>
      <c r="E3216" s="28" t="s">
        <v>3790</v>
      </c>
      <c r="F3216" s="28" t="s">
        <v>4245</v>
      </c>
      <c r="G3216" s="28"/>
      <c r="H3216" s="28">
        <v>254402605</v>
      </c>
      <c r="I3216" s="28">
        <v>1302093</v>
      </c>
      <c r="J3216" s="28">
        <v>1.99</v>
      </c>
      <c r="K3216" s="28">
        <v>97</v>
      </c>
      <c r="L3216" s="28">
        <v>0</v>
      </c>
    </row>
    <row r="3217" spans="1:12" ht="14.25" customHeight="1" x14ac:dyDescent="0.2">
      <c r="A3217" s="28">
        <v>3216</v>
      </c>
      <c r="B3217" s="28" t="s">
        <v>4253</v>
      </c>
      <c r="C3217" s="28" t="s">
        <v>4236</v>
      </c>
      <c r="D3217" s="28" t="s">
        <v>4206</v>
      </c>
      <c r="E3217" s="28" t="s">
        <v>3790</v>
      </c>
      <c r="F3217" s="28" t="s">
        <v>4245</v>
      </c>
      <c r="G3217" s="28"/>
      <c r="H3217" s="28">
        <v>259011909</v>
      </c>
      <c r="I3217" s="28">
        <v>1272522</v>
      </c>
      <c r="J3217" s="28">
        <v>1.99</v>
      </c>
      <c r="K3217" s="28">
        <v>22</v>
      </c>
      <c r="L3217" s="28">
        <v>0</v>
      </c>
    </row>
    <row r="3218" spans="1:12" ht="14.25" customHeight="1" x14ac:dyDescent="0.2">
      <c r="A3218" s="28">
        <v>3217</v>
      </c>
      <c r="B3218" s="28" t="s">
        <v>4254</v>
      </c>
      <c r="C3218" s="28" t="s">
        <v>4236</v>
      </c>
      <c r="D3218" s="28" t="s">
        <v>4206</v>
      </c>
      <c r="E3218" s="28" t="s">
        <v>3790</v>
      </c>
      <c r="F3218" s="28" t="s">
        <v>4245</v>
      </c>
      <c r="G3218" s="28"/>
      <c r="H3218" s="28">
        <v>371663719</v>
      </c>
      <c r="I3218" s="28">
        <v>1767851</v>
      </c>
      <c r="J3218" s="28">
        <v>1.99</v>
      </c>
      <c r="K3218" s="28">
        <v>90</v>
      </c>
      <c r="L3218" s="28">
        <v>0</v>
      </c>
    </row>
    <row r="3219" spans="1:12" ht="14.25" customHeight="1" x14ac:dyDescent="0.2">
      <c r="A3219" s="28">
        <v>3218</v>
      </c>
      <c r="B3219" s="28" t="s">
        <v>4255</v>
      </c>
      <c r="C3219" s="28" t="s">
        <v>4236</v>
      </c>
      <c r="D3219" s="28" t="s">
        <v>4206</v>
      </c>
      <c r="E3219" s="28" t="s">
        <v>3790</v>
      </c>
      <c r="F3219" s="28" t="s">
        <v>4245</v>
      </c>
      <c r="G3219" s="28"/>
      <c r="H3219" s="28">
        <v>253054534</v>
      </c>
      <c r="I3219" s="28">
        <v>1271229</v>
      </c>
      <c r="J3219" s="28">
        <v>1.99</v>
      </c>
      <c r="K3219" s="28">
        <v>35</v>
      </c>
      <c r="L3219" s="28">
        <v>1</v>
      </c>
    </row>
    <row r="3220" spans="1:12" ht="14.25" customHeight="1" x14ac:dyDescent="0.2">
      <c r="A3220" s="28">
        <v>3219</v>
      </c>
      <c r="B3220" s="28" t="s">
        <v>4256</v>
      </c>
      <c r="C3220" s="28" t="s">
        <v>4236</v>
      </c>
      <c r="D3220" s="28" t="s">
        <v>4206</v>
      </c>
      <c r="E3220" s="28" t="s">
        <v>3790</v>
      </c>
      <c r="F3220" s="28" t="s">
        <v>4245</v>
      </c>
      <c r="G3220" s="28"/>
      <c r="H3220" s="28">
        <v>251208610</v>
      </c>
      <c r="I3220" s="28">
        <v>1268268</v>
      </c>
      <c r="J3220" s="28">
        <v>1.99</v>
      </c>
      <c r="K3220" s="28">
        <v>55</v>
      </c>
      <c r="L3220" s="28">
        <v>0</v>
      </c>
    </row>
    <row r="3221" spans="1:12" ht="14.25" customHeight="1" x14ac:dyDescent="0.2">
      <c r="A3221" s="28">
        <v>3220</v>
      </c>
      <c r="B3221" s="28" t="s">
        <v>4257</v>
      </c>
      <c r="C3221" s="28" t="s">
        <v>4236</v>
      </c>
      <c r="D3221" s="28" t="s">
        <v>4206</v>
      </c>
      <c r="E3221" s="28" t="s">
        <v>3790</v>
      </c>
      <c r="F3221" s="28" t="s">
        <v>4245</v>
      </c>
      <c r="G3221" s="28"/>
      <c r="H3221" s="28">
        <v>338778844</v>
      </c>
      <c r="I3221" s="28">
        <v>1732649</v>
      </c>
      <c r="J3221" s="28">
        <v>1.99</v>
      </c>
      <c r="K3221" s="28">
        <v>52</v>
      </c>
      <c r="L3221" s="28">
        <v>0</v>
      </c>
    </row>
    <row r="3222" spans="1:12" ht="14.25" customHeight="1" x14ac:dyDescent="0.2">
      <c r="A3222" s="28">
        <v>3221</v>
      </c>
      <c r="B3222" s="28" t="s">
        <v>4258</v>
      </c>
      <c r="C3222" s="28" t="s">
        <v>4236</v>
      </c>
      <c r="D3222" s="28" t="s">
        <v>4206</v>
      </c>
      <c r="E3222" s="28" t="s">
        <v>3790</v>
      </c>
      <c r="F3222" s="28" t="s">
        <v>4245</v>
      </c>
      <c r="G3222" s="28"/>
      <c r="H3222" s="28">
        <v>333671149</v>
      </c>
      <c r="I3222" s="28">
        <v>1676134</v>
      </c>
      <c r="J3222" s="28">
        <v>1.99</v>
      </c>
      <c r="K3222" s="28">
        <v>53</v>
      </c>
      <c r="L3222" s="28">
        <v>0</v>
      </c>
    </row>
    <row r="3223" spans="1:12" ht="14.25" customHeight="1" x14ac:dyDescent="0.2">
      <c r="A3223" s="28">
        <v>3222</v>
      </c>
      <c r="B3223" s="28" t="s">
        <v>4259</v>
      </c>
      <c r="C3223" s="28" t="s">
        <v>4236</v>
      </c>
      <c r="D3223" s="28" t="s">
        <v>4206</v>
      </c>
      <c r="E3223" s="28" t="s">
        <v>3790</v>
      </c>
      <c r="F3223" s="28" t="s">
        <v>4245</v>
      </c>
      <c r="G3223" s="28"/>
      <c r="H3223" s="28">
        <v>501060138</v>
      </c>
      <c r="I3223" s="28">
        <v>2541875</v>
      </c>
      <c r="J3223" s="28">
        <v>1.99</v>
      </c>
      <c r="K3223" s="28">
        <v>95</v>
      </c>
      <c r="L3223" s="28">
        <v>1</v>
      </c>
    </row>
    <row r="3224" spans="1:12" ht="14.25" customHeight="1" x14ac:dyDescent="0.2">
      <c r="A3224" s="28">
        <v>3223</v>
      </c>
      <c r="B3224" s="28" t="s">
        <v>4260</v>
      </c>
      <c r="C3224" s="28" t="s">
        <v>3815</v>
      </c>
      <c r="D3224" s="28" t="s">
        <v>3816</v>
      </c>
      <c r="E3224" s="28" t="s">
        <v>3790</v>
      </c>
      <c r="F3224" s="28" t="s">
        <v>3817</v>
      </c>
      <c r="G3224" s="28"/>
      <c r="H3224" s="28">
        <v>487881159</v>
      </c>
      <c r="I3224" s="28">
        <v>2687103</v>
      </c>
      <c r="J3224" s="28">
        <v>1.99</v>
      </c>
      <c r="K3224" s="28">
        <v>94</v>
      </c>
      <c r="L3224" s="28">
        <v>2</v>
      </c>
    </row>
    <row r="3225" spans="1:12" ht="14.25" customHeight="1" x14ac:dyDescent="0.2">
      <c r="A3225" s="28">
        <v>3224</v>
      </c>
      <c r="B3225" s="28" t="s">
        <v>4261</v>
      </c>
      <c r="C3225" s="28" t="s">
        <v>3833</v>
      </c>
      <c r="D3225" s="28" t="s">
        <v>3834</v>
      </c>
      <c r="E3225" s="28" t="s">
        <v>3790</v>
      </c>
      <c r="F3225" s="28" t="s">
        <v>3817</v>
      </c>
      <c r="G3225" s="28"/>
      <c r="H3225" s="28">
        <v>1059546140</v>
      </c>
      <c r="I3225" s="28">
        <v>5088838</v>
      </c>
      <c r="J3225" s="28">
        <v>1.99</v>
      </c>
      <c r="K3225" s="28">
        <v>48</v>
      </c>
      <c r="L3225" s="28">
        <v>1</v>
      </c>
    </row>
    <row r="3226" spans="1:12" ht="14.25" customHeight="1" x14ac:dyDescent="0.2">
      <c r="A3226" s="28">
        <v>3225</v>
      </c>
      <c r="B3226" s="28" t="s">
        <v>2310</v>
      </c>
      <c r="C3226" s="28" t="s">
        <v>4262</v>
      </c>
      <c r="D3226" s="28" t="s">
        <v>4263</v>
      </c>
      <c r="E3226" s="28" t="s">
        <v>216</v>
      </c>
      <c r="F3226" s="28" t="s">
        <v>212</v>
      </c>
      <c r="G3226" s="28" t="s">
        <v>4264</v>
      </c>
      <c r="H3226" s="28">
        <v>5126563</v>
      </c>
      <c r="I3226" s="28">
        <v>310774</v>
      </c>
      <c r="J3226" s="28">
        <v>0.99</v>
      </c>
      <c r="K3226" s="28">
        <v>95</v>
      </c>
      <c r="L3226" s="28">
        <v>1</v>
      </c>
    </row>
    <row r="3227" spans="1:12" ht="14.25" customHeight="1" x14ac:dyDescent="0.2">
      <c r="A3227" s="28">
        <v>3226</v>
      </c>
      <c r="B3227" s="28" t="s">
        <v>4265</v>
      </c>
      <c r="C3227" s="28" t="s">
        <v>4266</v>
      </c>
      <c r="D3227" s="28" t="s">
        <v>4267</v>
      </c>
      <c r="E3227" s="28" t="s">
        <v>3790</v>
      </c>
      <c r="F3227" s="28" t="s">
        <v>3812</v>
      </c>
      <c r="G3227" s="28"/>
      <c r="H3227" s="28">
        <v>541359437</v>
      </c>
      <c r="I3227" s="28">
        <v>2952702</v>
      </c>
      <c r="J3227" s="28">
        <v>1.99</v>
      </c>
      <c r="K3227" s="28">
        <v>75</v>
      </c>
      <c r="L3227" s="28">
        <v>1</v>
      </c>
    </row>
    <row r="3228" spans="1:12" ht="14.25" customHeight="1" x14ac:dyDescent="0.2">
      <c r="A3228" s="28">
        <v>3227</v>
      </c>
      <c r="B3228" s="28" t="s">
        <v>4268</v>
      </c>
      <c r="C3228" s="28" t="s">
        <v>4266</v>
      </c>
      <c r="D3228" s="28" t="s">
        <v>4267</v>
      </c>
      <c r="E3228" s="28" t="s">
        <v>3790</v>
      </c>
      <c r="F3228" s="28" t="s">
        <v>3812</v>
      </c>
      <c r="G3228" s="28"/>
      <c r="H3228" s="28">
        <v>521387924</v>
      </c>
      <c r="I3228" s="28">
        <v>2956081</v>
      </c>
      <c r="J3228" s="28">
        <v>1.99</v>
      </c>
      <c r="K3228" s="28">
        <v>32</v>
      </c>
      <c r="L3228" s="28">
        <v>1</v>
      </c>
    </row>
    <row r="3229" spans="1:12" ht="14.25" customHeight="1" x14ac:dyDescent="0.2">
      <c r="A3229" s="28">
        <v>3228</v>
      </c>
      <c r="B3229" s="28" t="s">
        <v>4269</v>
      </c>
      <c r="C3229" s="28" t="s">
        <v>4266</v>
      </c>
      <c r="D3229" s="28" t="s">
        <v>4267</v>
      </c>
      <c r="E3229" s="28" t="s">
        <v>3790</v>
      </c>
      <c r="F3229" s="28" t="s">
        <v>3812</v>
      </c>
      <c r="G3229" s="28"/>
      <c r="H3229" s="28">
        <v>554509033</v>
      </c>
      <c r="I3229" s="28">
        <v>2927802</v>
      </c>
      <c r="J3229" s="28">
        <v>1.99</v>
      </c>
      <c r="K3229" s="28">
        <v>51</v>
      </c>
      <c r="L3229" s="28">
        <v>0</v>
      </c>
    </row>
    <row r="3230" spans="1:12" ht="14.25" customHeight="1" x14ac:dyDescent="0.2">
      <c r="A3230" s="28">
        <v>3229</v>
      </c>
      <c r="B3230" s="28" t="s">
        <v>4270</v>
      </c>
      <c r="C3230" s="28" t="s">
        <v>4266</v>
      </c>
      <c r="D3230" s="28" t="s">
        <v>4267</v>
      </c>
      <c r="E3230" s="28" t="s">
        <v>3790</v>
      </c>
      <c r="F3230" s="28" t="s">
        <v>3812</v>
      </c>
      <c r="G3230" s="28"/>
      <c r="H3230" s="28">
        <v>537812711</v>
      </c>
      <c r="I3230" s="28">
        <v>2922547</v>
      </c>
      <c r="J3230" s="28">
        <v>1.99</v>
      </c>
      <c r="K3230" s="28">
        <v>88</v>
      </c>
      <c r="L3230" s="28">
        <v>1</v>
      </c>
    </row>
    <row r="3231" spans="1:12" ht="14.25" customHeight="1" x14ac:dyDescent="0.2">
      <c r="A3231" s="28">
        <v>3230</v>
      </c>
      <c r="B3231" s="28" t="s">
        <v>4271</v>
      </c>
      <c r="C3231" s="28" t="s">
        <v>4266</v>
      </c>
      <c r="D3231" s="28" t="s">
        <v>4267</v>
      </c>
      <c r="E3231" s="28" t="s">
        <v>3790</v>
      </c>
      <c r="F3231" s="28" t="s">
        <v>3812</v>
      </c>
      <c r="G3231" s="28"/>
      <c r="H3231" s="28">
        <v>534343985</v>
      </c>
      <c r="I3231" s="28">
        <v>2914664</v>
      </c>
      <c r="J3231" s="28">
        <v>1.99</v>
      </c>
      <c r="K3231" s="28">
        <v>63</v>
      </c>
      <c r="L3231" s="28">
        <v>1</v>
      </c>
    </row>
    <row r="3232" spans="1:12" ht="14.25" customHeight="1" x14ac:dyDescent="0.2">
      <c r="A3232" s="28">
        <v>3231</v>
      </c>
      <c r="B3232" s="28" t="s">
        <v>4272</v>
      </c>
      <c r="C3232" s="28" t="s">
        <v>4266</v>
      </c>
      <c r="D3232" s="28" t="s">
        <v>4267</v>
      </c>
      <c r="E3232" s="28" t="s">
        <v>3790</v>
      </c>
      <c r="F3232" s="28" t="s">
        <v>3812</v>
      </c>
      <c r="G3232" s="28"/>
      <c r="H3232" s="28">
        <v>558872190</v>
      </c>
      <c r="I3232" s="28">
        <v>2920045</v>
      </c>
      <c r="J3232" s="28">
        <v>1.99</v>
      </c>
      <c r="K3232" s="28">
        <v>52</v>
      </c>
      <c r="L3232" s="28">
        <v>1</v>
      </c>
    </row>
    <row r="3233" spans="1:12" ht="14.25" customHeight="1" x14ac:dyDescent="0.2">
      <c r="A3233" s="28">
        <v>3232</v>
      </c>
      <c r="B3233" s="28" t="s">
        <v>4273</v>
      </c>
      <c r="C3233" s="28" t="s">
        <v>4266</v>
      </c>
      <c r="D3233" s="28" t="s">
        <v>4267</v>
      </c>
      <c r="E3233" s="28" t="s">
        <v>3790</v>
      </c>
      <c r="F3233" s="28" t="s">
        <v>3812</v>
      </c>
      <c r="G3233" s="28"/>
      <c r="H3233" s="28">
        <v>513122217</v>
      </c>
      <c r="I3233" s="28">
        <v>2925008</v>
      </c>
      <c r="J3233" s="28">
        <v>1.99</v>
      </c>
      <c r="K3233" s="28">
        <v>45</v>
      </c>
      <c r="L3233" s="28">
        <v>1</v>
      </c>
    </row>
    <row r="3234" spans="1:12" ht="14.25" customHeight="1" x14ac:dyDescent="0.2">
      <c r="A3234" s="28">
        <v>3233</v>
      </c>
      <c r="B3234" s="28" t="s">
        <v>4274</v>
      </c>
      <c r="C3234" s="28" t="s">
        <v>4266</v>
      </c>
      <c r="D3234" s="28" t="s">
        <v>4267</v>
      </c>
      <c r="E3234" s="28" t="s">
        <v>3790</v>
      </c>
      <c r="F3234" s="28" t="s">
        <v>3812</v>
      </c>
      <c r="G3234" s="28"/>
      <c r="H3234" s="28">
        <v>540980196</v>
      </c>
      <c r="I3234" s="28">
        <v>2907615</v>
      </c>
      <c r="J3234" s="28">
        <v>1.99</v>
      </c>
      <c r="K3234" s="28">
        <v>28</v>
      </c>
      <c r="L3234" s="28">
        <v>1</v>
      </c>
    </row>
    <row r="3235" spans="1:12" ht="14.25" customHeight="1" x14ac:dyDescent="0.2">
      <c r="A3235" s="28">
        <v>3234</v>
      </c>
      <c r="B3235" s="28" t="s">
        <v>4275</v>
      </c>
      <c r="C3235" s="28" t="s">
        <v>4266</v>
      </c>
      <c r="D3235" s="28" t="s">
        <v>4267</v>
      </c>
      <c r="E3235" s="28" t="s">
        <v>3790</v>
      </c>
      <c r="F3235" s="28" t="s">
        <v>3812</v>
      </c>
      <c r="G3235" s="28"/>
      <c r="H3235" s="28">
        <v>546542281</v>
      </c>
      <c r="I3235" s="28">
        <v>2924341</v>
      </c>
      <c r="J3235" s="28">
        <v>1.99</v>
      </c>
      <c r="K3235" s="28">
        <v>43</v>
      </c>
      <c r="L3235" s="28">
        <v>1</v>
      </c>
    </row>
    <row r="3236" spans="1:12" ht="14.25" customHeight="1" x14ac:dyDescent="0.2">
      <c r="A3236" s="28">
        <v>3235</v>
      </c>
      <c r="B3236" s="28" t="s">
        <v>4276</v>
      </c>
      <c r="C3236" s="28" t="s">
        <v>4266</v>
      </c>
      <c r="D3236" s="28" t="s">
        <v>4267</v>
      </c>
      <c r="E3236" s="28" t="s">
        <v>3790</v>
      </c>
      <c r="F3236" s="28" t="s">
        <v>3812</v>
      </c>
      <c r="G3236" s="28"/>
      <c r="H3236" s="28">
        <v>570152232</v>
      </c>
      <c r="I3236" s="28">
        <v>2924716</v>
      </c>
      <c r="J3236" s="28">
        <v>1.99</v>
      </c>
      <c r="K3236" s="28">
        <v>90</v>
      </c>
      <c r="L3236" s="28">
        <v>1</v>
      </c>
    </row>
    <row r="3237" spans="1:12" ht="14.25" customHeight="1" x14ac:dyDescent="0.2">
      <c r="A3237" s="28">
        <v>3236</v>
      </c>
      <c r="B3237" s="28" t="s">
        <v>4277</v>
      </c>
      <c r="C3237" s="28" t="s">
        <v>4266</v>
      </c>
      <c r="D3237" s="28" t="s">
        <v>4267</v>
      </c>
      <c r="E3237" s="28" t="s">
        <v>3790</v>
      </c>
      <c r="F3237" s="28" t="s">
        <v>3812</v>
      </c>
      <c r="G3237" s="28"/>
      <c r="H3237" s="28">
        <v>587051735</v>
      </c>
      <c r="I3237" s="28">
        <v>2863571</v>
      </c>
      <c r="J3237" s="28">
        <v>1.99</v>
      </c>
      <c r="K3237" s="28">
        <v>49</v>
      </c>
      <c r="L3237" s="28">
        <v>0</v>
      </c>
    </row>
    <row r="3238" spans="1:12" ht="14.25" customHeight="1" x14ac:dyDescent="0.2">
      <c r="A3238" s="28">
        <v>3237</v>
      </c>
      <c r="B3238" s="28" t="s">
        <v>4278</v>
      </c>
      <c r="C3238" s="28" t="s">
        <v>4266</v>
      </c>
      <c r="D3238" s="28" t="s">
        <v>4267</v>
      </c>
      <c r="E3238" s="28" t="s">
        <v>3790</v>
      </c>
      <c r="F3238" s="28" t="s">
        <v>3812</v>
      </c>
      <c r="G3238" s="28"/>
      <c r="H3238" s="28">
        <v>503641007</v>
      </c>
      <c r="I3238" s="28">
        <v>2924507</v>
      </c>
      <c r="J3238" s="28">
        <v>1.99</v>
      </c>
      <c r="K3238" s="28">
        <v>8</v>
      </c>
      <c r="L3238" s="28">
        <v>1</v>
      </c>
    </row>
    <row r="3239" spans="1:12" ht="14.25" customHeight="1" x14ac:dyDescent="0.2">
      <c r="A3239" s="28">
        <v>3238</v>
      </c>
      <c r="B3239" s="28" t="s">
        <v>4279</v>
      </c>
      <c r="C3239" s="28" t="s">
        <v>4266</v>
      </c>
      <c r="D3239" s="28" t="s">
        <v>4267</v>
      </c>
      <c r="E3239" s="28" t="s">
        <v>3790</v>
      </c>
      <c r="F3239" s="28" t="s">
        <v>3812</v>
      </c>
      <c r="G3239" s="28"/>
      <c r="H3239" s="28">
        <v>515632754</v>
      </c>
      <c r="I3239" s="28">
        <v>2923298</v>
      </c>
      <c r="J3239" s="28">
        <v>1.99</v>
      </c>
      <c r="K3239" s="28">
        <v>54</v>
      </c>
      <c r="L3239" s="28">
        <v>1</v>
      </c>
    </row>
    <row r="3240" spans="1:12" ht="14.25" customHeight="1" x14ac:dyDescent="0.2">
      <c r="A3240" s="28">
        <v>3239</v>
      </c>
      <c r="B3240" s="28" t="s">
        <v>4280</v>
      </c>
      <c r="C3240" s="28" t="s">
        <v>4266</v>
      </c>
      <c r="D3240" s="28" t="s">
        <v>4267</v>
      </c>
      <c r="E3240" s="28" t="s">
        <v>3790</v>
      </c>
      <c r="F3240" s="28" t="s">
        <v>3812</v>
      </c>
      <c r="G3240" s="28"/>
      <c r="H3240" s="28">
        <v>536784757</v>
      </c>
      <c r="I3240" s="28">
        <v>2926593</v>
      </c>
      <c r="J3240" s="28">
        <v>1.99</v>
      </c>
      <c r="K3240" s="28">
        <v>81</v>
      </c>
      <c r="L3240" s="28">
        <v>0</v>
      </c>
    </row>
    <row r="3241" spans="1:12" ht="14.25" customHeight="1" x14ac:dyDescent="0.2">
      <c r="A3241" s="28">
        <v>3240</v>
      </c>
      <c r="B3241" s="28" t="s">
        <v>4281</v>
      </c>
      <c r="C3241" s="28" t="s">
        <v>4266</v>
      </c>
      <c r="D3241" s="28" t="s">
        <v>4267</v>
      </c>
      <c r="E3241" s="28" t="s">
        <v>3790</v>
      </c>
      <c r="F3241" s="28" t="s">
        <v>3812</v>
      </c>
      <c r="G3241" s="28"/>
      <c r="H3241" s="28">
        <v>505761343</v>
      </c>
      <c r="I3241" s="28">
        <v>2922630</v>
      </c>
      <c r="J3241" s="28">
        <v>1.99</v>
      </c>
      <c r="K3241" s="28">
        <v>53</v>
      </c>
      <c r="L3241" s="28">
        <v>0</v>
      </c>
    </row>
    <row r="3242" spans="1:12" ht="14.25" customHeight="1" x14ac:dyDescent="0.2">
      <c r="A3242" s="28">
        <v>3241</v>
      </c>
      <c r="B3242" s="28" t="s">
        <v>4282</v>
      </c>
      <c r="C3242" s="28" t="s">
        <v>4266</v>
      </c>
      <c r="D3242" s="28" t="s">
        <v>4267</v>
      </c>
      <c r="E3242" s="28" t="s">
        <v>3790</v>
      </c>
      <c r="F3242" s="28" t="s">
        <v>3812</v>
      </c>
      <c r="G3242" s="28"/>
      <c r="H3242" s="28">
        <v>487899692</v>
      </c>
      <c r="I3242" s="28">
        <v>2923381</v>
      </c>
      <c r="J3242" s="28">
        <v>1.99</v>
      </c>
      <c r="K3242" s="28">
        <v>41</v>
      </c>
      <c r="L3242" s="28">
        <v>1</v>
      </c>
    </row>
    <row r="3243" spans="1:12" ht="14.25" customHeight="1" x14ac:dyDescent="0.2">
      <c r="A3243" s="28">
        <v>3242</v>
      </c>
      <c r="B3243" s="28" t="s">
        <v>4283</v>
      </c>
      <c r="C3243" s="28" t="s">
        <v>4266</v>
      </c>
      <c r="D3243" s="28" t="s">
        <v>4267</v>
      </c>
      <c r="E3243" s="28" t="s">
        <v>3790</v>
      </c>
      <c r="F3243" s="28" t="s">
        <v>3812</v>
      </c>
      <c r="G3243" s="28"/>
      <c r="H3243" s="28">
        <v>577829804</v>
      </c>
      <c r="I3243" s="28">
        <v>2956998</v>
      </c>
      <c r="J3243" s="28">
        <v>1.99</v>
      </c>
      <c r="K3243" s="28">
        <v>30</v>
      </c>
      <c r="L3243" s="28">
        <v>0</v>
      </c>
    </row>
    <row r="3244" spans="1:12" ht="14.25" customHeight="1" x14ac:dyDescent="0.2">
      <c r="A3244" s="28">
        <v>3243</v>
      </c>
      <c r="B3244" s="28" t="s">
        <v>4284</v>
      </c>
      <c r="C3244" s="28" t="s">
        <v>4266</v>
      </c>
      <c r="D3244" s="28" t="s">
        <v>4267</v>
      </c>
      <c r="E3244" s="28" t="s">
        <v>3790</v>
      </c>
      <c r="F3244" s="28" t="s">
        <v>3812</v>
      </c>
      <c r="G3244" s="28"/>
      <c r="H3244" s="28">
        <v>551759986</v>
      </c>
      <c r="I3244" s="28">
        <v>2935894</v>
      </c>
      <c r="J3244" s="28">
        <v>1.99</v>
      </c>
      <c r="K3244" s="28">
        <v>6</v>
      </c>
      <c r="L3244" s="28">
        <v>0</v>
      </c>
    </row>
    <row r="3245" spans="1:12" ht="14.25" customHeight="1" x14ac:dyDescent="0.2">
      <c r="A3245" s="28">
        <v>3244</v>
      </c>
      <c r="B3245" s="28" t="s">
        <v>4285</v>
      </c>
      <c r="C3245" s="28" t="s">
        <v>4266</v>
      </c>
      <c r="D3245" s="28" t="s">
        <v>4267</v>
      </c>
      <c r="E3245" s="28" t="s">
        <v>3790</v>
      </c>
      <c r="F3245" s="28" t="s">
        <v>3812</v>
      </c>
      <c r="G3245" s="28"/>
      <c r="H3245" s="28">
        <v>536824558</v>
      </c>
      <c r="I3245" s="28">
        <v>2960293</v>
      </c>
      <c r="J3245" s="28">
        <v>1.99</v>
      </c>
      <c r="K3245" s="28">
        <v>11</v>
      </c>
      <c r="L3245" s="28">
        <v>1</v>
      </c>
    </row>
    <row r="3246" spans="1:12" ht="14.25" customHeight="1" x14ac:dyDescent="0.2">
      <c r="A3246" s="28">
        <v>3245</v>
      </c>
      <c r="B3246" s="28" t="s">
        <v>4286</v>
      </c>
      <c r="C3246" s="28" t="s">
        <v>4266</v>
      </c>
      <c r="D3246" s="28" t="s">
        <v>4267</v>
      </c>
      <c r="E3246" s="28" t="s">
        <v>3790</v>
      </c>
      <c r="F3246" s="28" t="s">
        <v>3812</v>
      </c>
      <c r="G3246" s="28"/>
      <c r="H3246" s="28">
        <v>527842860</v>
      </c>
      <c r="I3246" s="28">
        <v>2903778</v>
      </c>
      <c r="J3246" s="28">
        <v>1.99</v>
      </c>
      <c r="K3246" s="28">
        <v>77</v>
      </c>
      <c r="L3246" s="28">
        <v>1</v>
      </c>
    </row>
    <row r="3247" spans="1:12" ht="14.25" customHeight="1" x14ac:dyDescent="0.2">
      <c r="A3247" s="28">
        <v>3246</v>
      </c>
      <c r="B3247" s="28" t="s">
        <v>4287</v>
      </c>
      <c r="C3247" s="28" t="s">
        <v>4266</v>
      </c>
      <c r="D3247" s="28" t="s">
        <v>4267</v>
      </c>
      <c r="E3247" s="28" t="s">
        <v>3790</v>
      </c>
      <c r="F3247" s="28" t="s">
        <v>3812</v>
      </c>
      <c r="G3247" s="28"/>
      <c r="H3247" s="28">
        <v>525564224</v>
      </c>
      <c r="I3247" s="28">
        <v>2922088</v>
      </c>
      <c r="J3247" s="28">
        <v>1.99</v>
      </c>
      <c r="K3247" s="28">
        <v>94</v>
      </c>
      <c r="L3247" s="28">
        <v>1</v>
      </c>
    </row>
    <row r="3248" spans="1:12" ht="14.25" customHeight="1" x14ac:dyDescent="0.2">
      <c r="A3248" s="28">
        <v>3247</v>
      </c>
      <c r="B3248" s="28" t="s">
        <v>4288</v>
      </c>
      <c r="C3248" s="28" t="s">
        <v>4266</v>
      </c>
      <c r="D3248" s="28" t="s">
        <v>4267</v>
      </c>
      <c r="E3248" s="28" t="s">
        <v>3790</v>
      </c>
      <c r="F3248" s="28" t="s">
        <v>3812</v>
      </c>
      <c r="G3248" s="28"/>
      <c r="H3248" s="28">
        <v>547982556</v>
      </c>
      <c r="I3248" s="28">
        <v>2923548</v>
      </c>
      <c r="J3248" s="28">
        <v>1.99</v>
      </c>
      <c r="K3248" s="28">
        <v>79</v>
      </c>
      <c r="L3248" s="28">
        <v>1</v>
      </c>
    </row>
    <row r="3249" spans="1:12" ht="14.25" customHeight="1" x14ac:dyDescent="0.2">
      <c r="A3249" s="28">
        <v>3248</v>
      </c>
      <c r="B3249" s="28" t="s">
        <v>4289</v>
      </c>
      <c r="C3249" s="28" t="s">
        <v>4266</v>
      </c>
      <c r="D3249" s="28" t="s">
        <v>4267</v>
      </c>
      <c r="E3249" s="28" t="s">
        <v>3790</v>
      </c>
      <c r="F3249" s="28" t="s">
        <v>3812</v>
      </c>
      <c r="G3249" s="28"/>
      <c r="H3249" s="28">
        <v>512381289</v>
      </c>
      <c r="I3249" s="28">
        <v>2927677</v>
      </c>
      <c r="J3249" s="28">
        <v>1.99</v>
      </c>
      <c r="K3249" s="28">
        <v>62</v>
      </c>
      <c r="L3249" s="28">
        <v>1</v>
      </c>
    </row>
    <row r="3250" spans="1:12" ht="14.25" customHeight="1" x14ac:dyDescent="0.2">
      <c r="A3250" s="28">
        <v>3249</v>
      </c>
      <c r="B3250" s="28" t="s">
        <v>4290</v>
      </c>
      <c r="C3250" s="28" t="s">
        <v>4266</v>
      </c>
      <c r="D3250" s="28" t="s">
        <v>4267</v>
      </c>
      <c r="E3250" s="28" t="s">
        <v>3790</v>
      </c>
      <c r="F3250" s="28" t="s">
        <v>3812</v>
      </c>
      <c r="G3250" s="28"/>
      <c r="H3250" s="28">
        <v>536583079</v>
      </c>
      <c r="I3250" s="28">
        <v>2924007</v>
      </c>
      <c r="J3250" s="28">
        <v>1.99</v>
      </c>
      <c r="K3250" s="28">
        <v>71</v>
      </c>
      <c r="L3250" s="28">
        <v>1</v>
      </c>
    </row>
    <row r="3251" spans="1:12" ht="14.25" customHeight="1" x14ac:dyDescent="0.2">
      <c r="A3251" s="28">
        <v>3250</v>
      </c>
      <c r="B3251" s="28" t="s">
        <v>4291</v>
      </c>
      <c r="C3251" s="28" t="s">
        <v>4292</v>
      </c>
      <c r="D3251" s="28" t="s">
        <v>4292</v>
      </c>
      <c r="E3251" s="28" t="s">
        <v>3790</v>
      </c>
      <c r="F3251" s="28" t="s">
        <v>3794</v>
      </c>
      <c r="G3251" s="28"/>
      <c r="H3251" s="28">
        <v>492670102</v>
      </c>
      <c r="I3251" s="28">
        <v>2484567</v>
      </c>
      <c r="J3251" s="28">
        <v>1.99</v>
      </c>
      <c r="K3251" s="28">
        <v>0</v>
      </c>
      <c r="L3251" s="28">
        <v>2</v>
      </c>
    </row>
    <row r="3252" spans="1:12" ht="14.25" customHeight="1" x14ac:dyDescent="0.2">
      <c r="A3252" s="28">
        <v>3251</v>
      </c>
      <c r="B3252" s="28" t="s">
        <v>4293</v>
      </c>
      <c r="C3252" s="28" t="s">
        <v>3833</v>
      </c>
      <c r="D3252" s="28" t="s">
        <v>3834</v>
      </c>
      <c r="E3252" s="28" t="s">
        <v>3790</v>
      </c>
      <c r="F3252" s="28" t="s">
        <v>3817</v>
      </c>
      <c r="G3252" s="28"/>
      <c r="H3252" s="28">
        <v>550943353</v>
      </c>
      <c r="I3252" s="28">
        <v>2617117</v>
      </c>
      <c r="J3252" s="28">
        <v>1.99</v>
      </c>
      <c r="K3252" s="28">
        <v>61</v>
      </c>
      <c r="L3252" s="28">
        <v>0</v>
      </c>
    </row>
    <row r="3253" spans="1:12" ht="14.25" customHeight="1" x14ac:dyDescent="0.2">
      <c r="A3253" s="28">
        <v>3252</v>
      </c>
      <c r="B3253" s="28" t="s">
        <v>4294</v>
      </c>
      <c r="C3253" s="28" t="s">
        <v>3833</v>
      </c>
      <c r="D3253" s="28" t="s">
        <v>3834</v>
      </c>
      <c r="E3253" s="28" t="s">
        <v>3790</v>
      </c>
      <c r="F3253" s="28" t="s">
        <v>3817</v>
      </c>
      <c r="G3253" s="28"/>
      <c r="H3253" s="28">
        <v>493211809</v>
      </c>
      <c r="I3253" s="28">
        <v>2610860</v>
      </c>
      <c r="J3253" s="28">
        <v>1.99</v>
      </c>
      <c r="K3253" s="28">
        <v>91</v>
      </c>
      <c r="L3253" s="28">
        <v>1</v>
      </c>
    </row>
    <row r="3254" spans="1:12" ht="14.25" customHeight="1" x14ac:dyDescent="0.2">
      <c r="A3254" s="28">
        <v>3253</v>
      </c>
      <c r="B3254" s="28" t="s">
        <v>4295</v>
      </c>
      <c r="C3254" s="28" t="s">
        <v>4296</v>
      </c>
      <c r="D3254" s="28" t="s">
        <v>3904</v>
      </c>
      <c r="E3254" s="28" t="s">
        <v>216</v>
      </c>
      <c r="F3254" s="28" t="s">
        <v>640</v>
      </c>
      <c r="G3254" s="28"/>
      <c r="H3254" s="28">
        <v>3150090</v>
      </c>
      <c r="I3254" s="28">
        <v>193188</v>
      </c>
      <c r="J3254" s="28">
        <v>0.99</v>
      </c>
      <c r="K3254" s="28">
        <v>29</v>
      </c>
      <c r="L3254" s="28">
        <v>1</v>
      </c>
    </row>
    <row r="3255" spans="1:12" ht="14.25" customHeight="1" x14ac:dyDescent="0.2">
      <c r="A3255" s="28">
        <v>3254</v>
      </c>
      <c r="B3255" s="28" t="s">
        <v>4297</v>
      </c>
      <c r="C3255" s="28" t="s">
        <v>4296</v>
      </c>
      <c r="D3255" s="28" t="s">
        <v>3904</v>
      </c>
      <c r="E3255" s="28" t="s">
        <v>216</v>
      </c>
      <c r="F3255" s="28" t="s">
        <v>640</v>
      </c>
      <c r="G3255" s="28"/>
      <c r="H3255" s="28">
        <v>4506425</v>
      </c>
      <c r="I3255" s="28">
        <v>278312</v>
      </c>
      <c r="J3255" s="28">
        <v>0.99</v>
      </c>
      <c r="K3255" s="28">
        <v>54</v>
      </c>
      <c r="L3255" s="28">
        <v>1</v>
      </c>
    </row>
    <row r="3256" spans="1:12" ht="14.25" customHeight="1" x14ac:dyDescent="0.2">
      <c r="A3256" s="28">
        <v>3255</v>
      </c>
      <c r="B3256" s="28" t="s">
        <v>4298</v>
      </c>
      <c r="C3256" s="28" t="s">
        <v>4296</v>
      </c>
      <c r="D3256" s="28" t="s">
        <v>3904</v>
      </c>
      <c r="E3256" s="28" t="s">
        <v>216</v>
      </c>
      <c r="F3256" s="28" t="s">
        <v>640</v>
      </c>
      <c r="G3256" s="28"/>
      <c r="H3256" s="28">
        <v>4656660</v>
      </c>
      <c r="I3256" s="28">
        <v>287740</v>
      </c>
      <c r="J3256" s="28">
        <v>0.99</v>
      </c>
      <c r="K3256" s="28">
        <v>11</v>
      </c>
      <c r="L3256" s="28">
        <v>0</v>
      </c>
    </row>
    <row r="3257" spans="1:12" ht="14.25" customHeight="1" x14ac:dyDescent="0.2">
      <c r="A3257" s="28">
        <v>3256</v>
      </c>
      <c r="B3257" s="28" t="s">
        <v>4299</v>
      </c>
      <c r="C3257" s="28" t="s">
        <v>4296</v>
      </c>
      <c r="D3257" s="28" t="s">
        <v>3904</v>
      </c>
      <c r="E3257" s="28" t="s">
        <v>216</v>
      </c>
      <c r="F3257" s="28" t="s">
        <v>640</v>
      </c>
      <c r="G3257" s="28"/>
      <c r="H3257" s="28">
        <v>4448025</v>
      </c>
      <c r="I3257" s="28">
        <v>274644</v>
      </c>
      <c r="J3257" s="28">
        <v>0.99</v>
      </c>
      <c r="K3257" s="28">
        <v>20</v>
      </c>
      <c r="L3257" s="28">
        <v>2</v>
      </c>
    </row>
    <row r="3258" spans="1:12" ht="14.25" customHeight="1" x14ac:dyDescent="0.2">
      <c r="A3258" s="28">
        <v>3257</v>
      </c>
      <c r="B3258" s="28" t="s">
        <v>4300</v>
      </c>
      <c r="C3258" s="28" t="s">
        <v>4296</v>
      </c>
      <c r="D3258" s="28" t="s">
        <v>3904</v>
      </c>
      <c r="E3258" s="28" t="s">
        <v>216</v>
      </c>
      <c r="F3258" s="28" t="s">
        <v>640</v>
      </c>
      <c r="G3258" s="28"/>
      <c r="H3258" s="28">
        <v>4556003</v>
      </c>
      <c r="I3258" s="28">
        <v>281424</v>
      </c>
      <c r="J3258" s="28">
        <v>0.99</v>
      </c>
      <c r="K3258" s="28">
        <v>65</v>
      </c>
      <c r="L3258" s="28">
        <v>1</v>
      </c>
    </row>
    <row r="3259" spans="1:12" ht="14.25" customHeight="1" x14ac:dyDescent="0.2">
      <c r="A3259" s="28">
        <v>3258</v>
      </c>
      <c r="B3259" s="28" t="s">
        <v>4301</v>
      </c>
      <c r="C3259" s="28" t="s">
        <v>4296</v>
      </c>
      <c r="D3259" s="28" t="s">
        <v>3904</v>
      </c>
      <c r="E3259" s="28" t="s">
        <v>216</v>
      </c>
      <c r="F3259" s="28" t="s">
        <v>640</v>
      </c>
      <c r="G3259" s="28"/>
      <c r="H3259" s="28">
        <v>3499018</v>
      </c>
      <c r="I3259" s="28">
        <v>215084</v>
      </c>
      <c r="J3259" s="28">
        <v>0.99</v>
      </c>
      <c r="K3259" s="28">
        <v>62</v>
      </c>
      <c r="L3259" s="28">
        <v>1</v>
      </c>
    </row>
    <row r="3260" spans="1:12" ht="14.25" customHeight="1" x14ac:dyDescent="0.2">
      <c r="A3260" s="28">
        <v>3259</v>
      </c>
      <c r="B3260" s="28" t="s">
        <v>4302</v>
      </c>
      <c r="C3260" s="28" t="s">
        <v>4296</v>
      </c>
      <c r="D3260" s="28" t="s">
        <v>3904</v>
      </c>
      <c r="E3260" s="28" t="s">
        <v>216</v>
      </c>
      <c r="F3260" s="28" t="s">
        <v>640</v>
      </c>
      <c r="G3260" s="28"/>
      <c r="H3260" s="28">
        <v>3907467</v>
      </c>
      <c r="I3260" s="28">
        <v>240719</v>
      </c>
      <c r="J3260" s="28">
        <v>0.99</v>
      </c>
      <c r="K3260" s="28">
        <v>72</v>
      </c>
      <c r="L3260" s="28">
        <v>0</v>
      </c>
    </row>
    <row r="3261" spans="1:12" ht="14.25" customHeight="1" x14ac:dyDescent="0.2">
      <c r="A3261" s="28">
        <v>3260</v>
      </c>
      <c r="B3261" s="28" t="s">
        <v>4303</v>
      </c>
      <c r="C3261" s="28" t="s">
        <v>4296</v>
      </c>
      <c r="D3261" s="28" t="s">
        <v>3904</v>
      </c>
      <c r="E3261" s="28" t="s">
        <v>216</v>
      </c>
      <c r="F3261" s="28" t="s">
        <v>640</v>
      </c>
      <c r="G3261" s="28"/>
      <c r="H3261" s="28">
        <v>3780807</v>
      </c>
      <c r="I3261" s="28">
        <v>232778</v>
      </c>
      <c r="J3261" s="28">
        <v>0.99</v>
      </c>
      <c r="K3261" s="28">
        <v>43</v>
      </c>
      <c r="L3261" s="28">
        <v>1</v>
      </c>
    </row>
    <row r="3262" spans="1:12" ht="14.25" customHeight="1" x14ac:dyDescent="0.2">
      <c r="A3262" s="28">
        <v>3261</v>
      </c>
      <c r="B3262" s="28" t="s">
        <v>4304</v>
      </c>
      <c r="C3262" s="28" t="s">
        <v>4296</v>
      </c>
      <c r="D3262" s="28" t="s">
        <v>3904</v>
      </c>
      <c r="E3262" s="28" t="s">
        <v>216</v>
      </c>
      <c r="F3262" s="28" t="s">
        <v>640</v>
      </c>
      <c r="G3262" s="28"/>
      <c r="H3262" s="28">
        <v>2612788</v>
      </c>
      <c r="I3262" s="28">
        <v>159473</v>
      </c>
      <c r="J3262" s="28">
        <v>0.99</v>
      </c>
      <c r="K3262" s="28">
        <v>31</v>
      </c>
      <c r="L3262" s="28">
        <v>1</v>
      </c>
    </row>
    <row r="3263" spans="1:12" ht="14.25" customHeight="1" x14ac:dyDescent="0.2">
      <c r="A3263" s="28">
        <v>3262</v>
      </c>
      <c r="B3263" s="28" t="s">
        <v>4305</v>
      </c>
      <c r="C3263" s="28" t="s">
        <v>4296</v>
      </c>
      <c r="D3263" s="28" t="s">
        <v>3904</v>
      </c>
      <c r="E3263" s="28" t="s">
        <v>216</v>
      </c>
      <c r="F3263" s="28" t="s">
        <v>640</v>
      </c>
      <c r="G3263" s="28"/>
      <c r="H3263" s="28">
        <v>3136271</v>
      </c>
      <c r="I3263" s="28">
        <v>192329</v>
      </c>
      <c r="J3263" s="28">
        <v>0.99</v>
      </c>
      <c r="K3263" s="28">
        <v>47</v>
      </c>
      <c r="L3263" s="28">
        <v>1</v>
      </c>
    </row>
    <row r="3264" spans="1:12" ht="14.25" customHeight="1" x14ac:dyDescent="0.2">
      <c r="A3264" s="28">
        <v>3263</v>
      </c>
      <c r="B3264" s="28" t="s">
        <v>4306</v>
      </c>
      <c r="C3264" s="28" t="s">
        <v>4296</v>
      </c>
      <c r="D3264" s="28" t="s">
        <v>3904</v>
      </c>
      <c r="E3264" s="28" t="s">
        <v>216</v>
      </c>
      <c r="F3264" s="28" t="s">
        <v>640</v>
      </c>
      <c r="G3264" s="28"/>
      <c r="H3264" s="28">
        <v>3423395</v>
      </c>
      <c r="I3264" s="28">
        <v>210348</v>
      </c>
      <c r="J3264" s="28">
        <v>0.99</v>
      </c>
      <c r="K3264" s="28">
        <v>71</v>
      </c>
      <c r="L3264" s="28">
        <v>0</v>
      </c>
    </row>
    <row r="3265" spans="1:12" ht="14.25" customHeight="1" x14ac:dyDescent="0.2">
      <c r="A3265" s="28">
        <v>3264</v>
      </c>
      <c r="B3265" s="28" t="s">
        <v>4307</v>
      </c>
      <c r="C3265" s="28" t="s">
        <v>4296</v>
      </c>
      <c r="D3265" s="28" t="s">
        <v>3904</v>
      </c>
      <c r="E3265" s="28" t="s">
        <v>216</v>
      </c>
      <c r="F3265" s="28" t="s">
        <v>640</v>
      </c>
      <c r="G3265" s="28"/>
      <c r="H3265" s="28">
        <v>3881620</v>
      </c>
      <c r="I3265" s="28">
        <v>239094</v>
      </c>
      <c r="J3265" s="28">
        <v>0.99</v>
      </c>
      <c r="K3265" s="28">
        <v>90</v>
      </c>
      <c r="L3265" s="28">
        <v>1</v>
      </c>
    </row>
    <row r="3266" spans="1:12" ht="14.25" customHeight="1" x14ac:dyDescent="0.2">
      <c r="A3266" s="28">
        <v>3265</v>
      </c>
      <c r="B3266" s="28" t="s">
        <v>4308</v>
      </c>
      <c r="C3266" s="28" t="s">
        <v>4296</v>
      </c>
      <c r="D3266" s="28" t="s">
        <v>3904</v>
      </c>
      <c r="E3266" s="28" t="s">
        <v>216</v>
      </c>
      <c r="F3266" s="28" t="s">
        <v>640</v>
      </c>
      <c r="G3266" s="28"/>
      <c r="H3266" s="28">
        <v>4301430</v>
      </c>
      <c r="I3266" s="28">
        <v>265449</v>
      </c>
      <c r="J3266" s="28">
        <v>0.99</v>
      </c>
      <c r="K3266" s="28">
        <v>34</v>
      </c>
      <c r="L3266" s="28">
        <v>0</v>
      </c>
    </row>
    <row r="3267" spans="1:12" ht="14.25" customHeight="1" x14ac:dyDescent="0.2">
      <c r="A3267" s="28">
        <v>3266</v>
      </c>
      <c r="B3267" s="28" t="s">
        <v>4309</v>
      </c>
      <c r="C3267" s="28" t="s">
        <v>4296</v>
      </c>
      <c r="D3267" s="28" t="s">
        <v>3904</v>
      </c>
      <c r="E3267" s="28" t="s">
        <v>216</v>
      </c>
      <c r="F3267" s="28" t="s">
        <v>640</v>
      </c>
      <c r="G3267" s="28"/>
      <c r="H3267" s="28">
        <v>3466029</v>
      </c>
      <c r="I3267" s="28">
        <v>213018</v>
      </c>
      <c r="J3267" s="28">
        <v>0.99</v>
      </c>
      <c r="K3267" s="28">
        <v>93</v>
      </c>
      <c r="L3267" s="28">
        <v>0</v>
      </c>
    </row>
    <row r="3268" spans="1:12" ht="14.25" customHeight="1" x14ac:dyDescent="0.2">
      <c r="A3268" s="28">
        <v>3267</v>
      </c>
      <c r="B3268" s="28" t="s">
        <v>4305</v>
      </c>
      <c r="C3268" s="28" t="s">
        <v>4296</v>
      </c>
      <c r="D3268" s="28" t="s">
        <v>3904</v>
      </c>
      <c r="E3268" s="28" t="s">
        <v>216</v>
      </c>
      <c r="F3268" s="28" t="s">
        <v>640</v>
      </c>
      <c r="G3268" s="28"/>
      <c r="H3268" s="28">
        <v>3562542</v>
      </c>
      <c r="I3268" s="28">
        <v>219078</v>
      </c>
      <c r="J3268" s="28">
        <v>0.99</v>
      </c>
      <c r="K3268" s="28">
        <v>94</v>
      </c>
      <c r="L3268" s="28">
        <v>1</v>
      </c>
    </row>
    <row r="3269" spans="1:12" ht="14.25" customHeight="1" x14ac:dyDescent="0.2">
      <c r="A3269" s="28">
        <v>3268</v>
      </c>
      <c r="B3269" s="28" t="s">
        <v>4310</v>
      </c>
      <c r="C3269" s="28" t="s">
        <v>4296</v>
      </c>
      <c r="D3269" s="28" t="s">
        <v>3904</v>
      </c>
      <c r="E3269" s="28" t="s">
        <v>216</v>
      </c>
      <c r="F3269" s="28" t="s">
        <v>640</v>
      </c>
      <c r="G3269" s="28"/>
      <c r="H3269" s="28">
        <v>3704642</v>
      </c>
      <c r="I3269" s="28">
        <v>227995</v>
      </c>
      <c r="J3269" s="28">
        <v>0.99</v>
      </c>
      <c r="K3269" s="28">
        <v>97</v>
      </c>
      <c r="L3269" s="28">
        <v>2</v>
      </c>
    </row>
    <row r="3270" spans="1:12" ht="14.25" customHeight="1" x14ac:dyDescent="0.2">
      <c r="A3270" s="28">
        <v>3269</v>
      </c>
      <c r="B3270" s="28" t="s">
        <v>4311</v>
      </c>
      <c r="C3270" s="28" t="s">
        <v>4296</v>
      </c>
      <c r="D3270" s="28" t="s">
        <v>3904</v>
      </c>
      <c r="E3270" s="28" t="s">
        <v>216</v>
      </c>
      <c r="F3270" s="28" t="s">
        <v>640</v>
      </c>
      <c r="G3270" s="28"/>
      <c r="H3270" s="28">
        <v>2558399</v>
      </c>
      <c r="I3270" s="28">
        <v>156059</v>
      </c>
      <c r="J3270" s="28">
        <v>0.99</v>
      </c>
      <c r="K3270" s="28">
        <v>34</v>
      </c>
      <c r="L3270" s="28">
        <v>0</v>
      </c>
    </row>
    <row r="3271" spans="1:12" ht="14.25" customHeight="1" x14ac:dyDescent="0.2">
      <c r="A3271" s="28">
        <v>3270</v>
      </c>
      <c r="B3271" s="28" t="s">
        <v>4312</v>
      </c>
      <c r="C3271" s="28" t="s">
        <v>4296</v>
      </c>
      <c r="D3271" s="28" t="s">
        <v>3904</v>
      </c>
      <c r="E3271" s="28" t="s">
        <v>216</v>
      </c>
      <c r="F3271" s="28" t="s">
        <v>640</v>
      </c>
      <c r="G3271" s="28"/>
      <c r="H3271" s="28">
        <v>3237063</v>
      </c>
      <c r="I3271" s="28">
        <v>198645</v>
      </c>
      <c r="J3271" s="28">
        <v>0.99</v>
      </c>
      <c r="K3271" s="28">
        <v>38</v>
      </c>
      <c r="L3271" s="28">
        <v>0</v>
      </c>
    </row>
    <row r="3272" spans="1:12" ht="14.25" customHeight="1" x14ac:dyDescent="0.2">
      <c r="A3272" s="28">
        <v>3271</v>
      </c>
      <c r="B3272" s="28" t="s">
        <v>4313</v>
      </c>
      <c r="C3272" s="28" t="s">
        <v>4296</v>
      </c>
      <c r="D3272" s="28" t="s">
        <v>3904</v>
      </c>
      <c r="E3272" s="28" t="s">
        <v>216</v>
      </c>
      <c r="F3272" s="28" t="s">
        <v>640</v>
      </c>
      <c r="G3272" s="28"/>
      <c r="H3272" s="28">
        <v>2447453</v>
      </c>
      <c r="I3272" s="28">
        <v>149093</v>
      </c>
      <c r="J3272" s="28">
        <v>0.99</v>
      </c>
      <c r="K3272" s="28">
        <v>13</v>
      </c>
      <c r="L3272" s="28">
        <v>0</v>
      </c>
    </row>
    <row r="3273" spans="1:12" ht="14.25" customHeight="1" x14ac:dyDescent="0.2">
      <c r="A3273" s="28">
        <v>3272</v>
      </c>
      <c r="B3273" s="28" t="s">
        <v>4303</v>
      </c>
      <c r="C3273" s="28" t="s">
        <v>4296</v>
      </c>
      <c r="D3273" s="28" t="s">
        <v>3904</v>
      </c>
      <c r="E3273" s="28" t="s">
        <v>216</v>
      </c>
      <c r="F3273" s="28" t="s">
        <v>640</v>
      </c>
      <c r="G3273" s="28"/>
      <c r="H3273" s="28">
        <v>3060083</v>
      </c>
      <c r="I3273" s="28">
        <v>187546</v>
      </c>
      <c r="J3273" s="28">
        <v>0.99</v>
      </c>
      <c r="K3273" s="28">
        <v>56</v>
      </c>
      <c r="L3273" s="28">
        <v>1</v>
      </c>
    </row>
    <row r="3274" spans="1:12" ht="14.25" customHeight="1" x14ac:dyDescent="0.2">
      <c r="A3274" s="28">
        <v>3273</v>
      </c>
      <c r="B3274" s="28" t="s">
        <v>4314</v>
      </c>
      <c r="C3274" s="28" t="s">
        <v>4296</v>
      </c>
      <c r="D3274" s="28" t="s">
        <v>3904</v>
      </c>
      <c r="E3274" s="28" t="s">
        <v>216</v>
      </c>
      <c r="F3274" s="28" t="s">
        <v>640</v>
      </c>
      <c r="G3274" s="28"/>
      <c r="H3274" s="28">
        <v>3506308</v>
      </c>
      <c r="I3274" s="28">
        <v>215549</v>
      </c>
      <c r="J3274" s="28">
        <v>0.99</v>
      </c>
      <c r="K3274" s="28">
        <v>25</v>
      </c>
      <c r="L3274" s="28">
        <v>1</v>
      </c>
    </row>
    <row r="3275" spans="1:12" ht="14.25" customHeight="1" x14ac:dyDescent="0.2">
      <c r="A3275" s="28">
        <v>3274</v>
      </c>
      <c r="B3275" s="28" t="s">
        <v>4315</v>
      </c>
      <c r="C3275" s="28" t="s">
        <v>4296</v>
      </c>
      <c r="D3275" s="28" t="s">
        <v>3904</v>
      </c>
      <c r="E3275" s="28" t="s">
        <v>216</v>
      </c>
      <c r="F3275" s="28" t="s">
        <v>640</v>
      </c>
      <c r="G3275" s="28"/>
      <c r="H3275" s="28">
        <v>4221135</v>
      </c>
      <c r="I3275" s="28">
        <v>260410</v>
      </c>
      <c r="J3275" s="28">
        <v>0.99</v>
      </c>
      <c r="K3275" s="28">
        <v>75</v>
      </c>
      <c r="L3275" s="28">
        <v>1</v>
      </c>
    </row>
    <row r="3276" spans="1:12" ht="14.25" customHeight="1" x14ac:dyDescent="0.2">
      <c r="A3276" s="28">
        <v>3275</v>
      </c>
      <c r="B3276" s="28" t="s">
        <v>3387</v>
      </c>
      <c r="C3276" s="28" t="s">
        <v>4296</v>
      </c>
      <c r="D3276" s="28" t="s">
        <v>3904</v>
      </c>
      <c r="E3276" s="28" t="s">
        <v>216</v>
      </c>
      <c r="F3276" s="28" t="s">
        <v>640</v>
      </c>
      <c r="G3276" s="28"/>
      <c r="H3276" s="28">
        <v>3846658</v>
      </c>
      <c r="I3276" s="28">
        <v>236911</v>
      </c>
      <c r="J3276" s="28">
        <v>0.99</v>
      </c>
      <c r="K3276" s="28">
        <v>19</v>
      </c>
      <c r="L3276" s="28">
        <v>0</v>
      </c>
    </row>
    <row r="3277" spans="1:12" ht="14.25" customHeight="1" x14ac:dyDescent="0.2">
      <c r="A3277" s="28">
        <v>3276</v>
      </c>
      <c r="B3277" s="28" t="s">
        <v>4316</v>
      </c>
      <c r="C3277" s="28" t="s">
        <v>4317</v>
      </c>
      <c r="D3277" s="28" t="s">
        <v>2890</v>
      </c>
      <c r="E3277" s="28" t="s">
        <v>216</v>
      </c>
      <c r="F3277" s="28" t="s">
        <v>212</v>
      </c>
      <c r="G3277" s="28"/>
      <c r="H3277" s="28">
        <v>5489313</v>
      </c>
      <c r="I3277" s="28">
        <v>340890</v>
      </c>
      <c r="J3277" s="28">
        <v>0.99</v>
      </c>
      <c r="K3277" s="28">
        <v>11</v>
      </c>
      <c r="L3277" s="28">
        <v>1</v>
      </c>
    </row>
    <row r="3278" spans="1:12" ht="14.25" customHeight="1" x14ac:dyDescent="0.2">
      <c r="A3278" s="28">
        <v>3277</v>
      </c>
      <c r="B3278" s="28" t="s">
        <v>413</v>
      </c>
      <c r="C3278" s="28" t="s">
        <v>4317</v>
      </c>
      <c r="D3278" s="28" t="s">
        <v>2890</v>
      </c>
      <c r="E3278" s="28" t="s">
        <v>216</v>
      </c>
      <c r="F3278" s="28" t="s">
        <v>212</v>
      </c>
      <c r="G3278" s="28"/>
      <c r="H3278" s="28">
        <v>4773171</v>
      </c>
      <c r="I3278" s="28">
        <v>295960</v>
      </c>
      <c r="J3278" s="28">
        <v>0.99</v>
      </c>
      <c r="K3278" s="28">
        <v>79</v>
      </c>
      <c r="L3278" s="28">
        <v>0</v>
      </c>
    </row>
    <row r="3279" spans="1:12" ht="14.25" customHeight="1" x14ac:dyDescent="0.2">
      <c r="A3279" s="28">
        <v>3278</v>
      </c>
      <c r="B3279" s="28" t="s">
        <v>417</v>
      </c>
      <c r="C3279" s="28" t="s">
        <v>4317</v>
      </c>
      <c r="D3279" s="28" t="s">
        <v>2890</v>
      </c>
      <c r="E3279" s="28" t="s">
        <v>216</v>
      </c>
      <c r="F3279" s="28" t="s">
        <v>212</v>
      </c>
      <c r="G3279" s="28"/>
      <c r="H3279" s="28">
        <v>5860455</v>
      </c>
      <c r="I3279" s="28">
        <v>364180</v>
      </c>
      <c r="J3279" s="28">
        <v>0.99</v>
      </c>
      <c r="K3279" s="28">
        <v>4</v>
      </c>
      <c r="L3279" s="28">
        <v>0</v>
      </c>
    </row>
    <row r="3280" spans="1:12" ht="14.25" customHeight="1" x14ac:dyDescent="0.2">
      <c r="A3280" s="28">
        <v>3279</v>
      </c>
      <c r="B3280" s="28" t="s">
        <v>4318</v>
      </c>
      <c r="C3280" s="28" t="s">
        <v>4317</v>
      </c>
      <c r="D3280" s="28" t="s">
        <v>2890</v>
      </c>
      <c r="E3280" s="28" t="s">
        <v>216</v>
      </c>
      <c r="F3280" s="28" t="s">
        <v>212</v>
      </c>
      <c r="G3280" s="28"/>
      <c r="H3280" s="28">
        <v>6315916</v>
      </c>
      <c r="I3280" s="28">
        <v>392764</v>
      </c>
      <c r="J3280" s="28">
        <v>0.99</v>
      </c>
      <c r="K3280" s="28">
        <v>75</v>
      </c>
      <c r="L3280" s="28">
        <v>1</v>
      </c>
    </row>
    <row r="3281" spans="1:12" ht="14.25" customHeight="1" x14ac:dyDescent="0.2">
      <c r="A3281" s="28">
        <v>3280</v>
      </c>
      <c r="B3281" s="28" t="s">
        <v>1536</v>
      </c>
      <c r="C3281" s="28" t="s">
        <v>4317</v>
      </c>
      <c r="D3281" s="28" t="s">
        <v>2890</v>
      </c>
      <c r="E3281" s="28" t="s">
        <v>216</v>
      </c>
      <c r="F3281" s="28" t="s">
        <v>212</v>
      </c>
      <c r="G3281" s="28"/>
      <c r="H3281" s="28">
        <v>8270194</v>
      </c>
      <c r="I3281" s="28">
        <v>515435</v>
      </c>
      <c r="J3281" s="28">
        <v>0.99</v>
      </c>
      <c r="K3281" s="28">
        <v>41</v>
      </c>
      <c r="L3281" s="28">
        <v>2</v>
      </c>
    </row>
    <row r="3282" spans="1:12" ht="14.25" customHeight="1" x14ac:dyDescent="0.2">
      <c r="A3282" s="28">
        <v>3281</v>
      </c>
      <c r="B3282" s="28" t="s">
        <v>418</v>
      </c>
      <c r="C3282" s="28" t="s">
        <v>4317</v>
      </c>
      <c r="D3282" s="28" t="s">
        <v>2890</v>
      </c>
      <c r="E3282" s="28" t="s">
        <v>216</v>
      </c>
      <c r="F3282" s="28" t="s">
        <v>212</v>
      </c>
      <c r="G3282" s="28"/>
      <c r="H3282" s="28">
        <v>4561796</v>
      </c>
      <c r="I3282" s="28">
        <v>282678</v>
      </c>
      <c r="J3282" s="28">
        <v>0.99</v>
      </c>
      <c r="K3282" s="28">
        <v>16</v>
      </c>
      <c r="L3282" s="28">
        <v>0</v>
      </c>
    </row>
    <row r="3283" spans="1:12" ht="14.25" customHeight="1" x14ac:dyDescent="0.2">
      <c r="A3283" s="28">
        <v>3282</v>
      </c>
      <c r="B3283" s="28" t="s">
        <v>420</v>
      </c>
      <c r="C3283" s="28" t="s">
        <v>4317</v>
      </c>
      <c r="D3283" s="28" t="s">
        <v>2890</v>
      </c>
      <c r="E3283" s="28" t="s">
        <v>216</v>
      </c>
      <c r="F3283" s="28" t="s">
        <v>212</v>
      </c>
      <c r="G3283" s="28"/>
      <c r="H3283" s="28">
        <v>5399456</v>
      </c>
      <c r="I3283" s="28">
        <v>335248</v>
      </c>
      <c r="J3283" s="28">
        <v>0.99</v>
      </c>
      <c r="K3283" s="28">
        <v>0</v>
      </c>
      <c r="L3283" s="28">
        <v>0</v>
      </c>
    </row>
    <row r="3284" spans="1:12" ht="14.25" customHeight="1" x14ac:dyDescent="0.2">
      <c r="A3284" s="28">
        <v>3283</v>
      </c>
      <c r="B3284" s="28" t="s">
        <v>4319</v>
      </c>
      <c r="C3284" s="28" t="s">
        <v>4317</v>
      </c>
      <c r="D3284" s="28" t="s">
        <v>2890</v>
      </c>
      <c r="E3284" s="28" t="s">
        <v>216</v>
      </c>
      <c r="F3284" s="28" t="s">
        <v>212</v>
      </c>
      <c r="G3284" s="28"/>
      <c r="H3284" s="28">
        <v>5709700</v>
      </c>
      <c r="I3284" s="28">
        <v>354706</v>
      </c>
      <c r="J3284" s="28">
        <v>0.99</v>
      </c>
      <c r="K3284" s="28">
        <v>79</v>
      </c>
      <c r="L3284" s="28">
        <v>0</v>
      </c>
    </row>
    <row r="3285" spans="1:12" ht="14.25" customHeight="1" x14ac:dyDescent="0.2">
      <c r="A3285" s="28">
        <v>3284</v>
      </c>
      <c r="B3285" s="28" t="s">
        <v>4320</v>
      </c>
      <c r="C3285" s="28" t="s">
        <v>4317</v>
      </c>
      <c r="D3285" s="28" t="s">
        <v>2890</v>
      </c>
      <c r="E3285" s="28" t="s">
        <v>216</v>
      </c>
      <c r="F3285" s="28" t="s">
        <v>212</v>
      </c>
      <c r="G3285" s="28"/>
      <c r="H3285" s="28">
        <v>4173799</v>
      </c>
      <c r="I3285" s="28">
        <v>258343</v>
      </c>
      <c r="J3285" s="28">
        <v>0.99</v>
      </c>
      <c r="K3285" s="28">
        <v>67</v>
      </c>
      <c r="L3285" s="28">
        <v>1</v>
      </c>
    </row>
    <row r="3286" spans="1:12" ht="14.25" customHeight="1" x14ac:dyDescent="0.2">
      <c r="A3286" s="28">
        <v>3285</v>
      </c>
      <c r="B3286" s="28" t="s">
        <v>4321</v>
      </c>
      <c r="C3286" s="28" t="s">
        <v>4317</v>
      </c>
      <c r="D3286" s="28" t="s">
        <v>2890</v>
      </c>
      <c r="E3286" s="28" t="s">
        <v>216</v>
      </c>
      <c r="F3286" s="28" t="s">
        <v>212</v>
      </c>
      <c r="G3286" s="28"/>
      <c r="H3286" s="28">
        <v>5373633</v>
      </c>
      <c r="I3286" s="28">
        <v>333622</v>
      </c>
      <c r="J3286" s="28">
        <v>0.99</v>
      </c>
      <c r="K3286" s="28">
        <v>73</v>
      </c>
      <c r="L3286" s="28">
        <v>1</v>
      </c>
    </row>
    <row r="3287" spans="1:12" ht="14.25" customHeight="1" x14ac:dyDescent="0.2">
      <c r="A3287" s="28">
        <v>3286</v>
      </c>
      <c r="B3287" s="28" t="s">
        <v>4322</v>
      </c>
      <c r="C3287" s="28" t="s">
        <v>4317</v>
      </c>
      <c r="D3287" s="28" t="s">
        <v>2890</v>
      </c>
      <c r="E3287" s="28" t="s">
        <v>216</v>
      </c>
      <c r="F3287" s="28" t="s">
        <v>212</v>
      </c>
      <c r="G3287" s="28"/>
      <c r="H3287" s="28">
        <v>8858616</v>
      </c>
      <c r="I3287" s="28">
        <v>552308</v>
      </c>
      <c r="J3287" s="28">
        <v>0.99</v>
      </c>
      <c r="K3287" s="28">
        <v>41</v>
      </c>
      <c r="L3287" s="28">
        <v>1</v>
      </c>
    </row>
    <row r="3288" spans="1:12" ht="14.25" customHeight="1" x14ac:dyDescent="0.2">
      <c r="A3288" s="28">
        <v>3287</v>
      </c>
      <c r="B3288" s="28" t="s">
        <v>2914</v>
      </c>
      <c r="C3288" s="28" t="s">
        <v>4317</v>
      </c>
      <c r="D3288" s="28" t="s">
        <v>2890</v>
      </c>
      <c r="E3288" s="28" t="s">
        <v>216</v>
      </c>
      <c r="F3288" s="28" t="s">
        <v>212</v>
      </c>
      <c r="G3288" s="28"/>
      <c r="H3288" s="28">
        <v>3071042</v>
      </c>
      <c r="I3288" s="28">
        <v>189171</v>
      </c>
      <c r="J3288" s="28">
        <v>0.99</v>
      </c>
      <c r="K3288" s="28">
        <v>32</v>
      </c>
      <c r="L3288" s="28">
        <v>0</v>
      </c>
    </row>
    <row r="3289" spans="1:12" ht="14.25" customHeight="1" x14ac:dyDescent="0.2">
      <c r="A3289" s="28">
        <v>3288</v>
      </c>
      <c r="B3289" s="28" t="s">
        <v>4323</v>
      </c>
      <c r="C3289" s="28" t="s">
        <v>4324</v>
      </c>
      <c r="D3289" s="28" t="s">
        <v>4325</v>
      </c>
      <c r="E3289" s="28" t="s">
        <v>216</v>
      </c>
      <c r="F3289" s="28" t="s">
        <v>212</v>
      </c>
      <c r="G3289" s="28"/>
      <c r="H3289" s="28">
        <v>4300973</v>
      </c>
      <c r="I3289" s="28">
        <v>255766</v>
      </c>
      <c r="J3289" s="28">
        <v>0.99</v>
      </c>
      <c r="K3289" s="28">
        <v>46</v>
      </c>
      <c r="L3289" s="28">
        <v>0</v>
      </c>
    </row>
    <row r="3290" spans="1:12" ht="14.25" customHeight="1" x14ac:dyDescent="0.2">
      <c r="A3290" s="28">
        <v>3289</v>
      </c>
      <c r="B3290" s="28" t="s">
        <v>4326</v>
      </c>
      <c r="C3290" s="28" t="s">
        <v>4324</v>
      </c>
      <c r="D3290" s="28" t="s">
        <v>4325</v>
      </c>
      <c r="E3290" s="28" t="s">
        <v>216</v>
      </c>
      <c r="F3290" s="28" t="s">
        <v>212</v>
      </c>
      <c r="G3290" s="28"/>
      <c r="H3290" s="28">
        <v>4050259</v>
      </c>
      <c r="I3290" s="28">
        <v>240325</v>
      </c>
      <c r="J3290" s="28">
        <v>0.99</v>
      </c>
      <c r="K3290" s="28">
        <v>50</v>
      </c>
      <c r="L3290" s="28">
        <v>0</v>
      </c>
    </row>
    <row r="3291" spans="1:12" ht="14.25" customHeight="1" x14ac:dyDescent="0.2">
      <c r="A3291" s="28">
        <v>3290</v>
      </c>
      <c r="B3291" s="28" t="s">
        <v>4327</v>
      </c>
      <c r="C3291" s="28" t="s">
        <v>4324</v>
      </c>
      <c r="D3291" s="28" t="s">
        <v>4325</v>
      </c>
      <c r="E3291" s="28" t="s">
        <v>216</v>
      </c>
      <c r="F3291" s="28" t="s">
        <v>212</v>
      </c>
      <c r="G3291" s="28"/>
      <c r="H3291" s="28">
        <v>5550779</v>
      </c>
      <c r="I3291" s="28">
        <v>332740</v>
      </c>
      <c r="J3291" s="28">
        <v>0.99</v>
      </c>
      <c r="K3291" s="28">
        <v>44</v>
      </c>
      <c r="L3291" s="28">
        <v>1</v>
      </c>
    </row>
    <row r="3292" spans="1:12" ht="14.25" customHeight="1" x14ac:dyDescent="0.2">
      <c r="A3292" s="28">
        <v>3291</v>
      </c>
      <c r="B3292" s="28" t="s">
        <v>4328</v>
      </c>
      <c r="C3292" s="28" t="s">
        <v>4324</v>
      </c>
      <c r="D3292" s="28" t="s">
        <v>4325</v>
      </c>
      <c r="E3292" s="28" t="s">
        <v>216</v>
      </c>
      <c r="F3292" s="28" t="s">
        <v>212</v>
      </c>
      <c r="G3292" s="28"/>
      <c r="H3292" s="28">
        <v>5654493</v>
      </c>
      <c r="I3292" s="28">
        <v>339125</v>
      </c>
      <c r="J3292" s="28">
        <v>0.99</v>
      </c>
      <c r="K3292" s="28">
        <v>0</v>
      </c>
      <c r="L3292" s="28">
        <v>1</v>
      </c>
    </row>
    <row r="3293" spans="1:12" ht="14.25" customHeight="1" x14ac:dyDescent="0.2">
      <c r="A3293" s="28">
        <v>3292</v>
      </c>
      <c r="B3293" s="28" t="s">
        <v>4329</v>
      </c>
      <c r="C3293" s="28" t="s">
        <v>4324</v>
      </c>
      <c r="D3293" s="28" t="s">
        <v>4325</v>
      </c>
      <c r="E3293" s="28" t="s">
        <v>216</v>
      </c>
      <c r="F3293" s="28" t="s">
        <v>212</v>
      </c>
      <c r="G3293" s="28"/>
      <c r="H3293" s="28">
        <v>6491444</v>
      </c>
      <c r="I3293" s="28">
        <v>390674</v>
      </c>
      <c r="J3293" s="28">
        <v>0.99</v>
      </c>
      <c r="K3293" s="28">
        <v>30</v>
      </c>
      <c r="L3293" s="28">
        <v>1</v>
      </c>
    </row>
    <row r="3294" spans="1:12" ht="14.25" customHeight="1" x14ac:dyDescent="0.2">
      <c r="A3294" s="28">
        <v>3293</v>
      </c>
      <c r="B3294" s="28" t="s">
        <v>4330</v>
      </c>
      <c r="C3294" s="28" t="s">
        <v>4324</v>
      </c>
      <c r="D3294" s="28" t="s">
        <v>4325</v>
      </c>
      <c r="E3294" s="28" t="s">
        <v>216</v>
      </c>
      <c r="F3294" s="28" t="s">
        <v>212</v>
      </c>
      <c r="G3294" s="28"/>
      <c r="H3294" s="28">
        <v>4237651</v>
      </c>
      <c r="I3294" s="28">
        <v>251865</v>
      </c>
      <c r="J3294" s="28">
        <v>0.99</v>
      </c>
      <c r="K3294" s="28">
        <v>77</v>
      </c>
      <c r="L3294" s="28">
        <v>0</v>
      </c>
    </row>
    <row r="3295" spans="1:12" ht="14.25" customHeight="1" x14ac:dyDescent="0.2">
      <c r="A3295" s="28">
        <v>3294</v>
      </c>
      <c r="B3295" s="28" t="s">
        <v>4331</v>
      </c>
      <c r="C3295" s="28" t="s">
        <v>4324</v>
      </c>
      <c r="D3295" s="28" t="s">
        <v>4325</v>
      </c>
      <c r="E3295" s="28" t="s">
        <v>216</v>
      </c>
      <c r="F3295" s="28" t="s">
        <v>212</v>
      </c>
      <c r="G3295" s="28"/>
      <c r="H3295" s="28">
        <v>5437651</v>
      </c>
      <c r="I3295" s="28">
        <v>325774</v>
      </c>
      <c r="J3295" s="28">
        <v>0.99</v>
      </c>
      <c r="K3295" s="28">
        <v>15</v>
      </c>
      <c r="L3295" s="28">
        <v>0</v>
      </c>
    </row>
    <row r="3296" spans="1:12" ht="14.25" customHeight="1" x14ac:dyDescent="0.2">
      <c r="A3296" s="28">
        <v>3295</v>
      </c>
      <c r="B3296" s="28" t="s">
        <v>4332</v>
      </c>
      <c r="C3296" s="28" t="s">
        <v>4324</v>
      </c>
      <c r="D3296" s="28" t="s">
        <v>4325</v>
      </c>
      <c r="E3296" s="28" t="s">
        <v>216</v>
      </c>
      <c r="F3296" s="28" t="s">
        <v>212</v>
      </c>
      <c r="G3296" s="28"/>
      <c r="H3296" s="28">
        <v>3902834</v>
      </c>
      <c r="I3296" s="28">
        <v>231246</v>
      </c>
      <c r="J3296" s="28">
        <v>0.99</v>
      </c>
      <c r="K3296" s="28">
        <v>38</v>
      </c>
      <c r="L3296" s="28">
        <v>0</v>
      </c>
    </row>
    <row r="3297" spans="1:12" ht="14.25" customHeight="1" x14ac:dyDescent="0.2">
      <c r="A3297" s="28">
        <v>3296</v>
      </c>
      <c r="B3297" s="28" t="s">
        <v>3674</v>
      </c>
      <c r="C3297" s="28" t="s">
        <v>4324</v>
      </c>
      <c r="D3297" s="28" t="s">
        <v>4325</v>
      </c>
      <c r="E3297" s="28" t="s">
        <v>216</v>
      </c>
      <c r="F3297" s="28" t="s">
        <v>212</v>
      </c>
      <c r="G3297" s="28"/>
      <c r="H3297" s="28">
        <v>3482099</v>
      </c>
      <c r="I3297" s="28">
        <v>205332</v>
      </c>
      <c r="J3297" s="28">
        <v>0.99</v>
      </c>
      <c r="K3297" s="28">
        <v>70</v>
      </c>
      <c r="L3297" s="28">
        <v>1</v>
      </c>
    </row>
    <row r="3298" spans="1:12" ht="14.25" customHeight="1" x14ac:dyDescent="0.2">
      <c r="A3298" s="28">
        <v>3297</v>
      </c>
      <c r="B3298" s="28" t="s">
        <v>4333</v>
      </c>
      <c r="C3298" s="28" t="s">
        <v>4324</v>
      </c>
      <c r="D3298" s="28" t="s">
        <v>4325</v>
      </c>
      <c r="E3298" s="28" t="s">
        <v>216</v>
      </c>
      <c r="F3298" s="28" t="s">
        <v>212</v>
      </c>
      <c r="G3298" s="28"/>
      <c r="H3298" s="28">
        <v>4811894</v>
      </c>
      <c r="I3298" s="28">
        <v>287229</v>
      </c>
      <c r="J3298" s="28">
        <v>0.99</v>
      </c>
      <c r="K3298" s="28">
        <v>66</v>
      </c>
      <c r="L3298" s="28">
        <v>1</v>
      </c>
    </row>
    <row r="3299" spans="1:12" ht="14.25" customHeight="1" x14ac:dyDescent="0.2">
      <c r="A3299" s="28">
        <v>3298</v>
      </c>
      <c r="B3299" s="28" t="s">
        <v>4334</v>
      </c>
      <c r="C3299" s="28" t="s">
        <v>4324</v>
      </c>
      <c r="D3299" s="28" t="s">
        <v>4325</v>
      </c>
      <c r="E3299" s="28" t="s">
        <v>216</v>
      </c>
      <c r="F3299" s="28" t="s">
        <v>212</v>
      </c>
      <c r="G3299" s="28"/>
      <c r="H3299" s="28">
        <v>5268002</v>
      </c>
      <c r="I3299" s="28">
        <v>315325</v>
      </c>
      <c r="J3299" s="28">
        <v>0.99</v>
      </c>
      <c r="K3299" s="28">
        <v>13</v>
      </c>
      <c r="L3299" s="28">
        <v>0</v>
      </c>
    </row>
    <row r="3300" spans="1:12" ht="14.25" customHeight="1" x14ac:dyDescent="0.2">
      <c r="A3300" s="28">
        <v>3299</v>
      </c>
      <c r="B3300" s="28" t="s">
        <v>4335</v>
      </c>
      <c r="C3300" s="28" t="s">
        <v>4324</v>
      </c>
      <c r="D3300" s="28" t="s">
        <v>4325</v>
      </c>
      <c r="E3300" s="28" t="s">
        <v>216</v>
      </c>
      <c r="F3300" s="28" t="s">
        <v>212</v>
      </c>
      <c r="G3300" s="28"/>
      <c r="H3300" s="28">
        <v>4581492</v>
      </c>
      <c r="I3300" s="28">
        <v>273041</v>
      </c>
      <c r="J3300" s="28">
        <v>0.99</v>
      </c>
      <c r="K3300" s="28">
        <v>87</v>
      </c>
      <c r="L3300" s="28">
        <v>0</v>
      </c>
    </row>
    <row r="3301" spans="1:12" ht="14.25" customHeight="1" x14ac:dyDescent="0.2">
      <c r="A3301" s="28">
        <v>3300</v>
      </c>
      <c r="B3301" s="28" t="s">
        <v>4336</v>
      </c>
      <c r="C3301" s="28" t="s">
        <v>4337</v>
      </c>
      <c r="D3301" s="28" t="s">
        <v>4338</v>
      </c>
      <c r="E3301" s="28" t="s">
        <v>211</v>
      </c>
      <c r="F3301" s="28" t="s">
        <v>3072</v>
      </c>
      <c r="G3301" s="28" t="s">
        <v>4339</v>
      </c>
      <c r="H3301" s="28">
        <v>8715653</v>
      </c>
      <c r="I3301" s="28">
        <v>217835</v>
      </c>
      <c r="J3301" s="28">
        <v>0.99</v>
      </c>
      <c r="K3301" s="28">
        <v>66</v>
      </c>
      <c r="L3301" s="28">
        <v>0</v>
      </c>
    </row>
    <row r="3302" spans="1:12" ht="14.25" customHeight="1" x14ac:dyDescent="0.2">
      <c r="A3302" s="28">
        <v>3301</v>
      </c>
      <c r="B3302" s="28" t="s">
        <v>4340</v>
      </c>
      <c r="C3302" s="28" t="s">
        <v>4337</v>
      </c>
      <c r="D3302" s="28" t="s">
        <v>4338</v>
      </c>
      <c r="E3302" s="28" t="s">
        <v>211</v>
      </c>
      <c r="F3302" s="28" t="s">
        <v>3072</v>
      </c>
      <c r="G3302" s="28" t="s">
        <v>4341</v>
      </c>
      <c r="H3302" s="28">
        <v>2767047</v>
      </c>
      <c r="I3302" s="28">
        <v>69120</v>
      </c>
      <c r="J3302" s="28">
        <v>0.99</v>
      </c>
      <c r="K3302" s="28">
        <v>93</v>
      </c>
      <c r="L3302" s="28">
        <v>1</v>
      </c>
    </row>
    <row r="3303" spans="1:12" ht="14.25" customHeight="1" x14ac:dyDescent="0.2">
      <c r="A3303" s="28">
        <v>3302</v>
      </c>
      <c r="B3303" s="28" t="s">
        <v>4342</v>
      </c>
      <c r="C3303" s="28" t="s">
        <v>4337</v>
      </c>
      <c r="D3303" s="28" t="s">
        <v>4338</v>
      </c>
      <c r="E3303" s="28" t="s">
        <v>211</v>
      </c>
      <c r="F3303" s="28" t="s">
        <v>3072</v>
      </c>
      <c r="G3303" s="28" t="s">
        <v>4343</v>
      </c>
      <c r="H3303" s="28">
        <v>7291473</v>
      </c>
      <c r="I3303" s="28">
        <v>182230</v>
      </c>
      <c r="J3303" s="28">
        <v>0.99</v>
      </c>
      <c r="K3303" s="28">
        <v>17</v>
      </c>
      <c r="L3303" s="28">
        <v>1</v>
      </c>
    </row>
    <row r="3304" spans="1:12" ht="14.25" customHeight="1" x14ac:dyDescent="0.2">
      <c r="A3304" s="28">
        <v>3303</v>
      </c>
      <c r="B3304" s="28" t="s">
        <v>4344</v>
      </c>
      <c r="C3304" s="28" t="s">
        <v>4337</v>
      </c>
      <c r="D3304" s="28" t="s">
        <v>4338</v>
      </c>
      <c r="E3304" s="28" t="s">
        <v>211</v>
      </c>
      <c r="F3304" s="28" t="s">
        <v>3072</v>
      </c>
      <c r="G3304" s="28" t="s">
        <v>4341</v>
      </c>
      <c r="H3304" s="28">
        <v>8667599</v>
      </c>
      <c r="I3304" s="28">
        <v>216633</v>
      </c>
      <c r="J3304" s="28">
        <v>0.99</v>
      </c>
      <c r="K3304" s="28">
        <v>16</v>
      </c>
      <c r="L3304" s="28">
        <v>1</v>
      </c>
    </row>
    <row r="3305" spans="1:12" ht="14.25" customHeight="1" x14ac:dyDescent="0.2">
      <c r="A3305" s="28">
        <v>3304</v>
      </c>
      <c r="B3305" s="28" t="s">
        <v>4345</v>
      </c>
      <c r="C3305" s="28" t="s">
        <v>4337</v>
      </c>
      <c r="D3305" s="28" t="s">
        <v>4338</v>
      </c>
      <c r="E3305" s="28" t="s">
        <v>211</v>
      </c>
      <c r="F3305" s="28" t="s">
        <v>3072</v>
      </c>
      <c r="G3305" s="28" t="s">
        <v>4346</v>
      </c>
      <c r="H3305" s="28">
        <v>319888</v>
      </c>
      <c r="I3305" s="28">
        <v>7941</v>
      </c>
      <c r="J3305" s="28">
        <v>0.99</v>
      </c>
      <c r="K3305" s="28">
        <v>34</v>
      </c>
      <c r="L3305" s="28">
        <v>0</v>
      </c>
    </row>
    <row r="3306" spans="1:12" ht="14.25" customHeight="1" x14ac:dyDescent="0.2">
      <c r="A3306" s="28">
        <v>3305</v>
      </c>
      <c r="B3306" s="28" t="s">
        <v>4347</v>
      </c>
      <c r="C3306" s="28" t="s">
        <v>4337</v>
      </c>
      <c r="D3306" s="28" t="s">
        <v>4338</v>
      </c>
      <c r="E3306" s="28" t="s">
        <v>211</v>
      </c>
      <c r="F3306" s="28" t="s">
        <v>3072</v>
      </c>
      <c r="G3306" s="28" t="s">
        <v>4348</v>
      </c>
      <c r="H3306" s="28">
        <v>8778369</v>
      </c>
      <c r="I3306" s="28">
        <v>219402</v>
      </c>
      <c r="J3306" s="28">
        <v>0.99</v>
      </c>
      <c r="K3306" s="28">
        <v>31</v>
      </c>
      <c r="L3306" s="28">
        <v>0</v>
      </c>
    </row>
    <row r="3307" spans="1:12" ht="14.25" customHeight="1" x14ac:dyDescent="0.2">
      <c r="A3307" s="28">
        <v>3306</v>
      </c>
      <c r="B3307" s="28" t="s">
        <v>4349</v>
      </c>
      <c r="C3307" s="28" t="s">
        <v>4337</v>
      </c>
      <c r="D3307" s="28" t="s">
        <v>4338</v>
      </c>
      <c r="E3307" s="28" t="s">
        <v>211</v>
      </c>
      <c r="F3307" s="28" t="s">
        <v>3072</v>
      </c>
      <c r="G3307" s="28" t="s">
        <v>4341</v>
      </c>
      <c r="H3307" s="28">
        <v>8735518</v>
      </c>
      <c r="I3307" s="28">
        <v>218331</v>
      </c>
      <c r="J3307" s="28">
        <v>0.99</v>
      </c>
      <c r="K3307" s="28">
        <v>30</v>
      </c>
      <c r="L3307" s="28">
        <v>0</v>
      </c>
    </row>
    <row r="3308" spans="1:12" ht="14.25" customHeight="1" x14ac:dyDescent="0.2">
      <c r="A3308" s="28">
        <v>3307</v>
      </c>
      <c r="B3308" s="28" t="s">
        <v>4350</v>
      </c>
      <c r="C3308" s="28" t="s">
        <v>4337</v>
      </c>
      <c r="D3308" s="28" t="s">
        <v>4338</v>
      </c>
      <c r="E3308" s="28" t="s">
        <v>211</v>
      </c>
      <c r="F3308" s="28" t="s">
        <v>3072</v>
      </c>
      <c r="G3308" s="28" t="s">
        <v>4341</v>
      </c>
      <c r="H3308" s="28">
        <v>6226713</v>
      </c>
      <c r="I3308" s="28">
        <v>155611</v>
      </c>
      <c r="J3308" s="28">
        <v>0.99</v>
      </c>
      <c r="K3308" s="28">
        <v>33</v>
      </c>
      <c r="L3308" s="28">
        <v>0</v>
      </c>
    </row>
    <row r="3309" spans="1:12" ht="14.25" customHeight="1" x14ac:dyDescent="0.2">
      <c r="A3309" s="28">
        <v>3308</v>
      </c>
      <c r="B3309" s="28" t="s">
        <v>4351</v>
      </c>
      <c r="C3309" s="28" t="s">
        <v>4337</v>
      </c>
      <c r="D3309" s="28" t="s">
        <v>4338</v>
      </c>
      <c r="E3309" s="28" t="s">
        <v>211</v>
      </c>
      <c r="F3309" s="28" t="s">
        <v>3072</v>
      </c>
      <c r="G3309" s="28" t="s">
        <v>4339</v>
      </c>
      <c r="H3309" s="28">
        <v>4583091</v>
      </c>
      <c r="I3309" s="28">
        <v>114520</v>
      </c>
      <c r="J3309" s="28">
        <v>0.99</v>
      </c>
      <c r="K3309" s="28">
        <v>37</v>
      </c>
      <c r="L3309" s="28">
        <v>1</v>
      </c>
    </row>
    <row r="3310" spans="1:12" ht="14.25" customHeight="1" x14ac:dyDescent="0.2">
      <c r="A3310" s="28">
        <v>3309</v>
      </c>
      <c r="B3310" s="28" t="s">
        <v>4352</v>
      </c>
      <c r="C3310" s="28" t="s">
        <v>4337</v>
      </c>
      <c r="D3310" s="28" t="s">
        <v>4338</v>
      </c>
      <c r="E3310" s="28" t="s">
        <v>211</v>
      </c>
      <c r="F3310" s="28" t="s">
        <v>3072</v>
      </c>
      <c r="G3310" s="28" t="s">
        <v>4339</v>
      </c>
      <c r="H3310" s="28">
        <v>9537994</v>
      </c>
      <c r="I3310" s="28">
        <v>238393</v>
      </c>
      <c r="J3310" s="28">
        <v>0.99</v>
      </c>
      <c r="K3310" s="28">
        <v>56</v>
      </c>
      <c r="L3310" s="28">
        <v>1</v>
      </c>
    </row>
    <row r="3311" spans="1:12" ht="14.25" customHeight="1" x14ac:dyDescent="0.2">
      <c r="A3311" s="28">
        <v>3310</v>
      </c>
      <c r="B3311" s="28" t="s">
        <v>4353</v>
      </c>
      <c r="C3311" s="28" t="s">
        <v>4337</v>
      </c>
      <c r="D3311" s="28" t="s">
        <v>4338</v>
      </c>
      <c r="E3311" s="28" t="s">
        <v>211</v>
      </c>
      <c r="F3311" s="28" t="s">
        <v>3072</v>
      </c>
      <c r="G3311" s="28" t="s">
        <v>4346</v>
      </c>
      <c r="H3311" s="28">
        <v>850698</v>
      </c>
      <c r="I3311" s="28">
        <v>21211</v>
      </c>
      <c r="J3311" s="28">
        <v>0.99</v>
      </c>
      <c r="K3311" s="28">
        <v>92</v>
      </c>
      <c r="L3311" s="28">
        <v>1</v>
      </c>
    </row>
    <row r="3312" spans="1:12" ht="14.25" customHeight="1" x14ac:dyDescent="0.2">
      <c r="A3312" s="28">
        <v>3311</v>
      </c>
      <c r="B3312" s="28" t="s">
        <v>4354</v>
      </c>
      <c r="C3312" s="28" t="s">
        <v>4337</v>
      </c>
      <c r="D3312" s="28" t="s">
        <v>4338</v>
      </c>
      <c r="E3312" s="28" t="s">
        <v>211</v>
      </c>
      <c r="F3312" s="28" t="s">
        <v>3072</v>
      </c>
      <c r="G3312" s="28" t="s">
        <v>4339</v>
      </c>
      <c r="H3312" s="28">
        <v>7619569</v>
      </c>
      <c r="I3312" s="28">
        <v>190432</v>
      </c>
      <c r="J3312" s="28">
        <v>0.99</v>
      </c>
      <c r="K3312" s="28">
        <v>77</v>
      </c>
      <c r="L3312" s="28">
        <v>0</v>
      </c>
    </row>
    <row r="3313" spans="1:12" ht="14.25" customHeight="1" x14ac:dyDescent="0.2">
      <c r="A3313" s="28">
        <v>3312</v>
      </c>
      <c r="B3313" s="28" t="s">
        <v>4355</v>
      </c>
      <c r="C3313" s="28" t="s">
        <v>4337</v>
      </c>
      <c r="D3313" s="28" t="s">
        <v>4338</v>
      </c>
      <c r="E3313" s="28" t="s">
        <v>211</v>
      </c>
      <c r="F3313" s="28" t="s">
        <v>3072</v>
      </c>
      <c r="G3313" s="28" t="s">
        <v>4356</v>
      </c>
      <c r="H3313" s="28">
        <v>6821279</v>
      </c>
      <c r="I3313" s="28">
        <v>170475</v>
      </c>
      <c r="J3313" s="28">
        <v>0.99</v>
      </c>
      <c r="K3313" s="28">
        <v>93</v>
      </c>
      <c r="L3313" s="28">
        <v>0</v>
      </c>
    </row>
    <row r="3314" spans="1:12" ht="14.25" customHeight="1" x14ac:dyDescent="0.2">
      <c r="A3314" s="28">
        <v>3313</v>
      </c>
      <c r="B3314" s="28" t="s">
        <v>4357</v>
      </c>
      <c r="C3314" s="28" t="s">
        <v>4337</v>
      </c>
      <c r="D3314" s="28" t="s">
        <v>4338</v>
      </c>
      <c r="E3314" s="28" t="s">
        <v>211</v>
      </c>
      <c r="F3314" s="28" t="s">
        <v>3072</v>
      </c>
      <c r="G3314" s="28" t="s">
        <v>4358</v>
      </c>
      <c r="H3314" s="28">
        <v>6523458</v>
      </c>
      <c r="I3314" s="28">
        <v>163030</v>
      </c>
      <c r="J3314" s="28">
        <v>0.99</v>
      </c>
      <c r="K3314" s="28">
        <v>3</v>
      </c>
      <c r="L3314" s="28">
        <v>0</v>
      </c>
    </row>
    <row r="3315" spans="1:12" ht="14.25" customHeight="1" x14ac:dyDescent="0.2">
      <c r="A3315" s="28">
        <v>3314</v>
      </c>
      <c r="B3315" s="28" t="s">
        <v>4359</v>
      </c>
      <c r="C3315" s="28" t="s">
        <v>4337</v>
      </c>
      <c r="D3315" s="28" t="s">
        <v>4338</v>
      </c>
      <c r="E3315" s="28" t="s">
        <v>211</v>
      </c>
      <c r="F3315" s="28" t="s">
        <v>3072</v>
      </c>
      <c r="G3315" s="28" t="s">
        <v>4360</v>
      </c>
      <c r="H3315" s="28">
        <v>6810820</v>
      </c>
      <c r="I3315" s="28">
        <v>170213</v>
      </c>
      <c r="J3315" s="28">
        <v>0.99</v>
      </c>
      <c r="K3315" s="28">
        <v>0</v>
      </c>
      <c r="L3315" s="28">
        <v>1</v>
      </c>
    </row>
    <row r="3316" spans="1:12" ht="14.25" customHeight="1" x14ac:dyDescent="0.2">
      <c r="A3316" s="28">
        <v>3315</v>
      </c>
      <c r="B3316" s="28" t="s">
        <v>4361</v>
      </c>
      <c r="C3316" s="28" t="s">
        <v>4337</v>
      </c>
      <c r="D3316" s="28" t="s">
        <v>4338</v>
      </c>
      <c r="E3316" s="28" t="s">
        <v>211</v>
      </c>
      <c r="F3316" s="28" t="s">
        <v>3072</v>
      </c>
      <c r="G3316" s="28" t="s">
        <v>4358</v>
      </c>
      <c r="H3316" s="28">
        <v>9598588</v>
      </c>
      <c r="I3316" s="28">
        <v>239908</v>
      </c>
      <c r="J3316" s="28">
        <v>0.99</v>
      </c>
      <c r="K3316" s="28">
        <v>61</v>
      </c>
      <c r="L3316" s="28">
        <v>1</v>
      </c>
    </row>
    <row r="3317" spans="1:12" ht="14.25" customHeight="1" x14ac:dyDescent="0.2">
      <c r="A3317" s="28">
        <v>3316</v>
      </c>
      <c r="B3317" s="28" t="s">
        <v>2294</v>
      </c>
      <c r="C3317" s="28" t="s">
        <v>4337</v>
      </c>
      <c r="D3317" s="28" t="s">
        <v>4338</v>
      </c>
      <c r="E3317" s="28" t="s">
        <v>211</v>
      </c>
      <c r="F3317" s="28" t="s">
        <v>3072</v>
      </c>
      <c r="G3317" s="28" t="s">
        <v>4341</v>
      </c>
      <c r="H3317" s="28">
        <v>8027065</v>
      </c>
      <c r="I3317" s="28">
        <v>200620</v>
      </c>
      <c r="J3317" s="28">
        <v>0.99</v>
      </c>
      <c r="K3317" s="28">
        <v>86</v>
      </c>
      <c r="L3317" s="28">
        <v>0</v>
      </c>
    </row>
    <row r="3318" spans="1:12" ht="14.25" customHeight="1" x14ac:dyDescent="0.2">
      <c r="A3318" s="28">
        <v>3317</v>
      </c>
      <c r="B3318" s="28" t="s">
        <v>4362</v>
      </c>
      <c r="C3318" s="28" t="s">
        <v>4337</v>
      </c>
      <c r="D3318" s="28" t="s">
        <v>4338</v>
      </c>
      <c r="E3318" s="28" t="s">
        <v>211</v>
      </c>
      <c r="F3318" s="28" t="s">
        <v>3072</v>
      </c>
      <c r="G3318" s="28" t="s">
        <v>4339</v>
      </c>
      <c r="H3318" s="28">
        <v>9447101</v>
      </c>
      <c r="I3318" s="28">
        <v>236120</v>
      </c>
      <c r="J3318" s="28">
        <v>0.99</v>
      </c>
      <c r="K3318" s="28">
        <v>54</v>
      </c>
      <c r="L3318" s="28">
        <v>0</v>
      </c>
    </row>
    <row r="3319" spans="1:12" ht="14.25" customHeight="1" x14ac:dyDescent="0.2">
      <c r="A3319" s="28">
        <v>3318</v>
      </c>
      <c r="B3319" s="28" t="s">
        <v>4363</v>
      </c>
      <c r="C3319" s="28" t="s">
        <v>4337</v>
      </c>
      <c r="D3319" s="28" t="s">
        <v>4338</v>
      </c>
      <c r="E3319" s="28" t="s">
        <v>211</v>
      </c>
      <c r="F3319" s="28" t="s">
        <v>3072</v>
      </c>
      <c r="G3319" s="28" t="s">
        <v>4341</v>
      </c>
      <c r="H3319" s="28">
        <v>9483705</v>
      </c>
      <c r="I3319" s="28">
        <v>237035</v>
      </c>
      <c r="J3319" s="28">
        <v>0.99</v>
      </c>
      <c r="K3319" s="28">
        <v>15</v>
      </c>
      <c r="L3319" s="28">
        <v>0</v>
      </c>
    </row>
    <row r="3320" spans="1:12" ht="14.25" customHeight="1" x14ac:dyDescent="0.2">
      <c r="A3320" s="28">
        <v>3319</v>
      </c>
      <c r="B3320" s="28" t="s">
        <v>4364</v>
      </c>
      <c r="C3320" s="28" t="s">
        <v>4365</v>
      </c>
      <c r="D3320" s="28" t="s">
        <v>4366</v>
      </c>
      <c r="E3320" s="28" t="s">
        <v>211</v>
      </c>
      <c r="F3320" s="28" t="s">
        <v>2101</v>
      </c>
      <c r="G3320" s="28"/>
      <c r="H3320" s="28">
        <v>12024875</v>
      </c>
      <c r="I3320" s="28">
        <v>300564</v>
      </c>
      <c r="J3320" s="28">
        <v>0.99</v>
      </c>
      <c r="K3320" s="28">
        <v>48</v>
      </c>
      <c r="L3320" s="28">
        <v>1</v>
      </c>
    </row>
    <row r="3321" spans="1:12" ht="14.25" customHeight="1" x14ac:dyDescent="0.2">
      <c r="A3321" s="28">
        <v>3320</v>
      </c>
      <c r="B3321" s="28" t="s">
        <v>4367</v>
      </c>
      <c r="C3321" s="28" t="s">
        <v>4365</v>
      </c>
      <c r="D3321" s="28" t="s">
        <v>4366</v>
      </c>
      <c r="E3321" s="28" t="s">
        <v>211</v>
      </c>
      <c r="F3321" s="28" t="s">
        <v>2101</v>
      </c>
      <c r="G3321" s="28"/>
      <c r="H3321" s="28">
        <v>5755478</v>
      </c>
      <c r="I3321" s="28">
        <v>143830</v>
      </c>
      <c r="J3321" s="28">
        <v>0.99</v>
      </c>
      <c r="K3321" s="28">
        <v>13</v>
      </c>
      <c r="L3321" s="28">
        <v>1</v>
      </c>
    </row>
    <row r="3322" spans="1:12" ht="14.25" customHeight="1" x14ac:dyDescent="0.2">
      <c r="A3322" s="28">
        <v>3321</v>
      </c>
      <c r="B3322" s="28" t="s">
        <v>4368</v>
      </c>
      <c r="C3322" s="28" t="s">
        <v>4365</v>
      </c>
      <c r="D3322" s="28" t="s">
        <v>4366</v>
      </c>
      <c r="E3322" s="28" t="s">
        <v>211</v>
      </c>
      <c r="F3322" s="28" t="s">
        <v>2101</v>
      </c>
      <c r="G3322" s="28"/>
      <c r="H3322" s="28">
        <v>14362307</v>
      </c>
      <c r="I3322" s="28">
        <v>359000</v>
      </c>
      <c r="J3322" s="28">
        <v>0.99</v>
      </c>
      <c r="K3322" s="28">
        <v>96</v>
      </c>
      <c r="L3322" s="28">
        <v>0</v>
      </c>
    </row>
    <row r="3323" spans="1:12" ht="14.25" customHeight="1" x14ac:dyDescent="0.2">
      <c r="A3323" s="28">
        <v>3322</v>
      </c>
      <c r="B3323" s="28" t="s">
        <v>4369</v>
      </c>
      <c r="C3323" s="28" t="s">
        <v>4365</v>
      </c>
      <c r="D3323" s="28" t="s">
        <v>4366</v>
      </c>
      <c r="E3323" s="28" t="s">
        <v>211</v>
      </c>
      <c r="F3323" s="28" t="s">
        <v>2101</v>
      </c>
      <c r="G3323" s="28"/>
      <c r="H3323" s="28">
        <v>10791921</v>
      </c>
      <c r="I3323" s="28">
        <v>269740</v>
      </c>
      <c r="J3323" s="28">
        <v>0.99</v>
      </c>
      <c r="K3323" s="28">
        <v>70</v>
      </c>
      <c r="L3323" s="28">
        <v>0</v>
      </c>
    </row>
    <row r="3324" spans="1:12" ht="14.25" customHeight="1" x14ac:dyDescent="0.2">
      <c r="A3324" s="28">
        <v>3323</v>
      </c>
      <c r="B3324" s="28" t="s">
        <v>4370</v>
      </c>
      <c r="C3324" s="28" t="s">
        <v>4365</v>
      </c>
      <c r="D3324" s="28" t="s">
        <v>4366</v>
      </c>
      <c r="E3324" s="28" t="s">
        <v>211</v>
      </c>
      <c r="F3324" s="28" t="s">
        <v>2101</v>
      </c>
      <c r="G3324" s="28"/>
      <c r="H3324" s="28">
        <v>12168015</v>
      </c>
      <c r="I3324" s="28">
        <v>304143</v>
      </c>
      <c r="J3324" s="28">
        <v>0.99</v>
      </c>
      <c r="K3324" s="28">
        <v>37</v>
      </c>
      <c r="L3324" s="28">
        <v>0</v>
      </c>
    </row>
    <row r="3325" spans="1:12" ht="14.25" customHeight="1" x14ac:dyDescent="0.2">
      <c r="A3325" s="28">
        <v>3324</v>
      </c>
      <c r="B3325" s="28" t="s">
        <v>4371</v>
      </c>
      <c r="C3325" s="28" t="s">
        <v>4365</v>
      </c>
      <c r="D3325" s="28" t="s">
        <v>4366</v>
      </c>
      <c r="E3325" s="28" t="s">
        <v>211</v>
      </c>
      <c r="F3325" s="28" t="s">
        <v>2101</v>
      </c>
      <c r="G3325" s="28"/>
      <c r="H3325" s="28">
        <v>8495217</v>
      </c>
      <c r="I3325" s="28">
        <v>212323</v>
      </c>
      <c r="J3325" s="28">
        <v>0.99</v>
      </c>
      <c r="K3325" s="28">
        <v>48</v>
      </c>
      <c r="L3325" s="28">
        <v>1</v>
      </c>
    </row>
    <row r="3326" spans="1:12" ht="14.25" customHeight="1" x14ac:dyDescent="0.2">
      <c r="A3326" s="28">
        <v>3325</v>
      </c>
      <c r="B3326" s="28" t="s">
        <v>4372</v>
      </c>
      <c r="C3326" s="28" t="s">
        <v>4365</v>
      </c>
      <c r="D3326" s="28" t="s">
        <v>4366</v>
      </c>
      <c r="E3326" s="28" t="s">
        <v>211</v>
      </c>
      <c r="F3326" s="28" t="s">
        <v>2101</v>
      </c>
      <c r="G3326" s="28"/>
      <c r="H3326" s="28">
        <v>11431382</v>
      </c>
      <c r="I3326" s="28">
        <v>285727</v>
      </c>
      <c r="J3326" s="28">
        <v>0.99</v>
      </c>
      <c r="K3326" s="28">
        <v>13</v>
      </c>
      <c r="L3326" s="28">
        <v>0</v>
      </c>
    </row>
    <row r="3327" spans="1:12" ht="14.25" customHeight="1" x14ac:dyDescent="0.2">
      <c r="A3327" s="28">
        <v>3326</v>
      </c>
      <c r="B3327" s="28" t="s">
        <v>4373</v>
      </c>
      <c r="C3327" s="28" t="s">
        <v>4365</v>
      </c>
      <c r="D3327" s="28" t="s">
        <v>4366</v>
      </c>
      <c r="E3327" s="28" t="s">
        <v>211</v>
      </c>
      <c r="F3327" s="28" t="s">
        <v>2101</v>
      </c>
      <c r="G3327" s="28"/>
      <c r="H3327" s="28">
        <v>9499371</v>
      </c>
      <c r="I3327" s="28">
        <v>237426</v>
      </c>
      <c r="J3327" s="28">
        <v>0.99</v>
      </c>
      <c r="K3327" s="28">
        <v>20</v>
      </c>
      <c r="L3327" s="28">
        <v>1</v>
      </c>
    </row>
    <row r="3328" spans="1:12" ht="14.25" customHeight="1" x14ac:dyDescent="0.2">
      <c r="A3328" s="28">
        <v>3327</v>
      </c>
      <c r="B3328" s="28" t="s">
        <v>4374</v>
      </c>
      <c r="C3328" s="28" t="s">
        <v>4365</v>
      </c>
      <c r="D3328" s="28" t="s">
        <v>4366</v>
      </c>
      <c r="E3328" s="28" t="s">
        <v>211</v>
      </c>
      <c r="F3328" s="28" t="s">
        <v>2101</v>
      </c>
      <c r="G3328" s="28"/>
      <c r="H3328" s="28">
        <v>9047970</v>
      </c>
      <c r="I3328" s="28">
        <v>226142</v>
      </c>
      <c r="J3328" s="28">
        <v>0.99</v>
      </c>
      <c r="K3328" s="28">
        <v>93</v>
      </c>
      <c r="L3328" s="28">
        <v>0</v>
      </c>
    </row>
    <row r="3329" spans="1:12" ht="14.25" customHeight="1" x14ac:dyDescent="0.2">
      <c r="A3329" s="28">
        <v>3328</v>
      </c>
      <c r="B3329" s="28" t="s">
        <v>4375</v>
      </c>
      <c r="C3329" s="28" t="s">
        <v>4365</v>
      </c>
      <c r="D3329" s="28" t="s">
        <v>4366</v>
      </c>
      <c r="E3329" s="28" t="s">
        <v>211</v>
      </c>
      <c r="F3329" s="28" t="s">
        <v>2101</v>
      </c>
      <c r="G3329" s="28"/>
      <c r="H3329" s="28">
        <v>9317533</v>
      </c>
      <c r="I3329" s="28">
        <v>232881</v>
      </c>
      <c r="J3329" s="28">
        <v>0.99</v>
      </c>
      <c r="K3329" s="28">
        <v>5</v>
      </c>
      <c r="L3329" s="28">
        <v>1</v>
      </c>
    </row>
    <row r="3330" spans="1:12" ht="14.25" customHeight="1" x14ac:dyDescent="0.2">
      <c r="A3330" s="28">
        <v>3329</v>
      </c>
      <c r="B3330" s="28" t="s">
        <v>4376</v>
      </c>
      <c r="C3330" s="28" t="s">
        <v>4365</v>
      </c>
      <c r="D3330" s="28" t="s">
        <v>4366</v>
      </c>
      <c r="E3330" s="28" t="s">
        <v>211</v>
      </c>
      <c r="F3330" s="28" t="s">
        <v>2101</v>
      </c>
      <c r="G3330" s="28"/>
      <c r="H3330" s="28">
        <v>8865099</v>
      </c>
      <c r="I3330" s="28">
        <v>221570</v>
      </c>
      <c r="J3330" s="28">
        <v>0.99</v>
      </c>
      <c r="K3330" s="28">
        <v>75</v>
      </c>
      <c r="L3330" s="28">
        <v>0</v>
      </c>
    </row>
    <row r="3331" spans="1:12" ht="14.25" customHeight="1" x14ac:dyDescent="0.2">
      <c r="A3331" s="28">
        <v>3330</v>
      </c>
      <c r="B3331" s="28" t="s">
        <v>4377</v>
      </c>
      <c r="C3331" s="28" t="s">
        <v>4365</v>
      </c>
      <c r="D3331" s="28" t="s">
        <v>4366</v>
      </c>
      <c r="E3331" s="28" t="s">
        <v>211</v>
      </c>
      <c r="F3331" s="28" t="s">
        <v>2101</v>
      </c>
      <c r="G3331" s="28"/>
      <c r="H3331" s="28">
        <v>13152314</v>
      </c>
      <c r="I3331" s="28">
        <v>328751</v>
      </c>
      <c r="J3331" s="28">
        <v>0.99</v>
      </c>
      <c r="K3331" s="28">
        <v>39</v>
      </c>
      <c r="L3331" s="28">
        <v>0</v>
      </c>
    </row>
    <row r="3332" spans="1:12" ht="14.25" customHeight="1" x14ac:dyDescent="0.2">
      <c r="A3332" s="28">
        <v>3331</v>
      </c>
      <c r="B3332" s="28" t="s">
        <v>4378</v>
      </c>
      <c r="C3332" s="28" t="s">
        <v>4365</v>
      </c>
      <c r="D3332" s="28" t="s">
        <v>4366</v>
      </c>
      <c r="E3332" s="28" t="s">
        <v>211</v>
      </c>
      <c r="F3332" s="28" t="s">
        <v>2101</v>
      </c>
      <c r="G3332" s="28"/>
      <c r="H3332" s="28">
        <v>10181692</v>
      </c>
      <c r="I3332" s="28">
        <v>254484</v>
      </c>
      <c r="J3332" s="28">
        <v>0.99</v>
      </c>
      <c r="K3332" s="28">
        <v>70</v>
      </c>
      <c r="L3332" s="28">
        <v>0</v>
      </c>
    </row>
    <row r="3333" spans="1:12" ht="14.25" customHeight="1" x14ac:dyDescent="0.2">
      <c r="A3333" s="28">
        <v>3332</v>
      </c>
      <c r="B3333" s="28" t="s">
        <v>4379</v>
      </c>
      <c r="C3333" s="28" t="s">
        <v>4365</v>
      </c>
      <c r="D3333" s="28" t="s">
        <v>4366</v>
      </c>
      <c r="E3333" s="28" t="s">
        <v>211</v>
      </c>
      <c r="F3333" s="28" t="s">
        <v>2101</v>
      </c>
      <c r="G3333" s="28"/>
      <c r="H3333" s="28">
        <v>9495184</v>
      </c>
      <c r="I3333" s="28">
        <v>237322</v>
      </c>
      <c r="J3333" s="28">
        <v>0.99</v>
      </c>
      <c r="K3333" s="28">
        <v>62</v>
      </c>
      <c r="L3333" s="28">
        <v>1</v>
      </c>
    </row>
    <row r="3334" spans="1:12" ht="14.25" customHeight="1" x14ac:dyDescent="0.2">
      <c r="A3334" s="28">
        <v>3333</v>
      </c>
      <c r="B3334" s="28" t="s">
        <v>4380</v>
      </c>
      <c r="C3334" s="28" t="s">
        <v>4365</v>
      </c>
      <c r="D3334" s="28" t="s">
        <v>4366</v>
      </c>
      <c r="E3334" s="28" t="s">
        <v>211</v>
      </c>
      <c r="F3334" s="28" t="s">
        <v>2101</v>
      </c>
      <c r="G3334" s="28"/>
      <c r="H3334" s="28">
        <v>8874509</v>
      </c>
      <c r="I3334" s="28">
        <v>221805</v>
      </c>
      <c r="J3334" s="28">
        <v>0.99</v>
      </c>
      <c r="K3334" s="28">
        <v>31</v>
      </c>
      <c r="L3334" s="28">
        <v>1</v>
      </c>
    </row>
    <row r="3335" spans="1:12" ht="14.25" customHeight="1" x14ac:dyDescent="0.2">
      <c r="A3335" s="28">
        <v>3334</v>
      </c>
      <c r="B3335" s="28" t="s">
        <v>4381</v>
      </c>
      <c r="C3335" s="28" t="s">
        <v>4365</v>
      </c>
      <c r="D3335" s="28" t="s">
        <v>4366</v>
      </c>
      <c r="E3335" s="28" t="s">
        <v>211</v>
      </c>
      <c r="F3335" s="28" t="s">
        <v>2101</v>
      </c>
      <c r="G3335" s="28"/>
      <c r="H3335" s="28">
        <v>10988338</v>
      </c>
      <c r="I3335" s="28">
        <v>274651</v>
      </c>
      <c r="J3335" s="28">
        <v>0.99</v>
      </c>
      <c r="K3335" s="28">
        <v>67</v>
      </c>
      <c r="L3335" s="28">
        <v>0</v>
      </c>
    </row>
    <row r="3336" spans="1:12" ht="14.25" customHeight="1" x14ac:dyDescent="0.2">
      <c r="A3336" s="28">
        <v>3335</v>
      </c>
      <c r="B3336" s="28" t="s">
        <v>4382</v>
      </c>
      <c r="C3336" s="28" t="s">
        <v>4365</v>
      </c>
      <c r="D3336" s="28" t="s">
        <v>4366</v>
      </c>
      <c r="E3336" s="28" t="s">
        <v>211</v>
      </c>
      <c r="F3336" s="28" t="s">
        <v>2101</v>
      </c>
      <c r="G3336" s="28"/>
      <c r="H3336" s="28">
        <v>12741680</v>
      </c>
      <c r="I3336" s="28">
        <v>318484</v>
      </c>
      <c r="J3336" s="28">
        <v>0.99</v>
      </c>
      <c r="K3336" s="28">
        <v>73</v>
      </c>
      <c r="L3336" s="28">
        <v>0</v>
      </c>
    </row>
    <row r="3337" spans="1:12" ht="14.25" customHeight="1" x14ac:dyDescent="0.2">
      <c r="A3337" s="28">
        <v>3336</v>
      </c>
      <c r="B3337" s="28" t="s">
        <v>1536</v>
      </c>
      <c r="C3337" s="28" t="s">
        <v>4383</v>
      </c>
      <c r="D3337" s="28" t="s">
        <v>4384</v>
      </c>
      <c r="E3337" s="28" t="s">
        <v>4385</v>
      </c>
      <c r="F3337" s="28" t="s">
        <v>4386</v>
      </c>
      <c r="G3337" s="28"/>
      <c r="H3337" s="28">
        <v>8052374</v>
      </c>
      <c r="I3337" s="28">
        <v>234013</v>
      </c>
      <c r="J3337" s="28">
        <v>0.99</v>
      </c>
      <c r="K3337" s="28">
        <v>81</v>
      </c>
      <c r="L3337" s="28">
        <v>0</v>
      </c>
    </row>
    <row r="3338" spans="1:12" ht="14.25" customHeight="1" x14ac:dyDescent="0.2">
      <c r="A3338" s="28">
        <v>3337</v>
      </c>
      <c r="B3338" s="28" t="s">
        <v>4387</v>
      </c>
      <c r="C3338" s="28" t="s">
        <v>4388</v>
      </c>
      <c r="D3338" s="28" t="s">
        <v>3834</v>
      </c>
      <c r="E3338" s="28" t="s">
        <v>3790</v>
      </c>
      <c r="F3338" s="28" t="s">
        <v>3817</v>
      </c>
      <c r="G3338" s="28"/>
      <c r="H3338" s="28">
        <v>490796184</v>
      </c>
      <c r="I3338" s="28">
        <v>2492867</v>
      </c>
      <c r="J3338" s="28">
        <v>1.99</v>
      </c>
      <c r="K3338" s="28">
        <v>49</v>
      </c>
      <c r="L3338" s="28">
        <v>1</v>
      </c>
    </row>
    <row r="3339" spans="1:12" ht="14.25" customHeight="1" x14ac:dyDescent="0.2">
      <c r="A3339" s="28">
        <v>3338</v>
      </c>
      <c r="B3339" s="28" t="s">
        <v>4389</v>
      </c>
      <c r="C3339" s="28" t="s">
        <v>4388</v>
      </c>
      <c r="D3339" s="28" t="s">
        <v>3834</v>
      </c>
      <c r="E3339" s="28" t="s">
        <v>3790</v>
      </c>
      <c r="F3339" s="28" t="s">
        <v>3817</v>
      </c>
      <c r="G3339" s="28"/>
      <c r="H3339" s="28">
        <v>526865050</v>
      </c>
      <c r="I3339" s="28">
        <v>2611903</v>
      </c>
      <c r="J3339" s="28">
        <v>1.99</v>
      </c>
      <c r="K3339" s="28">
        <v>47</v>
      </c>
      <c r="L3339" s="28">
        <v>1</v>
      </c>
    </row>
    <row r="3340" spans="1:12" ht="14.25" customHeight="1" x14ac:dyDescent="0.2">
      <c r="A3340" s="28">
        <v>3339</v>
      </c>
      <c r="B3340" s="28" t="s">
        <v>4390</v>
      </c>
      <c r="C3340" s="28" t="s">
        <v>4388</v>
      </c>
      <c r="D3340" s="28" t="s">
        <v>3834</v>
      </c>
      <c r="E3340" s="28" t="s">
        <v>3790</v>
      </c>
      <c r="F3340" s="28" t="s">
        <v>3817</v>
      </c>
      <c r="G3340" s="28"/>
      <c r="H3340" s="28">
        <v>20831818</v>
      </c>
      <c r="I3340" s="28">
        <v>112712</v>
      </c>
      <c r="J3340" s="28">
        <v>1.99</v>
      </c>
      <c r="K3340" s="28">
        <v>88</v>
      </c>
      <c r="L3340" s="28">
        <v>0</v>
      </c>
    </row>
    <row r="3341" spans="1:12" ht="14.25" customHeight="1" x14ac:dyDescent="0.2">
      <c r="A3341" s="28">
        <v>3340</v>
      </c>
      <c r="B3341" s="28" t="s">
        <v>4391</v>
      </c>
      <c r="C3341" s="28" t="s">
        <v>4388</v>
      </c>
      <c r="D3341" s="28" t="s">
        <v>3834</v>
      </c>
      <c r="E3341" s="28" t="s">
        <v>3790</v>
      </c>
      <c r="F3341" s="28" t="s">
        <v>3817</v>
      </c>
      <c r="G3341" s="28"/>
      <c r="H3341" s="28">
        <v>98460675</v>
      </c>
      <c r="I3341" s="28">
        <v>497163</v>
      </c>
      <c r="J3341" s="28">
        <v>1.99</v>
      </c>
      <c r="K3341" s="28">
        <v>3</v>
      </c>
      <c r="L3341" s="28">
        <v>0</v>
      </c>
    </row>
    <row r="3342" spans="1:12" ht="14.25" customHeight="1" x14ac:dyDescent="0.2">
      <c r="A3342" s="28">
        <v>3341</v>
      </c>
      <c r="B3342" s="28" t="s">
        <v>4392</v>
      </c>
      <c r="C3342" s="28" t="s">
        <v>4388</v>
      </c>
      <c r="D3342" s="28" t="s">
        <v>3834</v>
      </c>
      <c r="E3342" s="28" t="s">
        <v>3790</v>
      </c>
      <c r="F3342" s="28" t="s">
        <v>3817</v>
      </c>
      <c r="G3342" s="28"/>
      <c r="H3342" s="28">
        <v>512168460</v>
      </c>
      <c r="I3342" s="28">
        <v>2611986</v>
      </c>
      <c r="J3342" s="28">
        <v>1.99</v>
      </c>
      <c r="K3342" s="28">
        <v>14</v>
      </c>
      <c r="L3342" s="28">
        <v>0</v>
      </c>
    </row>
    <row r="3343" spans="1:12" ht="14.25" customHeight="1" x14ac:dyDescent="0.2">
      <c r="A3343" s="28">
        <v>3342</v>
      </c>
      <c r="B3343" s="28" t="s">
        <v>4393</v>
      </c>
      <c r="C3343" s="28" t="s">
        <v>4388</v>
      </c>
      <c r="D3343" s="28" t="s">
        <v>3834</v>
      </c>
      <c r="E3343" s="28" t="s">
        <v>3790</v>
      </c>
      <c r="F3343" s="28" t="s">
        <v>3817</v>
      </c>
      <c r="G3343" s="28"/>
      <c r="H3343" s="28">
        <v>516934914</v>
      </c>
      <c r="I3343" s="28">
        <v>2609025</v>
      </c>
      <c r="J3343" s="28">
        <v>1.99</v>
      </c>
      <c r="K3343" s="28">
        <v>93</v>
      </c>
      <c r="L3343" s="28">
        <v>1</v>
      </c>
    </row>
    <row r="3344" spans="1:12" ht="14.25" customHeight="1" x14ac:dyDescent="0.2">
      <c r="A3344" s="28">
        <v>3343</v>
      </c>
      <c r="B3344" s="28" t="s">
        <v>4394</v>
      </c>
      <c r="C3344" s="28" t="s">
        <v>4388</v>
      </c>
      <c r="D3344" s="28" t="s">
        <v>3834</v>
      </c>
      <c r="E3344" s="28" t="s">
        <v>3790</v>
      </c>
      <c r="F3344" s="28" t="s">
        <v>3794</v>
      </c>
      <c r="G3344" s="28"/>
      <c r="H3344" s="28">
        <v>501061240</v>
      </c>
      <c r="I3344" s="28">
        <v>2608817</v>
      </c>
      <c r="J3344" s="28">
        <v>1.99</v>
      </c>
      <c r="K3344" s="28">
        <v>61</v>
      </c>
      <c r="L3344" s="28">
        <v>0</v>
      </c>
    </row>
    <row r="3345" spans="1:12" ht="14.25" customHeight="1" x14ac:dyDescent="0.2">
      <c r="A3345" s="28">
        <v>3344</v>
      </c>
      <c r="B3345" s="28" t="s">
        <v>4395</v>
      </c>
      <c r="C3345" s="28" t="s">
        <v>4388</v>
      </c>
      <c r="D3345" s="28" t="s">
        <v>3834</v>
      </c>
      <c r="E3345" s="28" t="s">
        <v>3790</v>
      </c>
      <c r="F3345" s="28" t="s">
        <v>3817</v>
      </c>
      <c r="G3345" s="28"/>
      <c r="H3345" s="28">
        <v>520209363</v>
      </c>
      <c r="I3345" s="28">
        <v>2611569</v>
      </c>
      <c r="J3345" s="28">
        <v>1.99</v>
      </c>
      <c r="K3345" s="28">
        <v>90</v>
      </c>
      <c r="L3345" s="28">
        <v>0</v>
      </c>
    </row>
    <row r="3346" spans="1:12" ht="14.25" customHeight="1" x14ac:dyDescent="0.2">
      <c r="A3346" s="28">
        <v>3345</v>
      </c>
      <c r="B3346" s="28" t="s">
        <v>4396</v>
      </c>
      <c r="C3346" s="28" t="s">
        <v>4388</v>
      </c>
      <c r="D3346" s="28" t="s">
        <v>3834</v>
      </c>
      <c r="E3346" s="28" t="s">
        <v>3790</v>
      </c>
      <c r="F3346" s="28" t="s">
        <v>3817</v>
      </c>
      <c r="G3346" s="28"/>
      <c r="H3346" s="28">
        <v>513246663</v>
      </c>
      <c r="I3346" s="28">
        <v>2605021</v>
      </c>
      <c r="J3346" s="28">
        <v>1.99</v>
      </c>
      <c r="K3346" s="28">
        <v>74</v>
      </c>
      <c r="L3346" s="28">
        <v>0</v>
      </c>
    </row>
    <row r="3347" spans="1:12" ht="14.25" customHeight="1" x14ac:dyDescent="0.2">
      <c r="A3347" s="28">
        <v>3346</v>
      </c>
      <c r="B3347" s="28" t="s">
        <v>4397</v>
      </c>
      <c r="C3347" s="28" t="s">
        <v>4388</v>
      </c>
      <c r="D3347" s="28" t="s">
        <v>3834</v>
      </c>
      <c r="E3347" s="28" t="s">
        <v>3790</v>
      </c>
      <c r="F3347" s="28" t="s">
        <v>3794</v>
      </c>
      <c r="G3347" s="28"/>
      <c r="H3347" s="28">
        <v>506458858</v>
      </c>
      <c r="I3347" s="28">
        <v>2588797</v>
      </c>
      <c r="J3347" s="28">
        <v>1.99</v>
      </c>
      <c r="K3347" s="28">
        <v>54</v>
      </c>
      <c r="L3347" s="28">
        <v>1</v>
      </c>
    </row>
    <row r="3348" spans="1:12" ht="14.25" customHeight="1" x14ac:dyDescent="0.2">
      <c r="A3348" s="28">
        <v>3347</v>
      </c>
      <c r="B3348" s="28" t="s">
        <v>4398</v>
      </c>
      <c r="C3348" s="28" t="s">
        <v>4388</v>
      </c>
      <c r="D3348" s="28" t="s">
        <v>3834</v>
      </c>
      <c r="E3348" s="28" t="s">
        <v>3790</v>
      </c>
      <c r="F3348" s="28" t="s">
        <v>3794</v>
      </c>
      <c r="G3348" s="28"/>
      <c r="H3348" s="28">
        <v>504132981</v>
      </c>
      <c r="I3348" s="28">
        <v>2612028</v>
      </c>
      <c r="J3348" s="28">
        <v>1.99</v>
      </c>
      <c r="K3348" s="28">
        <v>27</v>
      </c>
      <c r="L3348" s="28">
        <v>1</v>
      </c>
    </row>
    <row r="3349" spans="1:12" ht="14.25" customHeight="1" x14ac:dyDescent="0.2">
      <c r="A3349" s="28">
        <v>3348</v>
      </c>
      <c r="B3349" s="28" t="s">
        <v>4399</v>
      </c>
      <c r="C3349" s="28" t="s">
        <v>4388</v>
      </c>
      <c r="D3349" s="28" t="s">
        <v>3834</v>
      </c>
      <c r="E3349" s="28" t="s">
        <v>3790</v>
      </c>
      <c r="F3349" s="28" t="s">
        <v>3817</v>
      </c>
      <c r="G3349" s="28"/>
      <c r="H3349" s="28">
        <v>502284266</v>
      </c>
      <c r="I3349" s="28">
        <v>2591299</v>
      </c>
      <c r="J3349" s="28">
        <v>1.99</v>
      </c>
      <c r="K3349" s="28">
        <v>48</v>
      </c>
      <c r="L3349" s="28">
        <v>0</v>
      </c>
    </row>
    <row r="3350" spans="1:12" ht="14.25" customHeight="1" x14ac:dyDescent="0.2">
      <c r="A3350" s="28">
        <v>3349</v>
      </c>
      <c r="B3350" s="28" t="s">
        <v>4400</v>
      </c>
      <c r="C3350" s="28" t="s">
        <v>4401</v>
      </c>
      <c r="D3350" s="28" t="s">
        <v>4402</v>
      </c>
      <c r="E3350" s="28" t="s">
        <v>4403</v>
      </c>
      <c r="F3350" s="28" t="s">
        <v>305</v>
      </c>
      <c r="G3350" s="28" t="s">
        <v>4404</v>
      </c>
      <c r="H3350" s="28">
        <v>4011615</v>
      </c>
      <c r="I3350" s="28">
        <v>246503</v>
      </c>
      <c r="J3350" s="28">
        <v>0.99</v>
      </c>
      <c r="K3350" s="28">
        <v>77</v>
      </c>
      <c r="L3350" s="28">
        <v>0</v>
      </c>
    </row>
    <row r="3351" spans="1:12" ht="14.25" customHeight="1" x14ac:dyDescent="0.2">
      <c r="A3351" s="28">
        <v>3350</v>
      </c>
      <c r="B3351" s="28" t="s">
        <v>4405</v>
      </c>
      <c r="C3351" s="28" t="s">
        <v>4401</v>
      </c>
      <c r="D3351" s="28" t="s">
        <v>4402</v>
      </c>
      <c r="E3351" s="28" t="s">
        <v>4403</v>
      </c>
      <c r="F3351" s="28" t="s">
        <v>305</v>
      </c>
      <c r="G3351" s="28" t="s">
        <v>4406</v>
      </c>
      <c r="H3351" s="28">
        <v>4821485</v>
      </c>
      <c r="I3351" s="28">
        <v>307385</v>
      </c>
      <c r="J3351" s="28">
        <v>0.99</v>
      </c>
      <c r="K3351" s="28">
        <v>90</v>
      </c>
      <c r="L3351" s="28">
        <v>0</v>
      </c>
    </row>
    <row r="3352" spans="1:12" ht="14.25" customHeight="1" x14ac:dyDescent="0.2">
      <c r="A3352" s="28">
        <v>3351</v>
      </c>
      <c r="B3352" s="28" t="s">
        <v>4407</v>
      </c>
      <c r="C3352" s="28" t="s">
        <v>4408</v>
      </c>
      <c r="D3352" s="28" t="s">
        <v>4409</v>
      </c>
      <c r="E3352" s="28" t="s">
        <v>4403</v>
      </c>
      <c r="F3352" s="28" t="s">
        <v>2202</v>
      </c>
      <c r="G3352" s="28" t="s">
        <v>4410</v>
      </c>
      <c r="H3352" s="28">
        <v>4615841</v>
      </c>
      <c r="I3352" s="28">
        <v>285837</v>
      </c>
      <c r="J3352" s="28">
        <v>0.99</v>
      </c>
      <c r="K3352" s="28">
        <v>62</v>
      </c>
      <c r="L3352" s="28">
        <v>1</v>
      </c>
    </row>
    <row r="3353" spans="1:12" ht="14.25" customHeight="1" x14ac:dyDescent="0.2">
      <c r="A3353" s="28">
        <v>3352</v>
      </c>
      <c r="B3353" s="28" t="s">
        <v>4411</v>
      </c>
      <c r="C3353" s="28" t="s">
        <v>4412</v>
      </c>
      <c r="D3353" s="28" t="s">
        <v>4413</v>
      </c>
      <c r="E3353" s="28" t="s">
        <v>4403</v>
      </c>
      <c r="F3353" s="28" t="s">
        <v>2101</v>
      </c>
      <c r="G3353" s="28" t="s">
        <v>4414</v>
      </c>
      <c r="H3353" s="28">
        <v>5327463</v>
      </c>
      <c r="I3353" s="28">
        <v>327122</v>
      </c>
      <c r="J3353" s="28">
        <v>0.99</v>
      </c>
      <c r="K3353" s="28">
        <v>5</v>
      </c>
      <c r="L3353" s="28">
        <v>0</v>
      </c>
    </row>
    <row r="3354" spans="1:12" ht="14.25" customHeight="1" x14ac:dyDescent="0.2">
      <c r="A3354" s="28">
        <v>3353</v>
      </c>
      <c r="B3354" s="28" t="s">
        <v>4415</v>
      </c>
      <c r="C3354" s="28" t="s">
        <v>4416</v>
      </c>
      <c r="D3354" s="28" t="s">
        <v>4417</v>
      </c>
      <c r="E3354" s="28" t="s">
        <v>4403</v>
      </c>
      <c r="F3354" s="28" t="s">
        <v>212</v>
      </c>
      <c r="G3354" s="28" t="s">
        <v>4418</v>
      </c>
      <c r="H3354" s="28">
        <v>3453849</v>
      </c>
      <c r="I3354" s="28">
        <v>212044</v>
      </c>
      <c r="J3354" s="28">
        <v>0.99</v>
      </c>
      <c r="K3354" s="28">
        <v>17</v>
      </c>
      <c r="L3354" s="28">
        <v>0</v>
      </c>
    </row>
    <row r="3355" spans="1:12" ht="14.25" customHeight="1" x14ac:dyDescent="0.2">
      <c r="A3355" s="28">
        <v>3354</v>
      </c>
      <c r="B3355" s="28" t="s">
        <v>4419</v>
      </c>
      <c r="C3355" s="28" t="s">
        <v>4408</v>
      </c>
      <c r="D3355" s="28" t="s">
        <v>4409</v>
      </c>
      <c r="E3355" s="28" t="s">
        <v>4403</v>
      </c>
      <c r="F3355" s="28" t="s">
        <v>2202</v>
      </c>
      <c r="G3355" s="28" t="s">
        <v>4410</v>
      </c>
      <c r="H3355" s="28">
        <v>4855457</v>
      </c>
      <c r="I3355" s="28">
        <v>300605</v>
      </c>
      <c r="J3355" s="28">
        <v>0.99</v>
      </c>
      <c r="K3355" s="28">
        <v>42</v>
      </c>
      <c r="L3355" s="28">
        <v>0</v>
      </c>
    </row>
    <row r="3356" spans="1:12" ht="14.25" customHeight="1" x14ac:dyDescent="0.2">
      <c r="A3356" s="28">
        <v>3355</v>
      </c>
      <c r="B3356" s="28" t="s">
        <v>4420</v>
      </c>
      <c r="C3356" s="28" t="s">
        <v>4416</v>
      </c>
      <c r="D3356" s="28" t="s">
        <v>4417</v>
      </c>
      <c r="E3356" s="28" t="s">
        <v>4403</v>
      </c>
      <c r="F3356" s="28" t="s">
        <v>212</v>
      </c>
      <c r="G3356" s="28" t="s">
        <v>4418</v>
      </c>
      <c r="H3356" s="28">
        <v>3240609</v>
      </c>
      <c r="I3356" s="28">
        <v>199923</v>
      </c>
      <c r="J3356" s="28">
        <v>0.99</v>
      </c>
      <c r="K3356" s="28">
        <v>7</v>
      </c>
      <c r="L3356" s="28">
        <v>1</v>
      </c>
    </row>
    <row r="3357" spans="1:12" ht="14.25" customHeight="1" x14ac:dyDescent="0.2">
      <c r="A3357" s="28">
        <v>3356</v>
      </c>
      <c r="B3357" s="28" t="s">
        <v>4421</v>
      </c>
      <c r="C3357" s="28" t="s">
        <v>4422</v>
      </c>
      <c r="D3357" s="28" t="s">
        <v>4423</v>
      </c>
      <c r="E3357" s="28" t="s">
        <v>4403</v>
      </c>
      <c r="F3357" s="28" t="s">
        <v>490</v>
      </c>
      <c r="G3357" s="28" t="s">
        <v>4424</v>
      </c>
      <c r="H3357" s="28">
        <v>2775071</v>
      </c>
      <c r="I3357" s="28">
        <v>172710</v>
      </c>
      <c r="J3357" s="28">
        <v>0.99</v>
      </c>
      <c r="K3357" s="28">
        <v>93</v>
      </c>
      <c r="L3357" s="28">
        <v>1</v>
      </c>
    </row>
    <row r="3358" spans="1:12" ht="14.25" customHeight="1" x14ac:dyDescent="0.2">
      <c r="A3358" s="28">
        <v>3357</v>
      </c>
      <c r="B3358" s="28" t="s">
        <v>4425</v>
      </c>
      <c r="C3358" s="28" t="s">
        <v>4426</v>
      </c>
      <c r="D3358" s="28" t="s">
        <v>4427</v>
      </c>
      <c r="E3358" s="28" t="s">
        <v>4403</v>
      </c>
      <c r="F3358" s="28" t="s">
        <v>305</v>
      </c>
      <c r="G3358" s="28" t="s">
        <v>4427</v>
      </c>
      <c r="H3358" s="28">
        <v>4292028</v>
      </c>
      <c r="I3358" s="28">
        <v>266936</v>
      </c>
      <c r="J3358" s="28">
        <v>0.99</v>
      </c>
      <c r="K3358" s="28">
        <v>13</v>
      </c>
      <c r="L3358" s="28">
        <v>0</v>
      </c>
    </row>
    <row r="3359" spans="1:12" ht="14.25" customHeight="1" x14ac:dyDescent="0.2">
      <c r="A3359" s="28">
        <v>3358</v>
      </c>
      <c r="B3359" s="28" t="s">
        <v>4428</v>
      </c>
      <c r="C3359" s="28" t="s">
        <v>4412</v>
      </c>
      <c r="D3359" s="28" t="s">
        <v>4413</v>
      </c>
      <c r="E3359" s="28" t="s">
        <v>4403</v>
      </c>
      <c r="F3359" s="28" t="s">
        <v>2101</v>
      </c>
      <c r="G3359" s="28" t="s">
        <v>4413</v>
      </c>
      <c r="H3359" s="28">
        <v>6034098</v>
      </c>
      <c r="I3359" s="28">
        <v>366085</v>
      </c>
      <c r="J3359" s="28">
        <v>0.99</v>
      </c>
      <c r="K3359" s="28">
        <v>44</v>
      </c>
      <c r="L3359" s="28">
        <v>0</v>
      </c>
    </row>
    <row r="3360" spans="1:12" ht="14.25" customHeight="1" x14ac:dyDescent="0.2">
      <c r="A3360" s="28">
        <v>3359</v>
      </c>
      <c r="B3360" s="28" t="s">
        <v>4429</v>
      </c>
      <c r="C3360" s="28" t="s">
        <v>4430</v>
      </c>
      <c r="D3360" s="28" t="s">
        <v>4431</v>
      </c>
      <c r="E3360" s="28" t="s">
        <v>4403</v>
      </c>
      <c r="F3360" s="28" t="s">
        <v>4432</v>
      </c>
      <c r="G3360" s="28" t="s">
        <v>4433</v>
      </c>
      <c r="H3360" s="28">
        <v>5817216</v>
      </c>
      <c r="I3360" s="28">
        <v>356426</v>
      </c>
      <c r="J3360" s="28">
        <v>0.99</v>
      </c>
      <c r="K3360" s="28">
        <v>95</v>
      </c>
      <c r="L3360" s="28">
        <v>0</v>
      </c>
    </row>
    <row r="3361" spans="1:12" ht="14.25" customHeight="1" x14ac:dyDescent="0.2">
      <c r="A3361" s="28">
        <v>3360</v>
      </c>
      <c r="B3361" s="28" t="s">
        <v>4434</v>
      </c>
      <c r="C3361" s="28" t="s">
        <v>4388</v>
      </c>
      <c r="D3361" s="28" t="s">
        <v>3834</v>
      </c>
      <c r="E3361" s="28" t="s">
        <v>3790</v>
      </c>
      <c r="F3361" s="28" t="s">
        <v>3817</v>
      </c>
      <c r="G3361" s="28"/>
      <c r="H3361" s="28">
        <v>484711353</v>
      </c>
      <c r="I3361" s="28">
        <v>2612779</v>
      </c>
      <c r="J3361" s="28">
        <v>1.99</v>
      </c>
      <c r="K3361" s="28">
        <v>47</v>
      </c>
      <c r="L3361" s="28">
        <v>1</v>
      </c>
    </row>
    <row r="3362" spans="1:12" ht="14.25" customHeight="1" x14ac:dyDescent="0.2">
      <c r="A3362" s="28">
        <v>3361</v>
      </c>
      <c r="B3362" s="28" t="s">
        <v>4435</v>
      </c>
      <c r="C3362" s="28" t="s">
        <v>4388</v>
      </c>
      <c r="D3362" s="28" t="s">
        <v>3834</v>
      </c>
      <c r="E3362" s="28" t="s">
        <v>3790</v>
      </c>
      <c r="F3362" s="28" t="s">
        <v>3817</v>
      </c>
      <c r="G3362" s="28"/>
      <c r="H3362" s="28">
        <v>477733942</v>
      </c>
      <c r="I3362" s="28">
        <v>2612028</v>
      </c>
      <c r="J3362" s="28">
        <v>1.99</v>
      </c>
      <c r="K3362" s="28">
        <v>45</v>
      </c>
      <c r="L3362" s="28">
        <v>0</v>
      </c>
    </row>
    <row r="3363" spans="1:12" ht="14.25" customHeight="1" x14ac:dyDescent="0.2">
      <c r="A3363" s="28">
        <v>3362</v>
      </c>
      <c r="B3363" s="28" t="s">
        <v>4436</v>
      </c>
      <c r="C3363" s="28" t="s">
        <v>4388</v>
      </c>
      <c r="D3363" s="28" t="s">
        <v>3834</v>
      </c>
      <c r="E3363" s="28" t="s">
        <v>3790</v>
      </c>
      <c r="F3363" s="28" t="s">
        <v>3817</v>
      </c>
      <c r="G3363" s="28"/>
      <c r="H3363" s="28">
        <v>522919189</v>
      </c>
      <c r="I3363" s="28">
        <v>2609526</v>
      </c>
      <c r="J3363" s="28">
        <v>1.99</v>
      </c>
      <c r="K3363" s="28">
        <v>85</v>
      </c>
      <c r="L3363" s="28">
        <v>0</v>
      </c>
    </row>
    <row r="3364" spans="1:12" ht="14.25" customHeight="1" x14ac:dyDescent="0.2">
      <c r="A3364" s="28">
        <v>3363</v>
      </c>
      <c r="B3364" s="28" t="s">
        <v>4437</v>
      </c>
      <c r="C3364" s="28" t="s">
        <v>4388</v>
      </c>
      <c r="D3364" s="28" t="s">
        <v>3834</v>
      </c>
      <c r="E3364" s="28" t="s">
        <v>3790</v>
      </c>
      <c r="F3364" s="28" t="s">
        <v>3817</v>
      </c>
      <c r="G3364" s="28"/>
      <c r="H3364" s="28">
        <v>523748920</v>
      </c>
      <c r="I3364" s="28">
        <v>2497956</v>
      </c>
      <c r="J3364" s="28">
        <v>1.99</v>
      </c>
      <c r="K3364" s="28">
        <v>73</v>
      </c>
      <c r="L3364" s="28">
        <v>0</v>
      </c>
    </row>
    <row r="3365" spans="1:12" ht="14.25" customHeight="1" x14ac:dyDescent="0.2">
      <c r="A3365" s="28">
        <v>3364</v>
      </c>
      <c r="B3365" s="28" t="s">
        <v>4438</v>
      </c>
      <c r="C3365" s="28" t="s">
        <v>4388</v>
      </c>
      <c r="D3365" s="28" t="s">
        <v>3834</v>
      </c>
      <c r="E3365" s="28" t="s">
        <v>3790</v>
      </c>
      <c r="F3365" s="28" t="s">
        <v>3817</v>
      </c>
      <c r="G3365" s="28"/>
      <c r="H3365" s="28">
        <v>486161766</v>
      </c>
      <c r="I3365" s="28">
        <v>2582957</v>
      </c>
      <c r="J3365" s="28">
        <v>1.99</v>
      </c>
      <c r="K3365" s="28">
        <v>25</v>
      </c>
      <c r="L3365" s="28">
        <v>1</v>
      </c>
    </row>
    <row r="3366" spans="1:12" ht="14.25" customHeight="1" x14ac:dyDescent="0.2">
      <c r="A3366" s="28">
        <v>3365</v>
      </c>
      <c r="B3366" s="28" t="s">
        <v>4439</v>
      </c>
      <c r="C3366" s="28" t="s">
        <v>4440</v>
      </c>
      <c r="D3366" s="28" t="s">
        <v>4440</v>
      </c>
      <c r="E3366" s="28" t="s">
        <v>216</v>
      </c>
      <c r="F3366" s="28" t="s">
        <v>4386</v>
      </c>
      <c r="G3366" s="28"/>
      <c r="H3366" s="28">
        <v>6477217</v>
      </c>
      <c r="I3366" s="28">
        <v>384497</v>
      </c>
      <c r="J3366" s="28">
        <v>0.99</v>
      </c>
      <c r="K3366" s="28">
        <v>46</v>
      </c>
      <c r="L3366" s="28">
        <v>1</v>
      </c>
    </row>
    <row r="3367" spans="1:12" ht="14.25" customHeight="1" x14ac:dyDescent="0.2">
      <c r="A3367" s="28">
        <v>3366</v>
      </c>
      <c r="B3367" s="28" t="s">
        <v>4441</v>
      </c>
      <c r="C3367" s="28" t="s">
        <v>4440</v>
      </c>
      <c r="D3367" s="28" t="s">
        <v>4440</v>
      </c>
      <c r="E3367" s="28" t="s">
        <v>216</v>
      </c>
      <c r="F3367" s="28" t="s">
        <v>4386</v>
      </c>
      <c r="G3367" s="28"/>
      <c r="H3367" s="28">
        <v>11157785</v>
      </c>
      <c r="I3367" s="28">
        <v>672773</v>
      </c>
      <c r="J3367" s="28">
        <v>0.99</v>
      </c>
      <c r="K3367" s="28">
        <v>47</v>
      </c>
      <c r="L3367" s="28">
        <v>0</v>
      </c>
    </row>
    <row r="3368" spans="1:12" ht="14.25" customHeight="1" x14ac:dyDescent="0.2">
      <c r="A3368" s="28">
        <v>3367</v>
      </c>
      <c r="B3368" s="28" t="s">
        <v>4442</v>
      </c>
      <c r="C3368" s="28" t="s">
        <v>4440</v>
      </c>
      <c r="D3368" s="28" t="s">
        <v>4440</v>
      </c>
      <c r="E3368" s="28" t="s">
        <v>216</v>
      </c>
      <c r="F3368" s="28" t="s">
        <v>4386</v>
      </c>
      <c r="G3368" s="28"/>
      <c r="H3368" s="28">
        <v>4233212</v>
      </c>
      <c r="I3368" s="28">
        <v>246292</v>
      </c>
      <c r="J3368" s="28">
        <v>0.99</v>
      </c>
      <c r="K3368" s="28">
        <v>75</v>
      </c>
      <c r="L3368" s="28">
        <v>0</v>
      </c>
    </row>
    <row r="3369" spans="1:12" ht="14.25" customHeight="1" x14ac:dyDescent="0.2">
      <c r="A3369" s="28">
        <v>3368</v>
      </c>
      <c r="B3369" s="28" t="s">
        <v>4443</v>
      </c>
      <c r="C3369" s="28" t="s">
        <v>4440</v>
      </c>
      <c r="D3369" s="28" t="s">
        <v>4440</v>
      </c>
      <c r="E3369" s="28" t="s">
        <v>216</v>
      </c>
      <c r="F3369" s="28" t="s">
        <v>4386</v>
      </c>
      <c r="G3369" s="28"/>
      <c r="H3369" s="28">
        <v>3892066</v>
      </c>
      <c r="I3369" s="28">
        <v>225278</v>
      </c>
      <c r="J3369" s="28">
        <v>0.99</v>
      </c>
      <c r="K3369" s="28">
        <v>19</v>
      </c>
      <c r="L3369" s="28">
        <v>0</v>
      </c>
    </row>
    <row r="3370" spans="1:12" ht="14.25" customHeight="1" x14ac:dyDescent="0.2">
      <c r="A3370" s="28">
        <v>3369</v>
      </c>
      <c r="B3370" s="28" t="s">
        <v>4444</v>
      </c>
      <c r="C3370" s="28" t="s">
        <v>4440</v>
      </c>
      <c r="D3370" s="28" t="s">
        <v>4440</v>
      </c>
      <c r="E3370" s="28" t="s">
        <v>216</v>
      </c>
      <c r="F3370" s="28" t="s">
        <v>4386</v>
      </c>
      <c r="G3370" s="28"/>
      <c r="H3370" s="28">
        <v>5177612</v>
      </c>
      <c r="I3370" s="28">
        <v>304458</v>
      </c>
      <c r="J3370" s="28">
        <v>0.99</v>
      </c>
      <c r="K3370" s="28">
        <v>55</v>
      </c>
      <c r="L3370" s="28">
        <v>1</v>
      </c>
    </row>
    <row r="3371" spans="1:12" ht="14.25" customHeight="1" x14ac:dyDescent="0.2">
      <c r="A3371" s="28">
        <v>3370</v>
      </c>
      <c r="B3371" s="28" t="s">
        <v>4445</v>
      </c>
      <c r="C3371" s="28" t="s">
        <v>4440</v>
      </c>
      <c r="D3371" s="28" t="s">
        <v>4440</v>
      </c>
      <c r="E3371" s="28" t="s">
        <v>216</v>
      </c>
      <c r="F3371" s="28" t="s">
        <v>4386</v>
      </c>
      <c r="G3371" s="28"/>
      <c r="H3371" s="28">
        <v>5795951</v>
      </c>
      <c r="I3371" s="28">
        <v>342539</v>
      </c>
      <c r="J3371" s="28">
        <v>0.99</v>
      </c>
      <c r="K3371" s="28">
        <v>26</v>
      </c>
      <c r="L3371" s="28">
        <v>0</v>
      </c>
    </row>
    <row r="3372" spans="1:12" ht="14.25" customHeight="1" x14ac:dyDescent="0.2">
      <c r="A3372" s="28">
        <v>3371</v>
      </c>
      <c r="B3372" s="28" t="s">
        <v>4446</v>
      </c>
      <c r="C3372" s="28" t="s">
        <v>4440</v>
      </c>
      <c r="D3372" s="28" t="s">
        <v>4440</v>
      </c>
      <c r="E3372" s="28" t="s">
        <v>216</v>
      </c>
      <c r="F3372" s="28" t="s">
        <v>4386</v>
      </c>
      <c r="G3372" s="28"/>
      <c r="H3372" s="28">
        <v>4302603</v>
      </c>
      <c r="I3372" s="28">
        <v>250565</v>
      </c>
      <c r="J3372" s="28">
        <v>0.99</v>
      </c>
      <c r="K3372" s="28">
        <v>34</v>
      </c>
      <c r="L3372" s="28">
        <v>0</v>
      </c>
    </row>
    <row r="3373" spans="1:12" ht="14.25" customHeight="1" x14ac:dyDescent="0.2">
      <c r="A3373" s="28">
        <v>3372</v>
      </c>
      <c r="B3373" s="28" t="s">
        <v>4447</v>
      </c>
      <c r="C3373" s="28" t="s">
        <v>4440</v>
      </c>
      <c r="D3373" s="28" t="s">
        <v>4440</v>
      </c>
      <c r="E3373" s="28" t="s">
        <v>216</v>
      </c>
      <c r="F3373" s="28" t="s">
        <v>4386</v>
      </c>
      <c r="G3373" s="28"/>
      <c r="H3373" s="28">
        <v>4199626</v>
      </c>
      <c r="I3373" s="28">
        <v>244226</v>
      </c>
      <c r="J3373" s="28">
        <v>0.99</v>
      </c>
      <c r="K3373" s="28">
        <v>41</v>
      </c>
      <c r="L3373" s="28">
        <v>0</v>
      </c>
    </row>
    <row r="3374" spans="1:12" ht="14.25" customHeight="1" x14ac:dyDescent="0.2">
      <c r="A3374" s="28">
        <v>3373</v>
      </c>
      <c r="B3374" s="28" t="s">
        <v>4448</v>
      </c>
      <c r="C3374" s="28" t="s">
        <v>4440</v>
      </c>
      <c r="D3374" s="28" t="s">
        <v>4440</v>
      </c>
      <c r="E3374" s="28" t="s">
        <v>216</v>
      </c>
      <c r="F3374" s="28" t="s">
        <v>4386</v>
      </c>
      <c r="G3374" s="28"/>
      <c r="H3374" s="28">
        <v>6964048</v>
      </c>
      <c r="I3374" s="28">
        <v>414474</v>
      </c>
      <c r="J3374" s="28">
        <v>0.99</v>
      </c>
      <c r="K3374" s="28">
        <v>81</v>
      </c>
      <c r="L3374" s="28">
        <v>1</v>
      </c>
    </row>
    <row r="3375" spans="1:12" ht="14.25" customHeight="1" x14ac:dyDescent="0.2">
      <c r="A3375" s="28">
        <v>3374</v>
      </c>
      <c r="B3375" s="28" t="s">
        <v>4449</v>
      </c>
      <c r="C3375" s="28" t="s">
        <v>4440</v>
      </c>
      <c r="D3375" s="28" t="s">
        <v>4440</v>
      </c>
      <c r="E3375" s="28" t="s">
        <v>216</v>
      </c>
      <c r="F3375" s="28" t="s">
        <v>4386</v>
      </c>
      <c r="G3375" s="28"/>
      <c r="H3375" s="28">
        <v>3997982</v>
      </c>
      <c r="I3375" s="28">
        <v>231803</v>
      </c>
      <c r="J3375" s="28">
        <v>0.99</v>
      </c>
      <c r="K3375" s="28">
        <v>9</v>
      </c>
      <c r="L3375" s="28">
        <v>1</v>
      </c>
    </row>
    <row r="3376" spans="1:12" ht="14.25" customHeight="1" x14ac:dyDescent="0.2">
      <c r="A3376" s="28">
        <v>3375</v>
      </c>
      <c r="B3376" s="28" t="s">
        <v>4450</v>
      </c>
      <c r="C3376" s="28" t="s">
        <v>4451</v>
      </c>
      <c r="D3376" s="28" t="s">
        <v>3395</v>
      </c>
      <c r="E3376" s="28" t="s">
        <v>216</v>
      </c>
      <c r="F3376" s="28" t="s">
        <v>4386</v>
      </c>
      <c r="G3376" s="28" t="s">
        <v>3395</v>
      </c>
      <c r="H3376" s="28">
        <v>3691272</v>
      </c>
      <c r="I3376" s="28">
        <v>224837</v>
      </c>
      <c r="J3376" s="28">
        <v>0.99</v>
      </c>
      <c r="K3376" s="28">
        <v>97</v>
      </c>
      <c r="L3376" s="28">
        <v>0</v>
      </c>
    </row>
    <row r="3377" spans="1:12" ht="14.25" customHeight="1" x14ac:dyDescent="0.2">
      <c r="A3377" s="28">
        <v>3376</v>
      </c>
      <c r="B3377" s="28" t="s">
        <v>4452</v>
      </c>
      <c r="C3377" s="28" t="s">
        <v>4451</v>
      </c>
      <c r="D3377" s="28" t="s">
        <v>3395</v>
      </c>
      <c r="E3377" s="28" t="s">
        <v>216</v>
      </c>
      <c r="F3377" s="28" t="s">
        <v>4386</v>
      </c>
      <c r="G3377" s="28" t="s">
        <v>3395</v>
      </c>
      <c r="H3377" s="28">
        <v>3890037</v>
      </c>
      <c r="I3377" s="28">
        <v>237120</v>
      </c>
      <c r="J3377" s="28">
        <v>0.99</v>
      </c>
      <c r="K3377" s="28">
        <v>91</v>
      </c>
      <c r="L3377" s="28">
        <v>0</v>
      </c>
    </row>
    <row r="3378" spans="1:12" ht="14.25" customHeight="1" x14ac:dyDescent="0.2">
      <c r="A3378" s="28">
        <v>3377</v>
      </c>
      <c r="B3378" s="28" t="s">
        <v>4453</v>
      </c>
      <c r="C3378" s="28" t="s">
        <v>4451</v>
      </c>
      <c r="D3378" s="28" t="s">
        <v>3395</v>
      </c>
      <c r="E3378" s="28" t="s">
        <v>216</v>
      </c>
      <c r="F3378" s="28" t="s">
        <v>4386</v>
      </c>
      <c r="G3378" s="28" t="s">
        <v>3395</v>
      </c>
      <c r="H3378" s="28">
        <v>3516224</v>
      </c>
      <c r="I3378" s="28">
        <v>214016</v>
      </c>
      <c r="J3378" s="28">
        <v>0.99</v>
      </c>
      <c r="K3378" s="28">
        <v>8</v>
      </c>
      <c r="L3378" s="28">
        <v>0</v>
      </c>
    </row>
    <row r="3379" spans="1:12" ht="14.25" customHeight="1" x14ac:dyDescent="0.2">
      <c r="A3379" s="28">
        <v>3378</v>
      </c>
      <c r="B3379" s="28" t="s">
        <v>4454</v>
      </c>
      <c r="C3379" s="28" t="s">
        <v>4451</v>
      </c>
      <c r="D3379" s="28" t="s">
        <v>3395</v>
      </c>
      <c r="E3379" s="28" t="s">
        <v>216</v>
      </c>
      <c r="F3379" s="28" t="s">
        <v>4386</v>
      </c>
      <c r="G3379" s="28" t="s">
        <v>3395</v>
      </c>
      <c r="H3379" s="28">
        <v>4207769</v>
      </c>
      <c r="I3379" s="28">
        <v>256764</v>
      </c>
      <c r="J3379" s="28">
        <v>0.99</v>
      </c>
      <c r="K3379" s="28">
        <v>58</v>
      </c>
      <c r="L3379" s="28">
        <v>1</v>
      </c>
    </row>
    <row r="3380" spans="1:12" ht="14.25" customHeight="1" x14ac:dyDescent="0.2">
      <c r="A3380" s="28">
        <v>3379</v>
      </c>
      <c r="B3380" s="28" t="s">
        <v>4455</v>
      </c>
      <c r="C3380" s="28" t="s">
        <v>4451</v>
      </c>
      <c r="D3380" s="28" t="s">
        <v>3395</v>
      </c>
      <c r="E3380" s="28" t="s">
        <v>216</v>
      </c>
      <c r="F3380" s="28" t="s">
        <v>4386</v>
      </c>
      <c r="G3380" s="28" t="s">
        <v>3395</v>
      </c>
      <c r="H3380" s="28">
        <v>3355715</v>
      </c>
      <c r="I3380" s="28">
        <v>204078</v>
      </c>
      <c r="J3380" s="28">
        <v>0.99</v>
      </c>
      <c r="K3380" s="28">
        <v>72</v>
      </c>
      <c r="L3380" s="28">
        <v>0</v>
      </c>
    </row>
    <row r="3381" spans="1:12" ht="14.25" customHeight="1" x14ac:dyDescent="0.2">
      <c r="A3381" s="28">
        <v>3380</v>
      </c>
      <c r="B3381" s="28" t="s">
        <v>4456</v>
      </c>
      <c r="C3381" s="28" t="s">
        <v>4451</v>
      </c>
      <c r="D3381" s="28" t="s">
        <v>3395</v>
      </c>
      <c r="E3381" s="28" t="s">
        <v>216</v>
      </c>
      <c r="F3381" s="28" t="s">
        <v>4386</v>
      </c>
      <c r="G3381" s="28" t="s">
        <v>3395</v>
      </c>
      <c r="H3381" s="28">
        <v>3799745</v>
      </c>
      <c r="I3381" s="28">
        <v>231547</v>
      </c>
      <c r="J3381" s="28">
        <v>0.99</v>
      </c>
      <c r="K3381" s="28">
        <v>39</v>
      </c>
      <c r="L3381" s="28">
        <v>0</v>
      </c>
    </row>
    <row r="3382" spans="1:12" ht="14.25" customHeight="1" x14ac:dyDescent="0.2">
      <c r="A3382" s="28">
        <v>3381</v>
      </c>
      <c r="B3382" s="28" t="s">
        <v>4457</v>
      </c>
      <c r="C3382" s="28" t="s">
        <v>4451</v>
      </c>
      <c r="D3382" s="28" t="s">
        <v>3395</v>
      </c>
      <c r="E3382" s="28" t="s">
        <v>216</v>
      </c>
      <c r="F3382" s="28" t="s">
        <v>4386</v>
      </c>
      <c r="G3382" s="28" t="s">
        <v>3395</v>
      </c>
      <c r="H3382" s="28">
        <v>3588776</v>
      </c>
      <c r="I3382" s="28">
        <v>218498</v>
      </c>
      <c r="J3382" s="28">
        <v>0.99</v>
      </c>
      <c r="K3382" s="28">
        <v>86</v>
      </c>
      <c r="L3382" s="28">
        <v>0</v>
      </c>
    </row>
    <row r="3383" spans="1:12" ht="14.25" customHeight="1" x14ac:dyDescent="0.2">
      <c r="A3383" s="28">
        <v>3382</v>
      </c>
      <c r="B3383" s="28" t="s">
        <v>4458</v>
      </c>
      <c r="C3383" s="28" t="s">
        <v>4451</v>
      </c>
      <c r="D3383" s="28" t="s">
        <v>3395</v>
      </c>
      <c r="E3383" s="28" t="s">
        <v>216</v>
      </c>
      <c r="F3383" s="28" t="s">
        <v>4386</v>
      </c>
      <c r="G3383" s="28" t="s">
        <v>4459</v>
      </c>
      <c r="H3383" s="28">
        <v>4606408</v>
      </c>
      <c r="I3383" s="28">
        <v>281401</v>
      </c>
      <c r="J3383" s="28">
        <v>0.99</v>
      </c>
      <c r="K3383" s="28">
        <v>34</v>
      </c>
      <c r="L3383" s="28">
        <v>1</v>
      </c>
    </row>
    <row r="3384" spans="1:12" ht="14.25" customHeight="1" x14ac:dyDescent="0.2">
      <c r="A3384" s="28">
        <v>3383</v>
      </c>
      <c r="B3384" s="28" t="s">
        <v>4460</v>
      </c>
      <c r="C3384" s="28" t="s">
        <v>4451</v>
      </c>
      <c r="D3384" s="28" t="s">
        <v>3395</v>
      </c>
      <c r="E3384" s="28" t="s">
        <v>216</v>
      </c>
      <c r="F3384" s="28" t="s">
        <v>4386</v>
      </c>
      <c r="G3384" s="28" t="s">
        <v>3395</v>
      </c>
      <c r="H3384" s="28">
        <v>3616618</v>
      </c>
      <c r="I3384" s="28">
        <v>220193</v>
      </c>
      <c r="J3384" s="28">
        <v>0.99</v>
      </c>
      <c r="K3384" s="28">
        <v>27</v>
      </c>
      <c r="L3384" s="28">
        <v>1</v>
      </c>
    </row>
    <row r="3385" spans="1:12" ht="14.25" customHeight="1" x14ac:dyDescent="0.2">
      <c r="A3385" s="28">
        <v>3384</v>
      </c>
      <c r="B3385" s="28" t="s">
        <v>4461</v>
      </c>
      <c r="C3385" s="28" t="s">
        <v>4451</v>
      </c>
      <c r="D3385" s="28" t="s">
        <v>3395</v>
      </c>
      <c r="E3385" s="28" t="s">
        <v>216</v>
      </c>
      <c r="F3385" s="28" t="s">
        <v>4386</v>
      </c>
      <c r="G3385" s="28" t="s">
        <v>3395</v>
      </c>
      <c r="H3385" s="28">
        <v>3385722</v>
      </c>
      <c r="I3385" s="28">
        <v>205959</v>
      </c>
      <c r="J3385" s="28">
        <v>0.99</v>
      </c>
      <c r="K3385" s="28">
        <v>4</v>
      </c>
      <c r="L3385" s="28">
        <v>0</v>
      </c>
    </row>
    <row r="3386" spans="1:12" ht="14.25" customHeight="1" x14ac:dyDescent="0.2">
      <c r="A3386" s="28">
        <v>3385</v>
      </c>
      <c r="B3386" s="28" t="s">
        <v>4462</v>
      </c>
      <c r="C3386" s="28" t="s">
        <v>4451</v>
      </c>
      <c r="D3386" s="28" t="s">
        <v>3395</v>
      </c>
      <c r="E3386" s="28" t="s">
        <v>216</v>
      </c>
      <c r="F3386" s="28" t="s">
        <v>4386</v>
      </c>
      <c r="G3386" s="28" t="s">
        <v>3395</v>
      </c>
      <c r="H3386" s="28">
        <v>3565098</v>
      </c>
      <c r="I3386" s="28">
        <v>217035</v>
      </c>
      <c r="J3386" s="28">
        <v>0.99</v>
      </c>
      <c r="K3386" s="28">
        <v>14</v>
      </c>
      <c r="L3386" s="28">
        <v>0</v>
      </c>
    </row>
    <row r="3387" spans="1:12" ht="14.25" customHeight="1" x14ac:dyDescent="0.2">
      <c r="A3387" s="28">
        <v>3386</v>
      </c>
      <c r="B3387" s="28" t="s">
        <v>4463</v>
      </c>
      <c r="C3387" s="28" t="s">
        <v>4451</v>
      </c>
      <c r="D3387" s="28" t="s">
        <v>3395</v>
      </c>
      <c r="E3387" s="28" t="s">
        <v>216</v>
      </c>
      <c r="F3387" s="28" t="s">
        <v>4386</v>
      </c>
      <c r="G3387" s="28" t="s">
        <v>3395</v>
      </c>
      <c r="H3387" s="28">
        <v>4379597</v>
      </c>
      <c r="I3387" s="28">
        <v>267376</v>
      </c>
      <c r="J3387" s="28">
        <v>0.99</v>
      </c>
      <c r="K3387" s="28">
        <v>62</v>
      </c>
      <c r="L3387" s="28">
        <v>0</v>
      </c>
    </row>
    <row r="3388" spans="1:12" ht="14.25" customHeight="1" x14ac:dyDescent="0.2">
      <c r="A3388" s="28">
        <v>3387</v>
      </c>
      <c r="B3388" s="28" t="s">
        <v>4464</v>
      </c>
      <c r="C3388" s="28" t="s">
        <v>4451</v>
      </c>
      <c r="D3388" s="28" t="s">
        <v>3395</v>
      </c>
      <c r="E3388" s="28" t="s">
        <v>216</v>
      </c>
      <c r="F3388" s="28" t="s">
        <v>4386</v>
      </c>
      <c r="G3388" s="28" t="s">
        <v>3395</v>
      </c>
      <c r="H3388" s="28">
        <v>4476203</v>
      </c>
      <c r="I3388" s="28">
        <v>273320</v>
      </c>
      <c r="J3388" s="28">
        <v>0.99</v>
      </c>
      <c r="K3388" s="28">
        <v>81</v>
      </c>
      <c r="L3388" s="28">
        <v>1</v>
      </c>
    </row>
    <row r="3389" spans="1:12" ht="14.25" customHeight="1" x14ac:dyDescent="0.2">
      <c r="A3389" s="28">
        <v>3388</v>
      </c>
      <c r="B3389" s="28" t="s">
        <v>4465</v>
      </c>
      <c r="C3389" s="28" t="s">
        <v>4451</v>
      </c>
      <c r="D3389" s="28" t="s">
        <v>3395</v>
      </c>
      <c r="E3389" s="28" t="s">
        <v>216</v>
      </c>
      <c r="F3389" s="28" t="s">
        <v>4386</v>
      </c>
      <c r="G3389" s="28" t="s">
        <v>3395</v>
      </c>
      <c r="H3389" s="28">
        <v>3940651</v>
      </c>
      <c r="I3389" s="28">
        <v>240255</v>
      </c>
      <c r="J3389" s="28">
        <v>0.99</v>
      </c>
      <c r="K3389" s="28">
        <v>13</v>
      </c>
      <c r="L3389" s="28">
        <v>0</v>
      </c>
    </row>
    <row r="3390" spans="1:12" ht="14.25" customHeight="1" x14ac:dyDescent="0.2">
      <c r="A3390" s="28">
        <v>3389</v>
      </c>
      <c r="B3390" s="28" t="s">
        <v>1943</v>
      </c>
      <c r="C3390" s="28" t="s">
        <v>1943</v>
      </c>
      <c r="D3390" s="28" t="s">
        <v>331</v>
      </c>
      <c r="E3390" s="28" t="s">
        <v>216</v>
      </c>
      <c r="F3390" s="28" t="s">
        <v>4386</v>
      </c>
      <c r="G3390" s="28"/>
      <c r="H3390" s="28">
        <v>4111051</v>
      </c>
      <c r="I3390" s="28">
        <v>252376</v>
      </c>
      <c r="J3390" s="28">
        <v>0.99</v>
      </c>
      <c r="K3390" s="28">
        <v>77</v>
      </c>
      <c r="L3390" s="28">
        <v>0</v>
      </c>
    </row>
    <row r="3391" spans="1:12" ht="14.25" customHeight="1" x14ac:dyDescent="0.2">
      <c r="A3391" s="28">
        <v>3390</v>
      </c>
      <c r="B3391" s="28" t="s">
        <v>4466</v>
      </c>
      <c r="C3391" s="28" t="s">
        <v>1943</v>
      </c>
      <c r="D3391" s="28" t="s">
        <v>331</v>
      </c>
      <c r="E3391" s="28" t="s">
        <v>216</v>
      </c>
      <c r="F3391" s="28" t="s">
        <v>4386</v>
      </c>
      <c r="G3391" s="28"/>
      <c r="H3391" s="28">
        <v>3559040</v>
      </c>
      <c r="I3391" s="28">
        <v>217732</v>
      </c>
      <c r="J3391" s="28">
        <v>0.99</v>
      </c>
      <c r="K3391" s="28">
        <v>47</v>
      </c>
      <c r="L3391" s="28">
        <v>0</v>
      </c>
    </row>
    <row r="3392" spans="1:12" ht="14.25" customHeight="1" x14ac:dyDescent="0.2">
      <c r="A3392" s="28">
        <v>3391</v>
      </c>
      <c r="B3392" s="28" t="s">
        <v>4467</v>
      </c>
      <c r="C3392" s="28" t="s">
        <v>1943</v>
      </c>
      <c r="D3392" s="28" t="s">
        <v>331</v>
      </c>
      <c r="E3392" s="28" t="s">
        <v>216</v>
      </c>
      <c r="F3392" s="28" t="s">
        <v>4386</v>
      </c>
      <c r="G3392" s="28"/>
      <c r="H3392" s="28">
        <v>4234990</v>
      </c>
      <c r="I3392" s="28">
        <v>260154</v>
      </c>
      <c r="J3392" s="28">
        <v>0.99</v>
      </c>
      <c r="K3392" s="28">
        <v>7</v>
      </c>
      <c r="L3392" s="28">
        <v>1</v>
      </c>
    </row>
    <row r="3393" spans="1:12" ht="14.25" customHeight="1" x14ac:dyDescent="0.2">
      <c r="A3393" s="28">
        <v>3392</v>
      </c>
      <c r="B3393" s="28" t="s">
        <v>4468</v>
      </c>
      <c r="C3393" s="28" t="s">
        <v>1943</v>
      </c>
      <c r="D3393" s="28" t="s">
        <v>331</v>
      </c>
      <c r="E3393" s="28" t="s">
        <v>216</v>
      </c>
      <c r="F3393" s="28" t="s">
        <v>4386</v>
      </c>
      <c r="G3393" s="28"/>
      <c r="H3393" s="28">
        <v>3766605</v>
      </c>
      <c r="I3393" s="28">
        <v>230758</v>
      </c>
      <c r="J3393" s="28">
        <v>0.99</v>
      </c>
      <c r="K3393" s="28">
        <v>73</v>
      </c>
      <c r="L3393" s="28">
        <v>1</v>
      </c>
    </row>
    <row r="3394" spans="1:12" ht="14.25" customHeight="1" x14ac:dyDescent="0.2">
      <c r="A3394" s="28">
        <v>3393</v>
      </c>
      <c r="B3394" s="28" t="s">
        <v>4469</v>
      </c>
      <c r="C3394" s="28" t="s">
        <v>1943</v>
      </c>
      <c r="D3394" s="28" t="s">
        <v>331</v>
      </c>
      <c r="E3394" s="28" t="s">
        <v>216</v>
      </c>
      <c r="F3394" s="28" t="s">
        <v>4386</v>
      </c>
      <c r="G3394" s="28"/>
      <c r="H3394" s="28">
        <v>3577821</v>
      </c>
      <c r="I3394" s="28">
        <v>218916</v>
      </c>
      <c r="J3394" s="28">
        <v>0.99</v>
      </c>
      <c r="K3394" s="28">
        <v>46</v>
      </c>
      <c r="L3394" s="28">
        <v>0</v>
      </c>
    </row>
    <row r="3395" spans="1:12" ht="14.25" customHeight="1" x14ac:dyDescent="0.2">
      <c r="A3395" s="28">
        <v>3394</v>
      </c>
      <c r="B3395" s="28" t="s">
        <v>4470</v>
      </c>
      <c r="C3395" s="28" t="s">
        <v>1943</v>
      </c>
      <c r="D3395" s="28" t="s">
        <v>331</v>
      </c>
      <c r="E3395" s="28" t="s">
        <v>216</v>
      </c>
      <c r="F3395" s="28" t="s">
        <v>4386</v>
      </c>
      <c r="G3395" s="28"/>
      <c r="H3395" s="28">
        <v>3728955</v>
      </c>
      <c r="I3395" s="28">
        <v>228366</v>
      </c>
      <c r="J3395" s="28">
        <v>0.99</v>
      </c>
      <c r="K3395" s="28">
        <v>36</v>
      </c>
      <c r="L3395" s="28">
        <v>0</v>
      </c>
    </row>
    <row r="3396" spans="1:12" ht="14.25" customHeight="1" x14ac:dyDescent="0.2">
      <c r="A3396" s="28">
        <v>3395</v>
      </c>
      <c r="B3396" s="28" t="s">
        <v>4471</v>
      </c>
      <c r="C3396" s="28" t="s">
        <v>1943</v>
      </c>
      <c r="D3396" s="28" t="s">
        <v>331</v>
      </c>
      <c r="E3396" s="28" t="s">
        <v>216</v>
      </c>
      <c r="F3396" s="28" t="s">
        <v>4386</v>
      </c>
      <c r="G3396" s="28"/>
      <c r="H3396" s="28">
        <v>3497176</v>
      </c>
      <c r="I3396" s="28">
        <v>213831</v>
      </c>
      <c r="J3396" s="28">
        <v>0.99</v>
      </c>
      <c r="K3396" s="28">
        <v>32</v>
      </c>
      <c r="L3396" s="28">
        <v>0</v>
      </c>
    </row>
    <row r="3397" spans="1:12" ht="14.25" customHeight="1" x14ac:dyDescent="0.2">
      <c r="A3397" s="28">
        <v>3396</v>
      </c>
      <c r="B3397" s="28" t="s">
        <v>4472</v>
      </c>
      <c r="C3397" s="28" t="s">
        <v>1943</v>
      </c>
      <c r="D3397" s="28" t="s">
        <v>331</v>
      </c>
      <c r="E3397" s="28" t="s">
        <v>216</v>
      </c>
      <c r="F3397" s="28" t="s">
        <v>4386</v>
      </c>
      <c r="G3397" s="28"/>
      <c r="H3397" s="28">
        <v>4465399</v>
      </c>
      <c r="I3397" s="28">
        <v>274597</v>
      </c>
      <c r="J3397" s="28">
        <v>0.99</v>
      </c>
      <c r="K3397" s="28">
        <v>49</v>
      </c>
      <c r="L3397" s="28">
        <v>1</v>
      </c>
    </row>
    <row r="3398" spans="1:12" ht="14.25" customHeight="1" x14ac:dyDescent="0.2">
      <c r="A3398" s="28">
        <v>3397</v>
      </c>
      <c r="B3398" s="28" t="s">
        <v>4473</v>
      </c>
      <c r="C3398" s="28" t="s">
        <v>1943</v>
      </c>
      <c r="D3398" s="28" t="s">
        <v>331</v>
      </c>
      <c r="E3398" s="28" t="s">
        <v>216</v>
      </c>
      <c r="F3398" s="28" t="s">
        <v>4386</v>
      </c>
      <c r="G3398" s="28"/>
      <c r="H3398" s="28">
        <v>3806103</v>
      </c>
      <c r="I3398" s="28">
        <v>233242</v>
      </c>
      <c r="J3398" s="28">
        <v>0.99</v>
      </c>
      <c r="K3398" s="28">
        <v>99</v>
      </c>
      <c r="L3398" s="28">
        <v>0</v>
      </c>
    </row>
    <row r="3399" spans="1:12" ht="14.25" customHeight="1" x14ac:dyDescent="0.2">
      <c r="A3399" s="28">
        <v>3398</v>
      </c>
      <c r="B3399" s="28" t="s">
        <v>4474</v>
      </c>
      <c r="C3399" s="28" t="s">
        <v>1943</v>
      </c>
      <c r="D3399" s="28" t="s">
        <v>331</v>
      </c>
      <c r="E3399" s="28" t="s">
        <v>216</v>
      </c>
      <c r="F3399" s="28" t="s">
        <v>4386</v>
      </c>
      <c r="G3399" s="28"/>
      <c r="H3399" s="28">
        <v>4333050</v>
      </c>
      <c r="I3399" s="28">
        <v>266308</v>
      </c>
      <c r="J3399" s="28">
        <v>0.99</v>
      </c>
      <c r="K3399" s="28">
        <v>29</v>
      </c>
      <c r="L3399" s="28">
        <v>0</v>
      </c>
    </row>
    <row r="3400" spans="1:12" ht="14.25" customHeight="1" x14ac:dyDescent="0.2">
      <c r="A3400" s="28">
        <v>3399</v>
      </c>
      <c r="B3400" s="28" t="s">
        <v>4475</v>
      </c>
      <c r="C3400" s="28" t="s">
        <v>1943</v>
      </c>
      <c r="D3400" s="28" t="s">
        <v>331</v>
      </c>
      <c r="E3400" s="28" t="s">
        <v>216</v>
      </c>
      <c r="F3400" s="28" t="s">
        <v>4386</v>
      </c>
      <c r="G3400" s="28"/>
      <c r="H3400" s="28">
        <v>3484335</v>
      </c>
      <c r="I3400" s="28">
        <v>213041</v>
      </c>
      <c r="J3400" s="28">
        <v>0.99</v>
      </c>
      <c r="K3400" s="28">
        <v>81</v>
      </c>
      <c r="L3400" s="28">
        <v>0</v>
      </c>
    </row>
    <row r="3401" spans="1:12" ht="14.25" customHeight="1" x14ac:dyDescent="0.2">
      <c r="A3401" s="28">
        <v>3400</v>
      </c>
      <c r="B3401" s="28" t="s">
        <v>4476</v>
      </c>
      <c r="C3401" s="28" t="s">
        <v>1943</v>
      </c>
      <c r="D3401" s="28" t="s">
        <v>331</v>
      </c>
      <c r="E3401" s="28" t="s">
        <v>216</v>
      </c>
      <c r="F3401" s="28" t="s">
        <v>4386</v>
      </c>
      <c r="G3401" s="28"/>
      <c r="H3401" s="28">
        <v>4838884</v>
      </c>
      <c r="I3401" s="28">
        <v>298049</v>
      </c>
      <c r="J3401" s="28">
        <v>0.99</v>
      </c>
      <c r="K3401" s="28">
        <v>68</v>
      </c>
      <c r="L3401" s="28">
        <v>1</v>
      </c>
    </row>
    <row r="3402" spans="1:12" ht="14.25" customHeight="1" x14ac:dyDescent="0.2">
      <c r="A3402" s="28">
        <v>3401</v>
      </c>
      <c r="B3402" s="28" t="s">
        <v>4477</v>
      </c>
      <c r="C3402" s="28" t="s">
        <v>1943</v>
      </c>
      <c r="D3402" s="28" t="s">
        <v>331</v>
      </c>
      <c r="E3402" s="28" t="s">
        <v>216</v>
      </c>
      <c r="F3402" s="28" t="s">
        <v>4386</v>
      </c>
      <c r="G3402" s="28"/>
      <c r="H3402" s="28">
        <v>4901540</v>
      </c>
      <c r="I3402" s="28">
        <v>301974</v>
      </c>
      <c r="J3402" s="28">
        <v>0.99</v>
      </c>
      <c r="K3402" s="28">
        <v>11</v>
      </c>
      <c r="L3402" s="28">
        <v>1</v>
      </c>
    </row>
    <row r="3403" spans="1:12" ht="14.25" customHeight="1" x14ac:dyDescent="0.2">
      <c r="A3403" s="28">
        <v>3402</v>
      </c>
      <c r="B3403" s="28" t="s">
        <v>4478</v>
      </c>
      <c r="C3403" s="28" t="s">
        <v>1943</v>
      </c>
      <c r="D3403" s="28" t="s">
        <v>331</v>
      </c>
      <c r="E3403" s="28" t="s">
        <v>3790</v>
      </c>
      <c r="F3403" s="28" t="s">
        <v>4386</v>
      </c>
      <c r="G3403" s="28"/>
      <c r="H3403" s="28">
        <v>61118891</v>
      </c>
      <c r="I3403" s="28">
        <v>294294</v>
      </c>
      <c r="J3403" s="28">
        <v>0.99</v>
      </c>
      <c r="K3403" s="28">
        <v>38</v>
      </c>
      <c r="L3403" s="28">
        <v>0</v>
      </c>
    </row>
    <row r="3404" spans="1:12" ht="14.25" customHeight="1" x14ac:dyDescent="0.2">
      <c r="A3404" s="28">
        <v>3403</v>
      </c>
      <c r="B3404" s="28" t="s">
        <v>4479</v>
      </c>
      <c r="C3404" s="28" t="s">
        <v>4480</v>
      </c>
      <c r="D3404" s="28" t="s">
        <v>4481</v>
      </c>
      <c r="E3404" s="28" t="s">
        <v>216</v>
      </c>
      <c r="F3404" s="28" t="s">
        <v>4432</v>
      </c>
      <c r="G3404" s="28" t="s">
        <v>4482</v>
      </c>
      <c r="H3404" s="28">
        <v>4123531</v>
      </c>
      <c r="I3404" s="28">
        <v>245317</v>
      </c>
      <c r="J3404" s="28">
        <v>0.99</v>
      </c>
      <c r="K3404" s="28">
        <v>99</v>
      </c>
      <c r="L3404" s="28">
        <v>0</v>
      </c>
    </row>
    <row r="3405" spans="1:12" ht="14.25" customHeight="1" x14ac:dyDescent="0.2">
      <c r="A3405" s="28">
        <v>3404</v>
      </c>
      <c r="B3405" s="28" t="s">
        <v>4483</v>
      </c>
      <c r="C3405" s="28" t="s">
        <v>4484</v>
      </c>
      <c r="D3405" s="28" t="s">
        <v>4485</v>
      </c>
      <c r="E3405" s="28" t="s">
        <v>216</v>
      </c>
      <c r="F3405" s="28" t="s">
        <v>4432</v>
      </c>
      <c r="G3405" s="28" t="s">
        <v>4486</v>
      </c>
      <c r="H3405" s="28">
        <v>8285941</v>
      </c>
      <c r="I3405" s="28">
        <v>501503</v>
      </c>
      <c r="J3405" s="28">
        <v>0.99</v>
      </c>
      <c r="K3405" s="28">
        <v>46</v>
      </c>
      <c r="L3405" s="28">
        <v>0</v>
      </c>
    </row>
    <row r="3406" spans="1:12" ht="14.25" customHeight="1" x14ac:dyDescent="0.2">
      <c r="A3406" s="28">
        <v>3405</v>
      </c>
      <c r="B3406" s="28" t="s">
        <v>4487</v>
      </c>
      <c r="C3406" s="28" t="s">
        <v>4488</v>
      </c>
      <c r="D3406" s="28" t="s">
        <v>4489</v>
      </c>
      <c r="E3406" s="28" t="s">
        <v>216</v>
      </c>
      <c r="F3406" s="28" t="s">
        <v>4432</v>
      </c>
      <c r="G3406" s="28" t="s">
        <v>4490</v>
      </c>
      <c r="H3406" s="28">
        <v>4438393</v>
      </c>
      <c r="I3406" s="28">
        <v>271788</v>
      </c>
      <c r="J3406" s="28">
        <v>0.99</v>
      </c>
      <c r="K3406" s="28">
        <v>21</v>
      </c>
      <c r="L3406" s="28">
        <v>1</v>
      </c>
    </row>
    <row r="3407" spans="1:12" ht="14.25" customHeight="1" x14ac:dyDescent="0.2">
      <c r="A3407" s="28">
        <v>3406</v>
      </c>
      <c r="B3407" s="28" t="s">
        <v>4491</v>
      </c>
      <c r="C3407" s="28" t="s">
        <v>4492</v>
      </c>
      <c r="D3407" s="28" t="s">
        <v>4493</v>
      </c>
      <c r="E3407" s="28" t="s">
        <v>216</v>
      </c>
      <c r="F3407" s="28" t="s">
        <v>4432</v>
      </c>
      <c r="G3407" s="28" t="s">
        <v>4494</v>
      </c>
      <c r="H3407" s="28">
        <v>3347810</v>
      </c>
      <c r="I3407" s="28">
        <v>199086</v>
      </c>
      <c r="J3407" s="28">
        <v>0.99</v>
      </c>
      <c r="K3407" s="28">
        <v>96</v>
      </c>
      <c r="L3407" s="28">
        <v>0</v>
      </c>
    </row>
    <row r="3408" spans="1:12" ht="14.25" customHeight="1" x14ac:dyDescent="0.2">
      <c r="A3408" s="28">
        <v>3407</v>
      </c>
      <c r="B3408" s="28" t="s">
        <v>4495</v>
      </c>
      <c r="C3408" s="28" t="s">
        <v>4496</v>
      </c>
      <c r="D3408" s="28" t="s">
        <v>4497</v>
      </c>
      <c r="E3408" s="28" t="s">
        <v>216</v>
      </c>
      <c r="F3408" s="28" t="s">
        <v>4432</v>
      </c>
      <c r="G3408" s="28" t="s">
        <v>4498</v>
      </c>
      <c r="H3408" s="28">
        <v>3192890</v>
      </c>
      <c r="I3408" s="28">
        <v>193722</v>
      </c>
      <c r="J3408" s="28">
        <v>0.99</v>
      </c>
      <c r="K3408" s="28">
        <v>28</v>
      </c>
      <c r="L3408" s="28">
        <v>0</v>
      </c>
    </row>
    <row r="3409" spans="1:12" ht="14.25" customHeight="1" x14ac:dyDescent="0.2">
      <c r="A3409" s="28">
        <v>3408</v>
      </c>
      <c r="B3409" s="28" t="s">
        <v>4499</v>
      </c>
      <c r="C3409" s="28" t="s">
        <v>4500</v>
      </c>
      <c r="D3409" s="28" t="s">
        <v>4501</v>
      </c>
      <c r="E3409" s="28" t="s">
        <v>216</v>
      </c>
      <c r="F3409" s="28" t="s">
        <v>4432</v>
      </c>
      <c r="G3409" s="28" t="s">
        <v>4498</v>
      </c>
      <c r="H3409" s="28">
        <v>2081895</v>
      </c>
      <c r="I3409" s="28">
        <v>120463</v>
      </c>
      <c r="J3409" s="28">
        <v>0.99</v>
      </c>
      <c r="K3409" s="28">
        <v>13</v>
      </c>
      <c r="L3409" s="28">
        <v>0</v>
      </c>
    </row>
    <row r="3410" spans="1:12" ht="14.25" customHeight="1" x14ac:dyDescent="0.2">
      <c r="A3410" s="28">
        <v>3409</v>
      </c>
      <c r="B3410" s="28" t="s">
        <v>4502</v>
      </c>
      <c r="C3410" s="28" t="s">
        <v>4503</v>
      </c>
      <c r="D3410" s="28" t="s">
        <v>4504</v>
      </c>
      <c r="E3410" s="28" t="s">
        <v>216</v>
      </c>
      <c r="F3410" s="28" t="s">
        <v>4432</v>
      </c>
      <c r="G3410" s="28" t="s">
        <v>4498</v>
      </c>
      <c r="H3410" s="28">
        <v>2315495</v>
      </c>
      <c r="I3410" s="28">
        <v>143288</v>
      </c>
      <c r="J3410" s="28">
        <v>0.99</v>
      </c>
      <c r="K3410" s="28">
        <v>45</v>
      </c>
      <c r="L3410" s="28">
        <v>1</v>
      </c>
    </row>
    <row r="3411" spans="1:12" ht="14.25" customHeight="1" x14ac:dyDescent="0.2">
      <c r="A3411" s="28">
        <v>3410</v>
      </c>
      <c r="B3411" s="28" t="s">
        <v>4505</v>
      </c>
      <c r="C3411" s="28" t="s">
        <v>4506</v>
      </c>
      <c r="D3411" s="28" t="s">
        <v>4507</v>
      </c>
      <c r="E3411" s="28" t="s">
        <v>216</v>
      </c>
      <c r="F3411" s="28" t="s">
        <v>4432</v>
      </c>
      <c r="G3411" s="28" t="s">
        <v>4508</v>
      </c>
      <c r="H3411" s="28">
        <v>9553140</v>
      </c>
      <c r="I3411" s="28">
        <v>582029</v>
      </c>
      <c r="J3411" s="28">
        <v>0.99</v>
      </c>
      <c r="K3411" s="28">
        <v>33</v>
      </c>
      <c r="L3411" s="28">
        <v>1</v>
      </c>
    </row>
    <row r="3412" spans="1:12" ht="14.25" customHeight="1" x14ac:dyDescent="0.2">
      <c r="A3412" s="28">
        <v>3411</v>
      </c>
      <c r="B3412" s="28" t="s">
        <v>4509</v>
      </c>
      <c r="C3412" s="28" t="s">
        <v>4510</v>
      </c>
      <c r="D3412" s="28" t="s">
        <v>4511</v>
      </c>
      <c r="E3412" s="28" t="s">
        <v>216</v>
      </c>
      <c r="F3412" s="28" t="s">
        <v>4432</v>
      </c>
      <c r="G3412" s="28" t="s">
        <v>4508</v>
      </c>
      <c r="H3412" s="28">
        <v>3247914</v>
      </c>
      <c r="I3412" s="28">
        <v>197135</v>
      </c>
      <c r="J3412" s="28">
        <v>0.99</v>
      </c>
      <c r="K3412" s="28">
        <v>79</v>
      </c>
      <c r="L3412" s="28">
        <v>0</v>
      </c>
    </row>
    <row r="3413" spans="1:12" ht="14.25" customHeight="1" x14ac:dyDescent="0.2">
      <c r="A3413" s="28">
        <v>3412</v>
      </c>
      <c r="B3413" s="28" t="s">
        <v>4512</v>
      </c>
      <c r="C3413" s="28" t="s">
        <v>4513</v>
      </c>
      <c r="D3413" s="28" t="s">
        <v>4514</v>
      </c>
      <c r="E3413" s="28" t="s">
        <v>216</v>
      </c>
      <c r="F3413" s="28" t="s">
        <v>4432</v>
      </c>
      <c r="G3413" s="28" t="s">
        <v>4515</v>
      </c>
      <c r="H3413" s="28">
        <v>5760129</v>
      </c>
      <c r="I3413" s="28">
        <v>348971</v>
      </c>
      <c r="J3413" s="28">
        <v>0.99</v>
      </c>
      <c r="K3413" s="28">
        <v>31</v>
      </c>
      <c r="L3413" s="28">
        <v>0</v>
      </c>
    </row>
    <row r="3414" spans="1:12" ht="14.25" customHeight="1" x14ac:dyDescent="0.2">
      <c r="A3414" s="28">
        <v>3413</v>
      </c>
      <c r="B3414" s="28" t="s">
        <v>4516</v>
      </c>
      <c r="C3414" s="28" t="s">
        <v>4517</v>
      </c>
      <c r="D3414" s="28" t="s">
        <v>4518</v>
      </c>
      <c r="E3414" s="28" t="s">
        <v>216</v>
      </c>
      <c r="F3414" s="28" t="s">
        <v>4432</v>
      </c>
      <c r="G3414" s="28" t="s">
        <v>4515</v>
      </c>
      <c r="H3414" s="28">
        <v>6474980</v>
      </c>
      <c r="I3414" s="28">
        <v>394482</v>
      </c>
      <c r="J3414" s="28">
        <v>0.99</v>
      </c>
      <c r="K3414" s="28">
        <v>81</v>
      </c>
      <c r="L3414" s="28">
        <v>0</v>
      </c>
    </row>
    <row r="3415" spans="1:12" ht="14.25" customHeight="1" x14ac:dyDescent="0.2">
      <c r="A3415" s="28">
        <v>3414</v>
      </c>
      <c r="B3415" s="28" t="s">
        <v>4519</v>
      </c>
      <c r="C3415" s="28" t="s">
        <v>4520</v>
      </c>
      <c r="D3415" s="28" t="s">
        <v>4521</v>
      </c>
      <c r="E3415" s="28" t="s">
        <v>4385</v>
      </c>
      <c r="F3415" s="28" t="s">
        <v>4432</v>
      </c>
      <c r="G3415" s="28" t="s">
        <v>4522</v>
      </c>
      <c r="H3415" s="28">
        <v>10085867</v>
      </c>
      <c r="I3415" s="28">
        <v>306687</v>
      </c>
      <c r="J3415" s="28">
        <v>0.99</v>
      </c>
      <c r="K3415" s="28">
        <v>56</v>
      </c>
      <c r="L3415" s="28">
        <v>1</v>
      </c>
    </row>
    <row r="3416" spans="1:12" ht="14.25" customHeight="1" x14ac:dyDescent="0.2">
      <c r="A3416" s="28">
        <v>3415</v>
      </c>
      <c r="B3416" s="28" t="s">
        <v>4523</v>
      </c>
      <c r="C3416" s="28" t="s">
        <v>4524</v>
      </c>
      <c r="D3416" s="28" t="s">
        <v>4525</v>
      </c>
      <c r="E3416" s="28" t="s">
        <v>216</v>
      </c>
      <c r="F3416" s="28" t="s">
        <v>4432</v>
      </c>
      <c r="G3416" s="28" t="s">
        <v>4433</v>
      </c>
      <c r="H3416" s="28">
        <v>6419730</v>
      </c>
      <c r="I3416" s="28">
        <v>392462</v>
      </c>
      <c r="J3416" s="28">
        <v>0.99</v>
      </c>
      <c r="K3416" s="28">
        <v>75</v>
      </c>
      <c r="L3416" s="28">
        <v>0</v>
      </c>
    </row>
    <row r="3417" spans="1:12" ht="14.25" customHeight="1" x14ac:dyDescent="0.2">
      <c r="A3417" s="28">
        <v>3416</v>
      </c>
      <c r="B3417" s="28" t="s">
        <v>4526</v>
      </c>
      <c r="C3417" s="28" t="s">
        <v>4527</v>
      </c>
      <c r="D3417" s="28" t="s">
        <v>4528</v>
      </c>
      <c r="E3417" s="28" t="s">
        <v>216</v>
      </c>
      <c r="F3417" s="28" t="s">
        <v>4432</v>
      </c>
      <c r="G3417" s="28" t="s">
        <v>4529</v>
      </c>
      <c r="H3417" s="28">
        <v>5605648</v>
      </c>
      <c r="I3417" s="28">
        <v>338243</v>
      </c>
      <c r="J3417" s="28">
        <v>0.99</v>
      </c>
      <c r="K3417" s="28">
        <v>87</v>
      </c>
      <c r="L3417" s="28">
        <v>0</v>
      </c>
    </row>
    <row r="3418" spans="1:12" ht="14.25" customHeight="1" x14ac:dyDescent="0.2">
      <c r="A3418" s="28">
        <v>3417</v>
      </c>
      <c r="B3418" s="28" t="s">
        <v>4530</v>
      </c>
      <c r="C3418" s="28" t="s">
        <v>4531</v>
      </c>
      <c r="D3418" s="28" t="s">
        <v>4532</v>
      </c>
      <c r="E3418" s="28" t="s">
        <v>216</v>
      </c>
      <c r="F3418" s="28" t="s">
        <v>4432</v>
      </c>
      <c r="G3418" s="28" t="s">
        <v>4533</v>
      </c>
      <c r="H3418" s="28">
        <v>4498583</v>
      </c>
      <c r="I3418" s="28">
        <v>274504</v>
      </c>
      <c r="J3418" s="28">
        <v>0.99</v>
      </c>
      <c r="K3418" s="28">
        <v>2</v>
      </c>
      <c r="L3418" s="28">
        <v>0</v>
      </c>
    </row>
    <row r="3419" spans="1:12" ht="14.25" customHeight="1" x14ac:dyDescent="0.2">
      <c r="A3419" s="28">
        <v>3418</v>
      </c>
      <c r="B3419" s="28" t="s">
        <v>4534</v>
      </c>
      <c r="C3419" s="28" t="s">
        <v>4535</v>
      </c>
      <c r="D3419" s="28" t="s">
        <v>4536</v>
      </c>
      <c r="E3419" s="28" t="s">
        <v>216</v>
      </c>
      <c r="F3419" s="28" t="s">
        <v>4432</v>
      </c>
      <c r="G3419" s="28" t="s">
        <v>4537</v>
      </c>
      <c r="H3419" s="28">
        <v>3114209</v>
      </c>
      <c r="I3419" s="28">
        <v>189008</v>
      </c>
      <c r="J3419" s="28">
        <v>0.99</v>
      </c>
      <c r="K3419" s="28">
        <v>61</v>
      </c>
      <c r="L3419" s="28">
        <v>1</v>
      </c>
    </row>
    <row r="3420" spans="1:12" ht="14.25" customHeight="1" x14ac:dyDescent="0.2">
      <c r="A3420" s="28">
        <v>3419</v>
      </c>
      <c r="B3420" s="28" t="s">
        <v>4538</v>
      </c>
      <c r="C3420" s="28" t="s">
        <v>4539</v>
      </c>
      <c r="D3420" s="28" t="s">
        <v>4540</v>
      </c>
      <c r="E3420" s="28" t="s">
        <v>216</v>
      </c>
      <c r="F3420" s="28" t="s">
        <v>4432</v>
      </c>
      <c r="G3420" s="28" t="s">
        <v>4541</v>
      </c>
      <c r="H3420" s="28">
        <v>4314850</v>
      </c>
      <c r="I3420" s="28">
        <v>258924</v>
      </c>
      <c r="J3420" s="28">
        <v>0.99</v>
      </c>
      <c r="K3420" s="28">
        <v>66</v>
      </c>
      <c r="L3420" s="28">
        <v>1</v>
      </c>
    </row>
    <row r="3421" spans="1:12" ht="14.25" customHeight="1" x14ac:dyDescent="0.2">
      <c r="A3421" s="28">
        <v>3420</v>
      </c>
      <c r="B3421" s="28" t="s">
        <v>4542</v>
      </c>
      <c r="C3421" s="28" t="s">
        <v>4543</v>
      </c>
      <c r="D3421" s="28" t="s">
        <v>4544</v>
      </c>
      <c r="E3421" s="28" t="s">
        <v>216</v>
      </c>
      <c r="F3421" s="28" t="s">
        <v>4432</v>
      </c>
      <c r="G3421" s="28" t="s">
        <v>4545</v>
      </c>
      <c r="H3421" s="28">
        <v>5184289</v>
      </c>
      <c r="I3421" s="28">
        <v>304226</v>
      </c>
      <c r="J3421" s="28">
        <v>0.99</v>
      </c>
      <c r="K3421" s="28">
        <v>8</v>
      </c>
      <c r="L3421" s="28">
        <v>0</v>
      </c>
    </row>
    <row r="3422" spans="1:12" ht="14.25" customHeight="1" x14ac:dyDescent="0.2">
      <c r="A3422" s="28">
        <v>3421</v>
      </c>
      <c r="B3422" s="28" t="s">
        <v>4546</v>
      </c>
      <c r="C3422" s="28" t="s">
        <v>4547</v>
      </c>
      <c r="D3422" s="28" t="s">
        <v>4548</v>
      </c>
      <c r="E3422" s="28" t="s">
        <v>216</v>
      </c>
      <c r="F3422" s="28" t="s">
        <v>4432</v>
      </c>
      <c r="G3422" s="28" t="s">
        <v>4549</v>
      </c>
      <c r="H3422" s="28">
        <v>4124707</v>
      </c>
      <c r="I3422" s="28">
        <v>250031</v>
      </c>
      <c r="J3422" s="28">
        <v>0.99</v>
      </c>
      <c r="K3422" s="28">
        <v>77</v>
      </c>
      <c r="L3422" s="28">
        <v>0</v>
      </c>
    </row>
    <row r="3423" spans="1:12" ht="14.25" customHeight="1" x14ac:dyDescent="0.2">
      <c r="A3423" s="28">
        <v>3422</v>
      </c>
      <c r="B3423" s="28" t="s">
        <v>4550</v>
      </c>
      <c r="C3423" s="28" t="s">
        <v>4551</v>
      </c>
      <c r="D3423" s="28" t="s">
        <v>4552</v>
      </c>
      <c r="E3423" s="28" t="s">
        <v>216</v>
      </c>
      <c r="F3423" s="28" t="s">
        <v>4432</v>
      </c>
      <c r="G3423" s="28" t="s">
        <v>4553</v>
      </c>
      <c r="H3423" s="28">
        <v>4588197</v>
      </c>
      <c r="I3423" s="28">
        <v>277639</v>
      </c>
      <c r="J3423" s="28">
        <v>0.99</v>
      </c>
      <c r="K3423" s="28">
        <v>64</v>
      </c>
      <c r="L3423" s="28">
        <v>0</v>
      </c>
    </row>
    <row r="3424" spans="1:12" ht="14.25" customHeight="1" x14ac:dyDescent="0.2">
      <c r="A3424" s="28">
        <v>3423</v>
      </c>
      <c r="B3424" s="28" t="s">
        <v>4554</v>
      </c>
      <c r="C3424" s="28" t="s">
        <v>4555</v>
      </c>
      <c r="D3424" s="28" t="s">
        <v>4556</v>
      </c>
      <c r="E3424" s="28" t="s">
        <v>216</v>
      </c>
      <c r="F3424" s="28" t="s">
        <v>4432</v>
      </c>
      <c r="G3424" s="28" t="s">
        <v>4557</v>
      </c>
      <c r="H3424" s="28">
        <v>8547876</v>
      </c>
      <c r="I3424" s="28">
        <v>522099</v>
      </c>
      <c r="J3424" s="28">
        <v>0.99</v>
      </c>
      <c r="K3424" s="28">
        <v>53</v>
      </c>
      <c r="L3424" s="28">
        <v>1</v>
      </c>
    </row>
    <row r="3425" spans="1:12" ht="14.25" customHeight="1" x14ac:dyDescent="0.2">
      <c r="A3425" s="28">
        <v>3424</v>
      </c>
      <c r="B3425" s="28" t="s">
        <v>4558</v>
      </c>
      <c r="C3425" s="28" t="s">
        <v>4559</v>
      </c>
      <c r="D3425" s="28" t="s">
        <v>4560</v>
      </c>
      <c r="E3425" s="28" t="s">
        <v>216</v>
      </c>
      <c r="F3425" s="28" t="s">
        <v>4432</v>
      </c>
      <c r="G3425" s="28" t="s">
        <v>4553</v>
      </c>
      <c r="H3425" s="28">
        <v>2920890</v>
      </c>
      <c r="I3425" s="28">
        <v>176911</v>
      </c>
      <c r="J3425" s="28">
        <v>0.99</v>
      </c>
      <c r="K3425" s="28">
        <v>68</v>
      </c>
      <c r="L3425" s="28">
        <v>0</v>
      </c>
    </row>
    <row r="3426" spans="1:12" ht="14.25" customHeight="1" x14ac:dyDescent="0.2">
      <c r="A3426" s="28">
        <v>3425</v>
      </c>
      <c r="B3426" s="28" t="s">
        <v>4561</v>
      </c>
      <c r="C3426" s="28" t="s">
        <v>4562</v>
      </c>
      <c r="D3426" s="28" t="s">
        <v>4563</v>
      </c>
      <c r="E3426" s="28" t="s">
        <v>216</v>
      </c>
      <c r="F3426" s="28" t="s">
        <v>4432</v>
      </c>
      <c r="G3426" s="28" t="s">
        <v>4564</v>
      </c>
      <c r="H3426" s="28">
        <v>9585597</v>
      </c>
      <c r="I3426" s="28">
        <v>596519</v>
      </c>
      <c r="J3426" s="28">
        <v>0.99</v>
      </c>
      <c r="K3426" s="28">
        <v>50</v>
      </c>
      <c r="L3426" s="28">
        <v>0</v>
      </c>
    </row>
    <row r="3427" spans="1:12" ht="14.25" customHeight="1" x14ac:dyDescent="0.2">
      <c r="A3427" s="28">
        <v>3426</v>
      </c>
      <c r="B3427" s="28" t="s">
        <v>4565</v>
      </c>
      <c r="C3427" s="28" t="s">
        <v>4566</v>
      </c>
      <c r="D3427" s="28" t="s">
        <v>4567</v>
      </c>
      <c r="E3427" s="28" t="s">
        <v>216</v>
      </c>
      <c r="F3427" s="28" t="s">
        <v>4432</v>
      </c>
      <c r="G3427" s="28" t="s">
        <v>4568</v>
      </c>
      <c r="H3427" s="28">
        <v>2630293</v>
      </c>
      <c r="I3427" s="28">
        <v>156710</v>
      </c>
      <c r="J3427" s="28">
        <v>0.99</v>
      </c>
      <c r="K3427" s="28">
        <v>18</v>
      </c>
      <c r="L3427" s="28">
        <v>0</v>
      </c>
    </row>
    <row r="3428" spans="1:12" ht="14.25" customHeight="1" x14ac:dyDescent="0.2">
      <c r="A3428" s="28">
        <v>3427</v>
      </c>
      <c r="B3428" s="28" t="s">
        <v>4569</v>
      </c>
      <c r="C3428" s="28" t="s">
        <v>4570</v>
      </c>
      <c r="D3428" s="28" t="s">
        <v>4571</v>
      </c>
      <c r="E3428" s="28" t="s">
        <v>216</v>
      </c>
      <c r="F3428" s="28" t="s">
        <v>4432</v>
      </c>
      <c r="G3428" s="28" t="s">
        <v>4572</v>
      </c>
      <c r="H3428" s="28">
        <v>3211245</v>
      </c>
      <c r="I3428" s="28">
        <v>198064</v>
      </c>
      <c r="J3428" s="28">
        <v>0.99</v>
      </c>
      <c r="K3428" s="28">
        <v>94</v>
      </c>
      <c r="L3428" s="28">
        <v>0</v>
      </c>
    </row>
    <row r="3429" spans="1:12" ht="14.25" customHeight="1" x14ac:dyDescent="0.2">
      <c r="A3429" s="28">
        <v>3428</v>
      </c>
      <c r="B3429" s="28" t="s">
        <v>4242</v>
      </c>
      <c r="C3429" s="28" t="s">
        <v>4236</v>
      </c>
      <c r="D3429" s="28" t="s">
        <v>4206</v>
      </c>
      <c r="E3429" s="28" t="s">
        <v>3790</v>
      </c>
      <c r="F3429" s="28" t="s">
        <v>4245</v>
      </c>
      <c r="G3429" s="28"/>
      <c r="H3429" s="28">
        <v>360331351</v>
      </c>
      <c r="I3429" s="28">
        <v>1814855</v>
      </c>
      <c r="J3429" s="28">
        <v>1.99</v>
      </c>
      <c r="K3429" s="28">
        <v>95</v>
      </c>
      <c r="L3429" s="28">
        <v>1</v>
      </c>
    </row>
    <row r="3430" spans="1:12" ht="14.25" customHeight="1" x14ac:dyDescent="0.2">
      <c r="A3430" s="28">
        <v>3429</v>
      </c>
      <c r="B3430" s="28" t="s">
        <v>4573</v>
      </c>
      <c r="C3430" s="28" t="s">
        <v>4236</v>
      </c>
      <c r="D3430" s="28" t="s">
        <v>4206</v>
      </c>
      <c r="E3430" s="28" t="s">
        <v>3790</v>
      </c>
      <c r="F3430" s="28" t="s">
        <v>4245</v>
      </c>
      <c r="G3430" s="28"/>
      <c r="H3430" s="28">
        <v>343877320</v>
      </c>
      <c r="I3430" s="28">
        <v>1705080</v>
      </c>
      <c r="J3430" s="28">
        <v>1.99</v>
      </c>
      <c r="K3430" s="28">
        <v>20</v>
      </c>
      <c r="L3430" s="28">
        <v>0</v>
      </c>
    </row>
    <row r="3431" spans="1:12" ht="14.25" customHeight="1" x14ac:dyDescent="0.2">
      <c r="A3431" s="28">
        <v>3430</v>
      </c>
      <c r="B3431" s="28" t="s">
        <v>4574</v>
      </c>
      <c r="C3431" s="28" t="s">
        <v>4575</v>
      </c>
      <c r="D3431" s="28" t="s">
        <v>4576</v>
      </c>
      <c r="E3431" s="28" t="s">
        <v>216</v>
      </c>
      <c r="F3431" s="28" t="s">
        <v>4432</v>
      </c>
      <c r="G3431" s="28" t="s">
        <v>4498</v>
      </c>
      <c r="H3431" s="28">
        <v>2649938</v>
      </c>
      <c r="I3431" s="28">
        <v>153901</v>
      </c>
      <c r="J3431" s="28">
        <v>0.99</v>
      </c>
      <c r="K3431" s="28">
        <v>28</v>
      </c>
      <c r="L3431" s="28">
        <v>0</v>
      </c>
    </row>
    <row r="3432" spans="1:12" ht="14.25" customHeight="1" x14ac:dyDescent="0.2">
      <c r="A3432" s="28">
        <v>3431</v>
      </c>
      <c r="B3432" s="28" t="s">
        <v>4577</v>
      </c>
      <c r="C3432" s="28" t="s">
        <v>4578</v>
      </c>
      <c r="D3432" s="28" t="s">
        <v>4579</v>
      </c>
      <c r="E3432" s="28" t="s">
        <v>216</v>
      </c>
      <c r="F3432" s="28" t="s">
        <v>4432</v>
      </c>
      <c r="G3432" s="28" t="s">
        <v>4580</v>
      </c>
      <c r="H3432" s="28">
        <v>4195542</v>
      </c>
      <c r="I3432" s="28">
        <v>254001</v>
      </c>
      <c r="J3432" s="28">
        <v>0.99</v>
      </c>
      <c r="K3432" s="28">
        <v>89</v>
      </c>
      <c r="L3432" s="28">
        <v>0</v>
      </c>
    </row>
    <row r="3433" spans="1:12" ht="14.25" customHeight="1" x14ac:dyDescent="0.2">
      <c r="A3433" s="28">
        <v>3432</v>
      </c>
      <c r="B3433" s="28" t="s">
        <v>4581</v>
      </c>
      <c r="C3433" s="28" t="s">
        <v>4582</v>
      </c>
      <c r="D3433" s="28" t="s">
        <v>4583</v>
      </c>
      <c r="E3433" s="28" t="s">
        <v>216</v>
      </c>
      <c r="F3433" s="28" t="s">
        <v>4432</v>
      </c>
      <c r="G3433" s="28" t="s">
        <v>4584</v>
      </c>
      <c r="H3433" s="28">
        <v>8916313</v>
      </c>
      <c r="I3433" s="28">
        <v>545203</v>
      </c>
      <c r="J3433" s="28">
        <v>0.99</v>
      </c>
      <c r="K3433" s="28">
        <v>63</v>
      </c>
      <c r="L3433" s="28">
        <v>2</v>
      </c>
    </row>
    <row r="3434" spans="1:12" ht="14.25" customHeight="1" x14ac:dyDescent="0.2">
      <c r="A3434" s="28">
        <v>3433</v>
      </c>
      <c r="B3434" s="28" t="s">
        <v>4585</v>
      </c>
      <c r="C3434" s="28" t="s">
        <v>4586</v>
      </c>
      <c r="D3434" s="28" t="s">
        <v>4587</v>
      </c>
      <c r="E3434" s="28" t="s">
        <v>216</v>
      </c>
      <c r="F3434" s="28" t="s">
        <v>4432</v>
      </c>
      <c r="G3434" s="28" t="s">
        <v>4498</v>
      </c>
      <c r="H3434" s="28">
        <v>5064553</v>
      </c>
      <c r="I3434" s="28">
        <v>307244</v>
      </c>
      <c r="J3434" s="28">
        <v>0.99</v>
      </c>
      <c r="K3434" s="28">
        <v>63</v>
      </c>
      <c r="L3434" s="28">
        <v>1</v>
      </c>
    </row>
    <row r="3435" spans="1:12" ht="14.25" customHeight="1" x14ac:dyDescent="0.2">
      <c r="A3435" s="28">
        <v>3434</v>
      </c>
      <c r="B3435" s="28" t="s">
        <v>4588</v>
      </c>
      <c r="C3435" s="28" t="s">
        <v>4589</v>
      </c>
      <c r="D3435" s="28" t="s">
        <v>4590</v>
      </c>
      <c r="E3435" s="28" t="s">
        <v>216</v>
      </c>
      <c r="F3435" s="28" t="s">
        <v>4432</v>
      </c>
      <c r="G3435" s="28" t="s">
        <v>4591</v>
      </c>
      <c r="H3435" s="28">
        <v>9160082</v>
      </c>
      <c r="I3435" s="28">
        <v>560342</v>
      </c>
      <c r="J3435" s="28">
        <v>0.99</v>
      </c>
      <c r="K3435" s="28">
        <v>56</v>
      </c>
      <c r="L3435" s="28">
        <v>1</v>
      </c>
    </row>
    <row r="3436" spans="1:12" ht="14.25" customHeight="1" x14ac:dyDescent="0.2">
      <c r="A3436" s="28">
        <v>3435</v>
      </c>
      <c r="B3436" s="28" t="s">
        <v>4592</v>
      </c>
      <c r="C3436" s="28" t="s">
        <v>4593</v>
      </c>
      <c r="D3436" s="28" t="s">
        <v>4594</v>
      </c>
      <c r="E3436" s="28" t="s">
        <v>216</v>
      </c>
      <c r="F3436" s="28" t="s">
        <v>4432</v>
      </c>
      <c r="G3436" s="28" t="s">
        <v>4595</v>
      </c>
      <c r="H3436" s="28">
        <v>4001276</v>
      </c>
      <c r="I3436" s="28">
        <v>243436</v>
      </c>
      <c r="J3436" s="28">
        <v>0.99</v>
      </c>
      <c r="K3436" s="28">
        <v>23</v>
      </c>
      <c r="L3436" s="28">
        <v>0</v>
      </c>
    </row>
    <row r="3437" spans="1:12" ht="14.25" customHeight="1" x14ac:dyDescent="0.2">
      <c r="A3437" s="28">
        <v>3436</v>
      </c>
      <c r="B3437" s="28" t="s">
        <v>4596</v>
      </c>
      <c r="C3437" s="28" t="s">
        <v>4597</v>
      </c>
      <c r="D3437" s="28" t="s">
        <v>4598</v>
      </c>
      <c r="E3437" s="28" t="s">
        <v>216</v>
      </c>
      <c r="F3437" s="28" t="s">
        <v>4432</v>
      </c>
      <c r="G3437" s="28" t="s">
        <v>4599</v>
      </c>
      <c r="H3437" s="28">
        <v>5908455</v>
      </c>
      <c r="I3437" s="28">
        <v>406000</v>
      </c>
      <c r="J3437" s="28">
        <v>0.99</v>
      </c>
      <c r="K3437" s="28">
        <v>37</v>
      </c>
      <c r="L3437" s="28">
        <v>1</v>
      </c>
    </row>
    <row r="3438" spans="1:12" ht="14.25" customHeight="1" x14ac:dyDescent="0.2">
      <c r="A3438" s="28">
        <v>3437</v>
      </c>
      <c r="B3438" s="28" t="s">
        <v>4600</v>
      </c>
      <c r="C3438" s="28" t="s">
        <v>4601</v>
      </c>
      <c r="D3438" s="28" t="s">
        <v>4602</v>
      </c>
      <c r="E3438" s="28" t="s">
        <v>216</v>
      </c>
      <c r="F3438" s="28" t="s">
        <v>4432</v>
      </c>
      <c r="G3438" s="28" t="s">
        <v>4433</v>
      </c>
      <c r="H3438" s="28">
        <v>6318740</v>
      </c>
      <c r="I3438" s="28">
        <v>391000</v>
      </c>
      <c r="J3438" s="28">
        <v>0.99</v>
      </c>
      <c r="K3438" s="28">
        <v>73</v>
      </c>
      <c r="L3438" s="28">
        <v>1</v>
      </c>
    </row>
    <row r="3439" spans="1:12" ht="14.25" customHeight="1" x14ac:dyDescent="0.2">
      <c r="A3439" s="28">
        <v>3438</v>
      </c>
      <c r="B3439" s="28" t="s">
        <v>4603</v>
      </c>
      <c r="C3439" s="28" t="s">
        <v>4510</v>
      </c>
      <c r="D3439" s="28" t="s">
        <v>4511</v>
      </c>
      <c r="E3439" s="28" t="s">
        <v>216</v>
      </c>
      <c r="F3439" s="28" t="s">
        <v>4432</v>
      </c>
      <c r="G3439" s="28" t="s">
        <v>4604</v>
      </c>
      <c r="H3439" s="28">
        <v>4513190</v>
      </c>
      <c r="I3439" s="28">
        <v>268066</v>
      </c>
      <c r="J3439" s="28">
        <v>0.99</v>
      </c>
      <c r="K3439" s="28">
        <v>37</v>
      </c>
      <c r="L3439" s="28">
        <v>1</v>
      </c>
    </row>
    <row r="3440" spans="1:12" ht="14.25" customHeight="1" x14ac:dyDescent="0.2">
      <c r="A3440" s="28">
        <v>3439</v>
      </c>
      <c r="B3440" s="28" t="s">
        <v>4605</v>
      </c>
      <c r="C3440" s="28" t="s">
        <v>4606</v>
      </c>
      <c r="D3440" s="28" t="s">
        <v>4607</v>
      </c>
      <c r="E3440" s="28" t="s">
        <v>216</v>
      </c>
      <c r="F3440" s="28" t="s">
        <v>4432</v>
      </c>
      <c r="G3440" s="28" t="s">
        <v>4607</v>
      </c>
      <c r="H3440" s="28">
        <v>3700206</v>
      </c>
      <c r="I3440" s="28">
        <v>223583</v>
      </c>
      <c r="J3440" s="28">
        <v>0.99</v>
      </c>
      <c r="K3440" s="28">
        <v>80</v>
      </c>
      <c r="L3440" s="28">
        <v>0</v>
      </c>
    </row>
    <row r="3441" spans="1:12" ht="14.25" customHeight="1" x14ac:dyDescent="0.2">
      <c r="A3441" s="28">
        <v>3440</v>
      </c>
      <c r="B3441" s="28" t="s">
        <v>4608</v>
      </c>
      <c r="C3441" s="28" t="s">
        <v>4609</v>
      </c>
      <c r="D3441" s="28" t="s">
        <v>4610</v>
      </c>
      <c r="E3441" s="28" t="s">
        <v>216</v>
      </c>
      <c r="F3441" s="28" t="s">
        <v>4432</v>
      </c>
      <c r="G3441" s="28" t="s">
        <v>4549</v>
      </c>
      <c r="H3441" s="28">
        <v>7865479</v>
      </c>
      <c r="I3441" s="28">
        <v>483133</v>
      </c>
      <c r="J3441" s="28">
        <v>0.99</v>
      </c>
      <c r="K3441" s="28">
        <v>16</v>
      </c>
      <c r="L3441" s="28">
        <v>1</v>
      </c>
    </row>
    <row r="3442" spans="1:12" ht="14.25" customHeight="1" x14ac:dyDescent="0.2">
      <c r="A3442" s="28">
        <v>3441</v>
      </c>
      <c r="B3442" s="28" t="s">
        <v>4611</v>
      </c>
      <c r="C3442" s="28" t="s">
        <v>4612</v>
      </c>
      <c r="D3442" s="28" t="s">
        <v>4613</v>
      </c>
      <c r="E3442" s="28" t="s">
        <v>216</v>
      </c>
      <c r="F3442" s="28" t="s">
        <v>4432</v>
      </c>
      <c r="G3442" s="28" t="s">
        <v>4614</v>
      </c>
      <c r="H3442" s="28">
        <v>4310896</v>
      </c>
      <c r="I3442" s="28">
        <v>254930</v>
      </c>
      <c r="J3442" s="28">
        <v>0.99</v>
      </c>
      <c r="K3442" s="28">
        <v>91</v>
      </c>
      <c r="L3442" s="28">
        <v>1</v>
      </c>
    </row>
    <row r="3443" spans="1:12" ht="14.25" customHeight="1" x14ac:dyDescent="0.2">
      <c r="A3443" s="28">
        <v>3442</v>
      </c>
      <c r="B3443" s="28" t="s">
        <v>4615</v>
      </c>
      <c r="C3443" s="28" t="s">
        <v>4616</v>
      </c>
      <c r="D3443" s="28" t="s">
        <v>4617</v>
      </c>
      <c r="E3443" s="28" t="s">
        <v>216</v>
      </c>
      <c r="F3443" s="28" t="s">
        <v>4432</v>
      </c>
      <c r="G3443" s="28" t="s">
        <v>4433</v>
      </c>
      <c r="H3443" s="28">
        <v>6965201</v>
      </c>
      <c r="I3443" s="28">
        <v>412000</v>
      </c>
      <c r="J3443" s="28">
        <v>0.99</v>
      </c>
      <c r="K3443" s="28">
        <v>1</v>
      </c>
      <c r="L3443" s="28">
        <v>1</v>
      </c>
    </row>
    <row r="3444" spans="1:12" ht="14.25" customHeight="1" x14ac:dyDescent="0.2">
      <c r="A3444" s="28">
        <v>3443</v>
      </c>
      <c r="B3444" s="28" t="s">
        <v>4618</v>
      </c>
      <c r="C3444" s="28" t="s">
        <v>4619</v>
      </c>
      <c r="D3444" s="28" t="s">
        <v>4620</v>
      </c>
      <c r="E3444" s="28" t="s">
        <v>216</v>
      </c>
      <c r="F3444" s="28" t="s">
        <v>4432</v>
      </c>
      <c r="G3444" s="28" t="s">
        <v>4621</v>
      </c>
      <c r="H3444" s="28">
        <v>4244149</v>
      </c>
      <c r="I3444" s="28">
        <v>240666</v>
      </c>
      <c r="J3444" s="28">
        <v>0.99</v>
      </c>
      <c r="K3444" s="28">
        <v>62</v>
      </c>
      <c r="L3444" s="28">
        <v>0</v>
      </c>
    </row>
    <row r="3445" spans="1:12" ht="14.25" customHeight="1" x14ac:dyDescent="0.2">
      <c r="A3445" s="28">
        <v>3444</v>
      </c>
      <c r="B3445" s="28" t="s">
        <v>4622</v>
      </c>
      <c r="C3445" s="28" t="s">
        <v>4623</v>
      </c>
      <c r="D3445" s="28" t="s">
        <v>4624</v>
      </c>
      <c r="E3445" s="28" t="s">
        <v>216</v>
      </c>
      <c r="F3445" s="28" t="s">
        <v>4432</v>
      </c>
      <c r="G3445" s="28"/>
      <c r="H3445" s="28">
        <v>4519239</v>
      </c>
      <c r="I3445" s="28">
        <v>275015</v>
      </c>
      <c r="J3445" s="28">
        <v>0.99</v>
      </c>
      <c r="K3445" s="28">
        <v>20</v>
      </c>
      <c r="L3445" s="28">
        <v>1</v>
      </c>
    </row>
    <row r="3446" spans="1:12" ht="14.25" customHeight="1" x14ac:dyDescent="0.2">
      <c r="A3446" s="28">
        <v>3445</v>
      </c>
      <c r="B3446" s="28" t="s">
        <v>4625</v>
      </c>
      <c r="C3446" s="28" t="s">
        <v>4626</v>
      </c>
      <c r="D3446" s="28" t="s">
        <v>4556</v>
      </c>
      <c r="E3446" s="28" t="s">
        <v>216</v>
      </c>
      <c r="F3446" s="28" t="s">
        <v>4432</v>
      </c>
      <c r="G3446" s="28" t="s">
        <v>4627</v>
      </c>
      <c r="H3446" s="28">
        <v>8610225</v>
      </c>
      <c r="I3446" s="28">
        <v>526696</v>
      </c>
      <c r="J3446" s="28">
        <v>0.99</v>
      </c>
      <c r="K3446" s="28">
        <v>5</v>
      </c>
      <c r="L3446" s="28">
        <v>0</v>
      </c>
    </row>
    <row r="3447" spans="1:12" ht="14.25" customHeight="1" x14ac:dyDescent="0.2">
      <c r="A3447" s="28">
        <v>3446</v>
      </c>
      <c r="B3447" s="28" t="s">
        <v>4628</v>
      </c>
      <c r="C3447" s="28" t="s">
        <v>4629</v>
      </c>
      <c r="D3447" s="28" t="s">
        <v>4624</v>
      </c>
      <c r="E3447" s="28" t="s">
        <v>216</v>
      </c>
      <c r="F3447" s="28" t="s">
        <v>4432</v>
      </c>
      <c r="G3447" s="28" t="s">
        <v>4630</v>
      </c>
      <c r="H3447" s="28">
        <v>9173344</v>
      </c>
      <c r="I3447" s="28">
        <v>561967</v>
      </c>
      <c r="J3447" s="28">
        <v>0.99</v>
      </c>
      <c r="K3447" s="28">
        <v>81</v>
      </c>
      <c r="L3447" s="28">
        <v>2</v>
      </c>
    </row>
    <row r="3448" spans="1:12" ht="14.25" customHeight="1" x14ac:dyDescent="0.2">
      <c r="A3448" s="28">
        <v>3447</v>
      </c>
      <c r="B3448" s="28" t="s">
        <v>4631</v>
      </c>
      <c r="C3448" s="28" t="s">
        <v>4632</v>
      </c>
      <c r="D3448" s="28" t="s">
        <v>4633</v>
      </c>
      <c r="E3448" s="28" t="s">
        <v>216</v>
      </c>
      <c r="F3448" s="28" t="s">
        <v>4432</v>
      </c>
      <c r="G3448" s="28" t="s">
        <v>4634</v>
      </c>
      <c r="H3448" s="28">
        <v>2189002</v>
      </c>
      <c r="I3448" s="28">
        <v>132932</v>
      </c>
      <c r="J3448" s="28">
        <v>0.99</v>
      </c>
      <c r="K3448" s="28">
        <v>67</v>
      </c>
      <c r="L3448" s="28">
        <v>0</v>
      </c>
    </row>
    <row r="3449" spans="1:12" ht="14.25" customHeight="1" x14ac:dyDescent="0.2">
      <c r="A3449" s="28">
        <v>3448</v>
      </c>
      <c r="B3449" s="28" t="s">
        <v>4635</v>
      </c>
      <c r="C3449" s="28" t="s">
        <v>4636</v>
      </c>
      <c r="D3449" s="28" t="s">
        <v>4637</v>
      </c>
      <c r="E3449" s="28" t="s">
        <v>216</v>
      </c>
      <c r="F3449" s="28" t="s">
        <v>4432</v>
      </c>
      <c r="G3449" s="28" t="s">
        <v>4638</v>
      </c>
      <c r="H3449" s="28">
        <v>1208080</v>
      </c>
      <c r="I3449" s="28">
        <v>69194</v>
      </c>
      <c r="J3449" s="28">
        <v>0.99</v>
      </c>
      <c r="K3449" s="28">
        <v>89</v>
      </c>
      <c r="L3449" s="28">
        <v>0</v>
      </c>
    </row>
    <row r="3450" spans="1:12" ht="14.25" customHeight="1" x14ac:dyDescent="0.2">
      <c r="A3450" s="28">
        <v>3449</v>
      </c>
      <c r="B3450" s="28" t="s">
        <v>4639</v>
      </c>
      <c r="C3450" s="28" t="s">
        <v>4640</v>
      </c>
      <c r="D3450" s="28" t="s">
        <v>4489</v>
      </c>
      <c r="E3450" s="28" t="s">
        <v>216</v>
      </c>
      <c r="F3450" s="28" t="s">
        <v>4432</v>
      </c>
      <c r="G3450" s="28" t="s">
        <v>4508</v>
      </c>
      <c r="H3450" s="28">
        <v>2193734</v>
      </c>
      <c r="I3450" s="28">
        <v>120000</v>
      </c>
      <c r="J3450" s="28">
        <v>0.99</v>
      </c>
      <c r="K3450" s="28">
        <v>23</v>
      </c>
      <c r="L3450" s="28">
        <v>0</v>
      </c>
    </row>
    <row r="3451" spans="1:12" ht="14.25" customHeight="1" x14ac:dyDescent="0.2">
      <c r="A3451" s="28">
        <v>3450</v>
      </c>
      <c r="B3451" s="28" t="s">
        <v>4641</v>
      </c>
      <c r="C3451" s="28" t="s">
        <v>4642</v>
      </c>
      <c r="D3451" s="28" t="s">
        <v>4643</v>
      </c>
      <c r="E3451" s="28" t="s">
        <v>216</v>
      </c>
      <c r="F3451" s="28" t="s">
        <v>4432</v>
      </c>
      <c r="G3451" s="28" t="s">
        <v>4644</v>
      </c>
      <c r="H3451" s="28">
        <v>4298769</v>
      </c>
      <c r="I3451" s="28">
        <v>253422</v>
      </c>
      <c r="J3451" s="28">
        <v>0.99</v>
      </c>
      <c r="K3451" s="28">
        <v>2</v>
      </c>
      <c r="L3451" s="28">
        <v>1</v>
      </c>
    </row>
    <row r="3452" spans="1:12" ht="14.25" customHeight="1" x14ac:dyDescent="0.2">
      <c r="A3452" s="28">
        <v>3451</v>
      </c>
      <c r="B3452" s="28" t="s">
        <v>4645</v>
      </c>
      <c r="C3452" s="28" t="s">
        <v>4646</v>
      </c>
      <c r="D3452" s="28" t="s">
        <v>4647</v>
      </c>
      <c r="E3452" s="28" t="s">
        <v>216</v>
      </c>
      <c r="F3452" s="28" t="s">
        <v>4648</v>
      </c>
      <c r="G3452" s="28" t="s">
        <v>4515</v>
      </c>
      <c r="H3452" s="28">
        <v>2861468</v>
      </c>
      <c r="I3452" s="28">
        <v>174813</v>
      </c>
      <c r="J3452" s="28">
        <v>0.99</v>
      </c>
      <c r="K3452" s="28">
        <v>77</v>
      </c>
      <c r="L3452" s="28">
        <v>0</v>
      </c>
    </row>
    <row r="3453" spans="1:12" ht="14.25" customHeight="1" x14ac:dyDescent="0.2">
      <c r="A3453" s="28">
        <v>3452</v>
      </c>
      <c r="B3453" s="28" t="s">
        <v>4649</v>
      </c>
      <c r="C3453" s="28" t="s">
        <v>4650</v>
      </c>
      <c r="D3453" s="28" t="s">
        <v>4651</v>
      </c>
      <c r="E3453" s="28" t="s">
        <v>4385</v>
      </c>
      <c r="F3453" s="28" t="s">
        <v>4432</v>
      </c>
      <c r="G3453" s="28"/>
      <c r="H3453" s="28">
        <v>3819535</v>
      </c>
      <c r="I3453" s="28">
        <v>101293</v>
      </c>
      <c r="J3453" s="28">
        <v>0.99</v>
      </c>
      <c r="K3453" s="28">
        <v>37</v>
      </c>
      <c r="L3453" s="28">
        <v>0</v>
      </c>
    </row>
    <row r="3454" spans="1:12" ht="14.25" customHeight="1" x14ac:dyDescent="0.2">
      <c r="A3454" s="28">
        <v>3453</v>
      </c>
      <c r="B3454" s="28" t="s">
        <v>4652</v>
      </c>
      <c r="C3454" s="28" t="s">
        <v>4653</v>
      </c>
      <c r="D3454" s="28" t="s">
        <v>4654</v>
      </c>
      <c r="E3454" s="28" t="s">
        <v>216</v>
      </c>
      <c r="F3454" s="28" t="s">
        <v>4432</v>
      </c>
      <c r="G3454" s="28" t="s">
        <v>4655</v>
      </c>
      <c r="H3454" s="28">
        <v>4211495</v>
      </c>
      <c r="I3454" s="28">
        <v>253281</v>
      </c>
      <c r="J3454" s="28">
        <v>0.99</v>
      </c>
      <c r="K3454" s="28">
        <v>40</v>
      </c>
      <c r="L3454" s="28">
        <v>0</v>
      </c>
    </row>
    <row r="3455" spans="1:12" ht="14.25" customHeight="1" x14ac:dyDescent="0.2">
      <c r="A3455" s="28">
        <v>3454</v>
      </c>
      <c r="B3455" s="28" t="s">
        <v>4656</v>
      </c>
      <c r="C3455" s="28" t="s">
        <v>4657</v>
      </c>
      <c r="D3455" s="28" t="s">
        <v>4643</v>
      </c>
      <c r="E3455" s="28" t="s">
        <v>216</v>
      </c>
      <c r="F3455" s="28" t="s">
        <v>4432</v>
      </c>
      <c r="G3455" s="28" t="s">
        <v>4515</v>
      </c>
      <c r="H3455" s="28">
        <v>6173269</v>
      </c>
      <c r="I3455" s="28">
        <v>362933</v>
      </c>
      <c r="J3455" s="28">
        <v>0.99</v>
      </c>
      <c r="K3455" s="28">
        <v>34</v>
      </c>
      <c r="L3455" s="28">
        <v>1</v>
      </c>
    </row>
    <row r="3456" spans="1:12" ht="14.25" customHeight="1" x14ac:dyDescent="0.2">
      <c r="A3456" s="28">
        <v>3455</v>
      </c>
      <c r="B3456" s="28" t="s">
        <v>4658</v>
      </c>
      <c r="C3456" s="28" t="s">
        <v>4659</v>
      </c>
      <c r="D3456" s="28" t="s">
        <v>4660</v>
      </c>
      <c r="E3456" s="28" t="s">
        <v>216</v>
      </c>
      <c r="F3456" s="28" t="s">
        <v>2034</v>
      </c>
      <c r="G3456" s="28"/>
      <c r="H3456" s="28">
        <v>3416878</v>
      </c>
      <c r="I3456" s="28">
        <v>213240</v>
      </c>
      <c r="J3456" s="28">
        <v>0.99</v>
      </c>
      <c r="K3456" s="28">
        <v>4</v>
      </c>
      <c r="L3456" s="28">
        <v>2</v>
      </c>
    </row>
    <row r="3457" spans="1:12" ht="14.25" customHeight="1" x14ac:dyDescent="0.2">
      <c r="A3457" s="28">
        <v>3456</v>
      </c>
      <c r="B3457" s="28" t="s">
        <v>4661</v>
      </c>
      <c r="C3457" s="28" t="s">
        <v>4659</v>
      </c>
      <c r="D3457" s="28" t="s">
        <v>4660</v>
      </c>
      <c r="E3457" s="28" t="s">
        <v>216</v>
      </c>
      <c r="F3457" s="28" t="s">
        <v>2034</v>
      </c>
      <c r="G3457" s="28"/>
      <c r="H3457" s="28">
        <v>4133694</v>
      </c>
      <c r="I3457" s="28">
        <v>256946</v>
      </c>
      <c r="J3457" s="28">
        <v>0.99</v>
      </c>
      <c r="K3457" s="28">
        <v>59</v>
      </c>
      <c r="L3457" s="28">
        <v>1</v>
      </c>
    </row>
    <row r="3458" spans="1:12" ht="14.25" customHeight="1" x14ac:dyDescent="0.2">
      <c r="A3458" s="28">
        <v>3457</v>
      </c>
      <c r="B3458" s="28" t="s">
        <v>4662</v>
      </c>
      <c r="C3458" s="28" t="s">
        <v>4659</v>
      </c>
      <c r="D3458" s="28" t="s">
        <v>4660</v>
      </c>
      <c r="E3458" s="28" t="s">
        <v>216</v>
      </c>
      <c r="F3458" s="28" t="s">
        <v>2034</v>
      </c>
      <c r="G3458" s="28"/>
      <c r="H3458" s="28">
        <v>2449438</v>
      </c>
      <c r="I3458" s="28">
        <v>151706</v>
      </c>
      <c r="J3458" s="28">
        <v>0.99</v>
      </c>
      <c r="K3458" s="28">
        <v>38</v>
      </c>
      <c r="L3458" s="28">
        <v>1</v>
      </c>
    </row>
    <row r="3459" spans="1:12" ht="14.25" customHeight="1" x14ac:dyDescent="0.2">
      <c r="A3459" s="28">
        <v>3458</v>
      </c>
      <c r="B3459" s="28" t="s">
        <v>4663</v>
      </c>
      <c r="C3459" s="28" t="s">
        <v>4659</v>
      </c>
      <c r="D3459" s="28" t="s">
        <v>4660</v>
      </c>
      <c r="E3459" s="28" t="s">
        <v>216</v>
      </c>
      <c r="F3459" s="28" t="s">
        <v>2034</v>
      </c>
      <c r="G3459" s="28"/>
      <c r="H3459" s="28">
        <v>3098906</v>
      </c>
      <c r="I3459" s="28">
        <v>191933</v>
      </c>
      <c r="J3459" s="28">
        <v>0.99</v>
      </c>
      <c r="K3459" s="28">
        <v>11</v>
      </c>
      <c r="L3459" s="28">
        <v>1</v>
      </c>
    </row>
    <row r="3460" spans="1:12" ht="14.25" customHeight="1" x14ac:dyDescent="0.2">
      <c r="A3460" s="28">
        <v>3459</v>
      </c>
      <c r="B3460" s="28" t="s">
        <v>4659</v>
      </c>
      <c r="C3460" s="28" t="s">
        <v>4659</v>
      </c>
      <c r="D3460" s="28" t="s">
        <v>4660</v>
      </c>
      <c r="E3460" s="28" t="s">
        <v>216</v>
      </c>
      <c r="F3460" s="28" t="s">
        <v>2034</v>
      </c>
      <c r="G3460" s="28" t="s">
        <v>4664</v>
      </c>
      <c r="H3460" s="28">
        <v>3852953</v>
      </c>
      <c r="I3460" s="28">
        <v>240320</v>
      </c>
      <c r="J3460" s="28">
        <v>0.99</v>
      </c>
      <c r="K3460" s="28">
        <v>6</v>
      </c>
      <c r="L3460" s="28">
        <v>1</v>
      </c>
    </row>
    <row r="3461" spans="1:12" ht="14.25" customHeight="1" x14ac:dyDescent="0.2">
      <c r="A3461" s="28">
        <v>3460</v>
      </c>
      <c r="B3461" s="28" t="s">
        <v>4665</v>
      </c>
      <c r="C3461" s="28" t="s">
        <v>4659</v>
      </c>
      <c r="D3461" s="28" t="s">
        <v>4660</v>
      </c>
      <c r="E3461" s="28" t="s">
        <v>216</v>
      </c>
      <c r="F3461" s="28" t="s">
        <v>2034</v>
      </c>
      <c r="G3461" s="28"/>
      <c r="H3461" s="28">
        <v>2509409</v>
      </c>
      <c r="I3461" s="28">
        <v>154386</v>
      </c>
      <c r="J3461" s="28">
        <v>0.99</v>
      </c>
      <c r="K3461" s="28">
        <v>86</v>
      </c>
      <c r="L3461" s="28">
        <v>0</v>
      </c>
    </row>
    <row r="3462" spans="1:12" ht="14.25" customHeight="1" x14ac:dyDescent="0.2">
      <c r="A3462" s="28">
        <v>3461</v>
      </c>
      <c r="B3462" s="28" t="s">
        <v>4666</v>
      </c>
      <c r="C3462" s="28" t="s">
        <v>4659</v>
      </c>
      <c r="D3462" s="28" t="s">
        <v>4660</v>
      </c>
      <c r="E3462" s="28" t="s">
        <v>216</v>
      </c>
      <c r="F3462" s="28" t="s">
        <v>2034</v>
      </c>
      <c r="G3462" s="28" t="s">
        <v>4667</v>
      </c>
      <c r="H3462" s="28">
        <v>2996598</v>
      </c>
      <c r="I3462" s="28">
        <v>185293</v>
      </c>
      <c r="J3462" s="28">
        <v>0.99</v>
      </c>
      <c r="K3462" s="28">
        <v>93</v>
      </c>
      <c r="L3462" s="28">
        <v>1</v>
      </c>
    </row>
    <row r="3463" spans="1:12" ht="14.25" customHeight="1" x14ac:dyDescent="0.2">
      <c r="A3463" s="28">
        <v>3462</v>
      </c>
      <c r="B3463" s="28" t="s">
        <v>4668</v>
      </c>
      <c r="C3463" s="28" t="s">
        <v>4659</v>
      </c>
      <c r="D3463" s="28" t="s">
        <v>4660</v>
      </c>
      <c r="E3463" s="28" t="s">
        <v>216</v>
      </c>
      <c r="F3463" s="28" t="s">
        <v>2034</v>
      </c>
      <c r="G3463" s="28" t="s">
        <v>4669</v>
      </c>
      <c r="H3463" s="28">
        <v>3576773</v>
      </c>
      <c r="I3463" s="28">
        <v>221413</v>
      </c>
      <c r="J3463" s="28">
        <v>0.99</v>
      </c>
      <c r="K3463" s="28">
        <v>44</v>
      </c>
      <c r="L3463" s="28">
        <v>1</v>
      </c>
    </row>
    <row r="3464" spans="1:12" ht="14.25" customHeight="1" x14ac:dyDescent="0.2">
      <c r="A3464" s="28">
        <v>3463</v>
      </c>
      <c r="B3464" s="28" t="s">
        <v>4670</v>
      </c>
      <c r="C3464" s="28" t="s">
        <v>4659</v>
      </c>
      <c r="D3464" s="28" t="s">
        <v>4660</v>
      </c>
      <c r="E3464" s="28" t="s">
        <v>216</v>
      </c>
      <c r="F3464" s="28" t="s">
        <v>2034</v>
      </c>
      <c r="G3464" s="28"/>
      <c r="H3464" s="28">
        <v>2304465</v>
      </c>
      <c r="I3464" s="28">
        <v>141520</v>
      </c>
      <c r="J3464" s="28">
        <v>0.99</v>
      </c>
      <c r="K3464" s="28">
        <v>96</v>
      </c>
      <c r="L3464" s="28">
        <v>1</v>
      </c>
    </row>
    <row r="3465" spans="1:12" ht="14.25" customHeight="1" x14ac:dyDescent="0.2">
      <c r="A3465" s="28">
        <v>3464</v>
      </c>
      <c r="B3465" s="28" t="s">
        <v>4671</v>
      </c>
      <c r="C3465" s="28" t="s">
        <v>4659</v>
      </c>
      <c r="D3465" s="28" t="s">
        <v>4660</v>
      </c>
      <c r="E3465" s="28" t="s">
        <v>216</v>
      </c>
      <c r="F3465" s="28" t="s">
        <v>2034</v>
      </c>
      <c r="G3465" s="28" t="s">
        <v>4672</v>
      </c>
      <c r="H3465" s="28">
        <v>2666531</v>
      </c>
      <c r="I3465" s="28">
        <v>166680</v>
      </c>
      <c r="J3465" s="28">
        <v>0.99</v>
      </c>
      <c r="K3465" s="28">
        <v>15</v>
      </c>
      <c r="L3465" s="28">
        <v>1</v>
      </c>
    </row>
    <row r="3466" spans="1:12" ht="14.25" customHeight="1" x14ac:dyDescent="0.2">
      <c r="A3466" s="28">
        <v>3465</v>
      </c>
      <c r="B3466" s="28" t="s">
        <v>4673</v>
      </c>
      <c r="C3466" s="28" t="s">
        <v>4659</v>
      </c>
      <c r="D3466" s="28" t="s">
        <v>4660</v>
      </c>
      <c r="E3466" s="28" t="s">
        <v>216</v>
      </c>
      <c r="F3466" s="28" t="s">
        <v>2034</v>
      </c>
      <c r="G3466" s="28"/>
      <c r="H3466" s="28">
        <v>3260658</v>
      </c>
      <c r="I3466" s="28">
        <v>202320</v>
      </c>
      <c r="J3466" s="28">
        <v>0.99</v>
      </c>
      <c r="K3466" s="28">
        <v>13</v>
      </c>
      <c r="L3466" s="28">
        <v>1</v>
      </c>
    </row>
    <row r="3467" spans="1:12" ht="14.25" customHeight="1" x14ac:dyDescent="0.2">
      <c r="A3467" s="28">
        <v>3466</v>
      </c>
      <c r="B3467" s="28" t="s">
        <v>4674</v>
      </c>
      <c r="C3467" s="28" t="s">
        <v>4659</v>
      </c>
      <c r="D3467" s="28" t="s">
        <v>4660</v>
      </c>
      <c r="E3467" s="28" t="s">
        <v>216</v>
      </c>
      <c r="F3467" s="28" t="s">
        <v>2034</v>
      </c>
      <c r="G3467" s="28"/>
      <c r="H3467" s="28">
        <v>6670600</v>
      </c>
      <c r="I3467" s="28">
        <v>418293</v>
      </c>
      <c r="J3467" s="28">
        <v>0.99</v>
      </c>
      <c r="K3467" s="28">
        <v>8</v>
      </c>
      <c r="L3467" s="28">
        <v>1</v>
      </c>
    </row>
    <row r="3468" spans="1:12" ht="14.25" customHeight="1" x14ac:dyDescent="0.2">
      <c r="A3468" s="28">
        <v>3467</v>
      </c>
      <c r="B3468" s="28" t="s">
        <v>4675</v>
      </c>
      <c r="C3468" s="28" t="s">
        <v>4676</v>
      </c>
      <c r="D3468" s="28" t="s">
        <v>4660</v>
      </c>
      <c r="E3468" s="28" t="s">
        <v>216</v>
      </c>
      <c r="F3468" s="28" t="s">
        <v>640</v>
      </c>
      <c r="G3468" s="28"/>
      <c r="H3468" s="28">
        <v>3832165</v>
      </c>
      <c r="I3468" s="28">
        <v>234200</v>
      </c>
      <c r="J3468" s="28">
        <v>0.99</v>
      </c>
      <c r="K3468" s="28">
        <v>65</v>
      </c>
      <c r="L3468" s="28">
        <v>1</v>
      </c>
    </row>
    <row r="3469" spans="1:12" ht="14.25" customHeight="1" x14ac:dyDescent="0.2">
      <c r="A3469" s="28">
        <v>3468</v>
      </c>
      <c r="B3469" s="28" t="s">
        <v>4677</v>
      </c>
      <c r="C3469" s="28" t="s">
        <v>4676</v>
      </c>
      <c r="D3469" s="28" t="s">
        <v>4660</v>
      </c>
      <c r="E3469" s="28" t="s">
        <v>216</v>
      </c>
      <c r="F3469" s="28" t="s">
        <v>640</v>
      </c>
      <c r="G3469" s="28"/>
      <c r="H3469" s="28">
        <v>6657517</v>
      </c>
      <c r="I3469" s="28">
        <v>409906</v>
      </c>
      <c r="J3469" s="28">
        <v>0.99</v>
      </c>
      <c r="K3469" s="28">
        <v>14</v>
      </c>
      <c r="L3469" s="28">
        <v>0</v>
      </c>
    </row>
    <row r="3470" spans="1:12" ht="14.25" customHeight="1" x14ac:dyDescent="0.2">
      <c r="A3470" s="28">
        <v>3469</v>
      </c>
      <c r="B3470" s="28" t="s">
        <v>4678</v>
      </c>
      <c r="C3470" s="28" t="s">
        <v>4676</v>
      </c>
      <c r="D3470" s="28" t="s">
        <v>4660</v>
      </c>
      <c r="E3470" s="28" t="s">
        <v>216</v>
      </c>
      <c r="F3470" s="28" t="s">
        <v>640</v>
      </c>
      <c r="G3470" s="28" t="s">
        <v>4679</v>
      </c>
      <c r="H3470" s="28">
        <v>3324343</v>
      </c>
      <c r="I3470" s="28">
        <v>200253</v>
      </c>
      <c r="J3470" s="28">
        <v>0.99</v>
      </c>
      <c r="K3470" s="28">
        <v>79</v>
      </c>
      <c r="L3470" s="28">
        <v>1</v>
      </c>
    </row>
    <row r="3471" spans="1:12" ht="14.25" customHeight="1" x14ac:dyDescent="0.2">
      <c r="A3471" s="28">
        <v>3470</v>
      </c>
      <c r="B3471" s="28" t="s">
        <v>4680</v>
      </c>
      <c r="C3471" s="28" t="s">
        <v>4676</v>
      </c>
      <c r="D3471" s="28" t="s">
        <v>4660</v>
      </c>
      <c r="E3471" s="28" t="s">
        <v>216</v>
      </c>
      <c r="F3471" s="28" t="s">
        <v>640</v>
      </c>
      <c r="G3471" s="28"/>
      <c r="H3471" s="28">
        <v>2190831</v>
      </c>
      <c r="I3471" s="28">
        <v>129666</v>
      </c>
      <c r="J3471" s="28">
        <v>0.99</v>
      </c>
      <c r="K3471" s="28">
        <v>99</v>
      </c>
      <c r="L3471" s="28">
        <v>1</v>
      </c>
    </row>
    <row r="3472" spans="1:12" ht="14.25" customHeight="1" x14ac:dyDescent="0.2">
      <c r="A3472" s="28">
        <v>3471</v>
      </c>
      <c r="B3472" s="28" t="s">
        <v>4681</v>
      </c>
      <c r="C3472" s="28" t="s">
        <v>4676</v>
      </c>
      <c r="D3472" s="28" t="s">
        <v>4660</v>
      </c>
      <c r="E3472" s="28" t="s">
        <v>216</v>
      </c>
      <c r="F3472" s="28" t="s">
        <v>640</v>
      </c>
      <c r="G3472" s="28" t="s">
        <v>4682</v>
      </c>
      <c r="H3472" s="28">
        <v>2773507</v>
      </c>
      <c r="I3472" s="28">
        <v>167933</v>
      </c>
      <c r="J3472" s="28">
        <v>0.99</v>
      </c>
      <c r="K3472" s="28">
        <v>2</v>
      </c>
      <c r="L3472" s="28">
        <v>0</v>
      </c>
    </row>
    <row r="3473" spans="1:12" ht="14.25" customHeight="1" x14ac:dyDescent="0.2">
      <c r="A3473" s="28">
        <v>3472</v>
      </c>
      <c r="B3473" s="28" t="s">
        <v>4683</v>
      </c>
      <c r="C3473" s="28" t="s">
        <v>4676</v>
      </c>
      <c r="D3473" s="28" t="s">
        <v>4660</v>
      </c>
      <c r="E3473" s="28" t="s">
        <v>216</v>
      </c>
      <c r="F3473" s="28" t="s">
        <v>640</v>
      </c>
      <c r="G3473" s="28" t="s">
        <v>4679</v>
      </c>
      <c r="H3473" s="28">
        <v>5211774</v>
      </c>
      <c r="I3473" s="28">
        <v>315960</v>
      </c>
      <c r="J3473" s="28">
        <v>0.99</v>
      </c>
      <c r="K3473" s="28">
        <v>91</v>
      </c>
      <c r="L3473" s="28">
        <v>0</v>
      </c>
    </row>
    <row r="3474" spans="1:12" ht="14.25" customHeight="1" x14ac:dyDescent="0.2">
      <c r="A3474" s="28">
        <v>3473</v>
      </c>
      <c r="B3474" s="28" t="s">
        <v>4684</v>
      </c>
      <c r="C3474" s="28" t="s">
        <v>4676</v>
      </c>
      <c r="D3474" s="28" t="s">
        <v>4660</v>
      </c>
      <c r="E3474" s="28" t="s">
        <v>216</v>
      </c>
      <c r="F3474" s="28" t="s">
        <v>640</v>
      </c>
      <c r="G3474" s="28" t="s">
        <v>4685</v>
      </c>
      <c r="H3474" s="28">
        <v>3281526</v>
      </c>
      <c r="I3474" s="28">
        <v>199160</v>
      </c>
      <c r="J3474" s="28">
        <v>0.99</v>
      </c>
      <c r="K3474" s="28">
        <v>46</v>
      </c>
      <c r="L3474" s="28">
        <v>1</v>
      </c>
    </row>
    <row r="3475" spans="1:12" ht="14.25" customHeight="1" x14ac:dyDescent="0.2">
      <c r="A3475" s="28">
        <v>3474</v>
      </c>
      <c r="B3475" s="28" t="s">
        <v>4686</v>
      </c>
      <c r="C3475" s="28" t="s">
        <v>4676</v>
      </c>
      <c r="D3475" s="28" t="s">
        <v>4660</v>
      </c>
      <c r="E3475" s="28" t="s">
        <v>216</v>
      </c>
      <c r="F3475" s="28" t="s">
        <v>640</v>
      </c>
      <c r="G3475" s="28" t="s">
        <v>4687</v>
      </c>
      <c r="H3475" s="28">
        <v>3358125</v>
      </c>
      <c r="I3475" s="28">
        <v>204846</v>
      </c>
      <c r="J3475" s="28">
        <v>0.99</v>
      </c>
      <c r="K3475" s="28">
        <v>44</v>
      </c>
      <c r="L3475" s="28">
        <v>0</v>
      </c>
    </row>
    <row r="3476" spans="1:12" ht="14.25" customHeight="1" x14ac:dyDescent="0.2">
      <c r="A3476" s="28">
        <v>3475</v>
      </c>
      <c r="B3476" s="28" t="s">
        <v>4688</v>
      </c>
      <c r="C3476" s="28" t="s">
        <v>4676</v>
      </c>
      <c r="D3476" s="28" t="s">
        <v>4660</v>
      </c>
      <c r="E3476" s="28" t="s">
        <v>216</v>
      </c>
      <c r="F3476" s="28" t="s">
        <v>640</v>
      </c>
      <c r="G3476" s="28" t="s">
        <v>4689</v>
      </c>
      <c r="H3476" s="28">
        <v>3426106</v>
      </c>
      <c r="I3476" s="28">
        <v>209573</v>
      </c>
      <c r="J3476" s="28">
        <v>0.99</v>
      </c>
      <c r="K3476" s="28">
        <v>36</v>
      </c>
      <c r="L3476" s="28">
        <v>0</v>
      </c>
    </row>
    <row r="3477" spans="1:12" ht="14.25" customHeight="1" x14ac:dyDescent="0.2">
      <c r="A3477" s="28">
        <v>3476</v>
      </c>
      <c r="B3477" s="28" t="s">
        <v>4690</v>
      </c>
      <c r="C3477" s="28" t="s">
        <v>4676</v>
      </c>
      <c r="D3477" s="28" t="s">
        <v>4660</v>
      </c>
      <c r="E3477" s="28" t="s">
        <v>216</v>
      </c>
      <c r="F3477" s="28" t="s">
        <v>640</v>
      </c>
      <c r="G3477" s="28" t="s">
        <v>4691</v>
      </c>
      <c r="H3477" s="28">
        <v>5029266</v>
      </c>
      <c r="I3477" s="28">
        <v>300884</v>
      </c>
      <c r="J3477" s="28">
        <v>0.99</v>
      </c>
      <c r="K3477" s="28">
        <v>4</v>
      </c>
      <c r="L3477" s="28">
        <v>1</v>
      </c>
    </row>
    <row r="3478" spans="1:12" ht="14.25" customHeight="1" x14ac:dyDescent="0.2">
      <c r="A3478" s="28">
        <v>3477</v>
      </c>
      <c r="B3478" s="28" t="s">
        <v>4692</v>
      </c>
      <c r="C3478" s="28" t="s">
        <v>4676</v>
      </c>
      <c r="D3478" s="28" t="s">
        <v>4660</v>
      </c>
      <c r="E3478" s="28" t="s">
        <v>216</v>
      </c>
      <c r="F3478" s="28" t="s">
        <v>640</v>
      </c>
      <c r="G3478" s="28" t="s">
        <v>4693</v>
      </c>
      <c r="H3478" s="28">
        <v>10564704</v>
      </c>
      <c r="I3478" s="28">
        <v>663426</v>
      </c>
      <c r="J3478" s="28">
        <v>0.99</v>
      </c>
      <c r="K3478" s="28">
        <v>19</v>
      </c>
      <c r="L3478" s="28">
        <v>1</v>
      </c>
    </row>
    <row r="3479" spans="1:12" ht="14.25" customHeight="1" x14ac:dyDescent="0.2">
      <c r="A3479" s="28">
        <v>3478</v>
      </c>
      <c r="B3479" s="28" t="s">
        <v>4694</v>
      </c>
      <c r="C3479" s="28" t="s">
        <v>4695</v>
      </c>
      <c r="D3479" s="28" t="s">
        <v>4696</v>
      </c>
      <c r="E3479" s="28" t="s">
        <v>216</v>
      </c>
      <c r="F3479" s="28" t="s">
        <v>4386</v>
      </c>
      <c r="G3479" s="28"/>
      <c r="H3479" s="28">
        <v>3644793</v>
      </c>
      <c r="I3479" s="28">
        <v>215386</v>
      </c>
      <c r="J3479" s="28">
        <v>0.99</v>
      </c>
      <c r="K3479" s="28">
        <v>36</v>
      </c>
      <c r="L3479" s="28">
        <v>1</v>
      </c>
    </row>
    <row r="3480" spans="1:12" ht="14.25" customHeight="1" x14ac:dyDescent="0.2">
      <c r="A3480" s="28">
        <v>3479</v>
      </c>
      <c r="B3480" s="28" t="s">
        <v>4697</v>
      </c>
      <c r="C3480" s="28" t="s">
        <v>4698</v>
      </c>
      <c r="D3480" s="28" t="s">
        <v>4699</v>
      </c>
      <c r="E3480" s="28" t="s">
        <v>4385</v>
      </c>
      <c r="F3480" s="28" t="s">
        <v>4432</v>
      </c>
      <c r="G3480" s="28" t="s">
        <v>4433</v>
      </c>
      <c r="H3480" s="28">
        <v>10887931</v>
      </c>
      <c r="I3480" s="28">
        <v>339567</v>
      </c>
      <c r="J3480" s="28">
        <v>0.99</v>
      </c>
      <c r="K3480" s="28">
        <v>29</v>
      </c>
      <c r="L3480" s="28">
        <v>1</v>
      </c>
    </row>
    <row r="3481" spans="1:12" ht="14.25" customHeight="1" x14ac:dyDescent="0.2">
      <c r="A3481" s="28">
        <v>3480</v>
      </c>
      <c r="B3481" s="28" t="s">
        <v>4700</v>
      </c>
      <c r="C3481" s="28" t="s">
        <v>4701</v>
      </c>
      <c r="D3481" s="28" t="s">
        <v>4702</v>
      </c>
      <c r="E3481" s="28" t="s">
        <v>4385</v>
      </c>
      <c r="F3481" s="28" t="s">
        <v>4432</v>
      </c>
      <c r="G3481" s="28" t="s">
        <v>4703</v>
      </c>
      <c r="H3481" s="28">
        <v>9785346</v>
      </c>
      <c r="I3481" s="28">
        <v>299350</v>
      </c>
      <c r="J3481" s="28">
        <v>0.99</v>
      </c>
      <c r="K3481" s="28">
        <v>30</v>
      </c>
      <c r="L3481" s="28">
        <v>1</v>
      </c>
    </row>
    <row r="3482" spans="1:12" ht="14.25" customHeight="1" x14ac:dyDescent="0.2">
      <c r="A3482" s="28">
        <v>3481</v>
      </c>
      <c r="B3482" s="28" t="s">
        <v>4704</v>
      </c>
      <c r="C3482" s="28" t="s">
        <v>4705</v>
      </c>
      <c r="D3482" s="28" t="s">
        <v>4706</v>
      </c>
      <c r="E3482" s="28" t="s">
        <v>216</v>
      </c>
      <c r="F3482" s="28" t="s">
        <v>4432</v>
      </c>
      <c r="G3482" s="28"/>
      <c r="H3482" s="28">
        <v>6497867</v>
      </c>
      <c r="I3482" s="28">
        <v>387826</v>
      </c>
      <c r="J3482" s="28">
        <v>0.99</v>
      </c>
      <c r="K3482" s="28">
        <v>79</v>
      </c>
      <c r="L3482" s="28">
        <v>1</v>
      </c>
    </row>
    <row r="3483" spans="1:12" ht="14.25" customHeight="1" x14ac:dyDescent="0.2">
      <c r="A3483" s="28">
        <v>3482</v>
      </c>
      <c r="B3483" s="28" t="s">
        <v>4707</v>
      </c>
      <c r="C3483" s="28" t="s">
        <v>4708</v>
      </c>
      <c r="D3483" s="28" t="s">
        <v>4709</v>
      </c>
      <c r="E3483" s="28" t="s">
        <v>216</v>
      </c>
      <c r="F3483" s="28" t="s">
        <v>4432</v>
      </c>
      <c r="G3483" s="28" t="s">
        <v>4498</v>
      </c>
      <c r="H3483" s="28">
        <v>3847164</v>
      </c>
      <c r="I3483" s="28">
        <v>225933</v>
      </c>
      <c r="J3483" s="28">
        <v>0.99</v>
      </c>
      <c r="K3483" s="28">
        <v>20</v>
      </c>
      <c r="L3483" s="28">
        <v>2</v>
      </c>
    </row>
    <row r="3484" spans="1:12" ht="14.25" customHeight="1" x14ac:dyDescent="0.2">
      <c r="A3484" s="28">
        <v>3483</v>
      </c>
      <c r="B3484" s="28" t="s">
        <v>4710</v>
      </c>
      <c r="C3484" s="28" t="s">
        <v>4711</v>
      </c>
      <c r="D3484" s="28" t="s">
        <v>4712</v>
      </c>
      <c r="E3484" s="28" t="s">
        <v>216</v>
      </c>
      <c r="F3484" s="28" t="s">
        <v>4432</v>
      </c>
      <c r="G3484" s="28" t="s">
        <v>4713</v>
      </c>
      <c r="H3484" s="28">
        <v>1973559</v>
      </c>
      <c r="I3484" s="28">
        <v>110266</v>
      </c>
      <c r="J3484" s="28">
        <v>0.99</v>
      </c>
      <c r="K3484" s="28">
        <v>27</v>
      </c>
      <c r="L3484" s="28">
        <v>0</v>
      </c>
    </row>
    <row r="3485" spans="1:12" ht="14.25" customHeight="1" x14ac:dyDescent="0.2">
      <c r="A3485" s="28">
        <v>3484</v>
      </c>
      <c r="B3485" s="28" t="s">
        <v>4714</v>
      </c>
      <c r="C3485" s="28" t="s">
        <v>4715</v>
      </c>
      <c r="D3485" s="28" t="s">
        <v>4716</v>
      </c>
      <c r="E3485" s="28" t="s">
        <v>216</v>
      </c>
      <c r="F3485" s="28" t="s">
        <v>4432</v>
      </c>
      <c r="G3485" s="28" t="s">
        <v>4717</v>
      </c>
      <c r="H3485" s="28">
        <v>4781384</v>
      </c>
      <c r="I3485" s="28">
        <v>289388</v>
      </c>
      <c r="J3485" s="28">
        <v>0.99</v>
      </c>
      <c r="K3485" s="28">
        <v>60</v>
      </c>
      <c r="L3485" s="28">
        <v>1</v>
      </c>
    </row>
    <row r="3486" spans="1:12" ht="14.25" customHeight="1" x14ac:dyDescent="0.2">
      <c r="A3486" s="28">
        <v>3485</v>
      </c>
      <c r="B3486" s="28" t="s">
        <v>4718</v>
      </c>
      <c r="C3486" s="28" t="s">
        <v>4719</v>
      </c>
      <c r="D3486" s="28" t="s">
        <v>4720</v>
      </c>
      <c r="E3486" s="28" t="s">
        <v>216</v>
      </c>
      <c r="F3486" s="28" t="s">
        <v>4432</v>
      </c>
      <c r="G3486" s="28" t="s">
        <v>4721</v>
      </c>
      <c r="H3486" s="28">
        <v>9273123</v>
      </c>
      <c r="I3486" s="28">
        <v>567494</v>
      </c>
      <c r="J3486" s="28">
        <v>0.99</v>
      </c>
      <c r="K3486" s="28">
        <v>90</v>
      </c>
      <c r="L3486" s="28">
        <v>1</v>
      </c>
    </row>
    <row r="3487" spans="1:12" ht="14.25" customHeight="1" x14ac:dyDescent="0.2">
      <c r="A3487" s="28">
        <v>3486</v>
      </c>
      <c r="B3487" s="28" t="s">
        <v>4722</v>
      </c>
      <c r="C3487" s="28" t="s">
        <v>4723</v>
      </c>
      <c r="D3487" s="28" t="s">
        <v>4724</v>
      </c>
      <c r="E3487" s="28" t="s">
        <v>216</v>
      </c>
      <c r="F3487" s="28" t="s">
        <v>4432</v>
      </c>
      <c r="G3487" s="28" t="s">
        <v>4725</v>
      </c>
      <c r="H3487" s="28">
        <v>5987695</v>
      </c>
      <c r="I3487" s="28">
        <v>364296</v>
      </c>
      <c r="J3487" s="28">
        <v>0.99</v>
      </c>
      <c r="K3487" s="28">
        <v>48</v>
      </c>
      <c r="L3487" s="28">
        <v>1</v>
      </c>
    </row>
    <row r="3488" spans="1:12" ht="14.25" customHeight="1" x14ac:dyDescent="0.2">
      <c r="A3488" s="28">
        <v>3487</v>
      </c>
      <c r="B3488" s="28" t="s">
        <v>4726</v>
      </c>
      <c r="C3488" s="28" t="s">
        <v>4727</v>
      </c>
      <c r="D3488" s="28" t="s">
        <v>4728</v>
      </c>
      <c r="E3488" s="28" t="s">
        <v>216</v>
      </c>
      <c r="F3488" s="28" t="s">
        <v>4432</v>
      </c>
      <c r="G3488" s="28" t="s">
        <v>4729</v>
      </c>
      <c r="H3488" s="28">
        <v>6458501</v>
      </c>
      <c r="I3488" s="28">
        <v>385506</v>
      </c>
      <c r="J3488" s="28">
        <v>0.99</v>
      </c>
      <c r="K3488" s="28">
        <v>93</v>
      </c>
      <c r="L3488" s="28">
        <v>0</v>
      </c>
    </row>
    <row r="3489" spans="1:12" ht="14.25" customHeight="1" x14ac:dyDescent="0.2">
      <c r="A3489" s="28">
        <v>3488</v>
      </c>
      <c r="B3489" s="28" t="s">
        <v>4730</v>
      </c>
      <c r="C3489" s="28" t="s">
        <v>4731</v>
      </c>
      <c r="D3489" s="28" t="s">
        <v>4732</v>
      </c>
      <c r="E3489" s="28" t="s">
        <v>216</v>
      </c>
      <c r="F3489" s="28" t="s">
        <v>4432</v>
      </c>
      <c r="G3489" s="28" t="s">
        <v>4725</v>
      </c>
      <c r="H3489" s="28">
        <v>2365930</v>
      </c>
      <c r="I3489" s="28">
        <v>142081</v>
      </c>
      <c r="J3489" s="28">
        <v>0.99</v>
      </c>
      <c r="K3489" s="28">
        <v>68</v>
      </c>
      <c r="L3489" s="28">
        <v>2</v>
      </c>
    </row>
    <row r="3490" spans="1:12" ht="14.25" customHeight="1" x14ac:dyDescent="0.2">
      <c r="A3490" s="28">
        <v>3489</v>
      </c>
      <c r="B3490" s="28" t="s">
        <v>4733</v>
      </c>
      <c r="C3490" s="28" t="s">
        <v>4734</v>
      </c>
      <c r="D3490" s="28" t="s">
        <v>4735</v>
      </c>
      <c r="E3490" s="28" t="s">
        <v>216</v>
      </c>
      <c r="F3490" s="28" t="s">
        <v>4432</v>
      </c>
      <c r="G3490" s="28" t="s">
        <v>4736</v>
      </c>
      <c r="H3490" s="28">
        <v>6129146</v>
      </c>
      <c r="I3490" s="28">
        <v>376510</v>
      </c>
      <c r="J3490" s="28">
        <v>0.99</v>
      </c>
      <c r="K3490" s="28">
        <v>31</v>
      </c>
      <c r="L3490" s="28">
        <v>1</v>
      </c>
    </row>
    <row r="3491" spans="1:12" ht="14.25" customHeight="1" x14ac:dyDescent="0.2">
      <c r="A3491" s="28">
        <v>3490</v>
      </c>
      <c r="B3491" s="28" t="s">
        <v>4737</v>
      </c>
      <c r="C3491" s="28" t="s">
        <v>4738</v>
      </c>
      <c r="D3491" s="28" t="s">
        <v>4739</v>
      </c>
      <c r="E3491" s="28" t="s">
        <v>216</v>
      </c>
      <c r="F3491" s="28" t="s">
        <v>4432</v>
      </c>
      <c r="G3491" s="28" t="s">
        <v>4498</v>
      </c>
      <c r="H3491" s="28">
        <v>4744929</v>
      </c>
      <c r="I3491" s="28">
        <v>285673</v>
      </c>
      <c r="J3491" s="28">
        <v>0.99</v>
      </c>
      <c r="K3491" s="28">
        <v>91</v>
      </c>
      <c r="L3491" s="28">
        <v>1</v>
      </c>
    </row>
    <row r="3492" spans="1:12" ht="14.25" customHeight="1" x14ac:dyDescent="0.2">
      <c r="A3492" s="28">
        <v>3491</v>
      </c>
      <c r="B3492" s="28" t="s">
        <v>4740</v>
      </c>
      <c r="C3492" s="28" t="s">
        <v>4741</v>
      </c>
      <c r="D3492" s="28" t="s">
        <v>4643</v>
      </c>
      <c r="E3492" s="28" t="s">
        <v>216</v>
      </c>
      <c r="F3492" s="28" t="s">
        <v>4432</v>
      </c>
      <c r="G3492" s="28" t="s">
        <v>4742</v>
      </c>
      <c r="H3492" s="28">
        <v>4072205</v>
      </c>
      <c r="I3492" s="28">
        <v>234746</v>
      </c>
      <c r="J3492" s="28">
        <v>0.99</v>
      </c>
      <c r="K3492" s="28">
        <v>95</v>
      </c>
      <c r="L3492" s="28">
        <v>0</v>
      </c>
    </row>
    <row r="3493" spans="1:12" ht="14.25" customHeight="1" x14ac:dyDescent="0.2">
      <c r="A3493" s="28">
        <v>3492</v>
      </c>
      <c r="B3493" s="28" t="s">
        <v>4743</v>
      </c>
      <c r="C3493" s="28" t="s">
        <v>4636</v>
      </c>
      <c r="D3493" s="28" t="s">
        <v>4637</v>
      </c>
      <c r="E3493" s="28" t="s">
        <v>216</v>
      </c>
      <c r="F3493" s="28" t="s">
        <v>4432</v>
      </c>
      <c r="G3493" s="28" t="s">
        <v>4744</v>
      </c>
      <c r="H3493" s="28">
        <v>2256484</v>
      </c>
      <c r="I3493" s="28">
        <v>133768</v>
      </c>
      <c r="J3493" s="28">
        <v>0.99</v>
      </c>
      <c r="K3493" s="28">
        <v>93</v>
      </c>
      <c r="L3493" s="28">
        <v>1</v>
      </c>
    </row>
    <row r="3494" spans="1:12" ht="14.25" customHeight="1" x14ac:dyDescent="0.2">
      <c r="A3494" s="28">
        <v>3493</v>
      </c>
      <c r="B3494" s="28" t="s">
        <v>4745</v>
      </c>
      <c r="C3494" s="28" t="s">
        <v>4746</v>
      </c>
      <c r="D3494" s="28" t="s">
        <v>4747</v>
      </c>
      <c r="E3494" s="28" t="s">
        <v>216</v>
      </c>
      <c r="F3494" s="28" t="s">
        <v>4432</v>
      </c>
      <c r="G3494" s="28" t="s">
        <v>4748</v>
      </c>
      <c r="H3494" s="28">
        <v>5548755</v>
      </c>
      <c r="I3494" s="28">
        <v>333669</v>
      </c>
      <c r="J3494" s="28">
        <v>0.99</v>
      </c>
      <c r="K3494" s="28">
        <v>88</v>
      </c>
      <c r="L3494" s="28">
        <v>1</v>
      </c>
    </row>
    <row r="3495" spans="1:12" ht="14.25" customHeight="1" x14ac:dyDescent="0.2">
      <c r="A3495" s="28">
        <v>3494</v>
      </c>
      <c r="B3495" s="28" t="s">
        <v>4749</v>
      </c>
      <c r="C3495" s="28" t="s">
        <v>4750</v>
      </c>
      <c r="D3495" s="28" t="s">
        <v>4751</v>
      </c>
      <c r="E3495" s="28" t="s">
        <v>216</v>
      </c>
      <c r="F3495" s="28" t="s">
        <v>4432</v>
      </c>
      <c r="G3495" s="28" t="s">
        <v>4752</v>
      </c>
      <c r="H3495" s="28">
        <v>4834785</v>
      </c>
      <c r="I3495" s="28">
        <v>286998</v>
      </c>
      <c r="J3495" s="28">
        <v>0.99</v>
      </c>
      <c r="K3495" s="28">
        <v>71</v>
      </c>
      <c r="L3495" s="28">
        <v>1</v>
      </c>
    </row>
    <row r="3496" spans="1:12" ht="14.25" customHeight="1" x14ac:dyDescent="0.2">
      <c r="A3496" s="28">
        <v>3495</v>
      </c>
      <c r="B3496" s="28" t="s">
        <v>4753</v>
      </c>
      <c r="C3496" s="28" t="s">
        <v>4754</v>
      </c>
      <c r="D3496" s="28" t="s">
        <v>4755</v>
      </c>
      <c r="E3496" s="28" t="s">
        <v>216</v>
      </c>
      <c r="F3496" s="28" t="s">
        <v>4432</v>
      </c>
      <c r="G3496" s="28" t="s">
        <v>4756</v>
      </c>
      <c r="H3496" s="28">
        <v>4371533</v>
      </c>
      <c r="I3496" s="28">
        <v>265541</v>
      </c>
      <c r="J3496" s="28">
        <v>0.99</v>
      </c>
      <c r="K3496" s="28">
        <v>50</v>
      </c>
      <c r="L3496" s="28">
        <v>0</v>
      </c>
    </row>
    <row r="3497" spans="1:12" ht="14.25" customHeight="1" x14ac:dyDescent="0.2">
      <c r="A3497" s="28">
        <v>3496</v>
      </c>
      <c r="B3497" s="28" t="s">
        <v>4757</v>
      </c>
      <c r="C3497" s="28" t="s">
        <v>4758</v>
      </c>
      <c r="D3497" s="28" t="s">
        <v>4759</v>
      </c>
      <c r="E3497" s="28" t="s">
        <v>4385</v>
      </c>
      <c r="F3497" s="28" t="s">
        <v>4432</v>
      </c>
      <c r="G3497" s="28"/>
      <c r="H3497" s="28">
        <v>2229617</v>
      </c>
      <c r="I3497" s="28">
        <v>51780</v>
      </c>
      <c r="J3497" s="28">
        <v>0.99</v>
      </c>
      <c r="K3497" s="28">
        <v>38</v>
      </c>
      <c r="L3497" s="28">
        <v>1</v>
      </c>
    </row>
    <row r="3498" spans="1:12" ht="14.25" customHeight="1" x14ac:dyDescent="0.2">
      <c r="A3498" s="28">
        <v>3497</v>
      </c>
      <c r="B3498" s="28" t="s">
        <v>4760</v>
      </c>
      <c r="C3498" s="28" t="s">
        <v>4761</v>
      </c>
      <c r="D3498" s="28" t="s">
        <v>4762</v>
      </c>
      <c r="E3498" s="28" t="s">
        <v>216</v>
      </c>
      <c r="F3498" s="28" t="s">
        <v>4432</v>
      </c>
      <c r="G3498" s="28"/>
      <c r="H3498" s="28">
        <v>4307907</v>
      </c>
      <c r="I3498" s="28">
        <v>261849</v>
      </c>
      <c r="J3498" s="28">
        <v>0.99</v>
      </c>
      <c r="K3498" s="28">
        <v>2</v>
      </c>
      <c r="L3498" s="28">
        <v>0</v>
      </c>
    </row>
    <row r="3499" spans="1:12" ht="14.25" customHeight="1" x14ac:dyDescent="0.2">
      <c r="A3499" s="28">
        <v>3498</v>
      </c>
      <c r="B3499" s="28" t="s">
        <v>4763</v>
      </c>
      <c r="C3499" s="28" t="s">
        <v>4764</v>
      </c>
      <c r="D3499" s="28" t="s">
        <v>4765</v>
      </c>
      <c r="E3499" s="28" t="s">
        <v>4385</v>
      </c>
      <c r="F3499" s="28" t="s">
        <v>4432</v>
      </c>
      <c r="G3499" s="28" t="s">
        <v>4766</v>
      </c>
      <c r="H3499" s="28">
        <v>16454937</v>
      </c>
      <c r="I3499" s="28">
        <v>493573</v>
      </c>
      <c r="J3499" s="28">
        <v>0.99</v>
      </c>
      <c r="K3499" s="28">
        <v>25</v>
      </c>
      <c r="L3499" s="28">
        <v>0</v>
      </c>
    </row>
    <row r="3500" spans="1:12" ht="14.25" customHeight="1" x14ac:dyDescent="0.2">
      <c r="A3500" s="28">
        <v>3499</v>
      </c>
      <c r="B3500" s="28" t="s">
        <v>4767</v>
      </c>
      <c r="C3500" s="28" t="s">
        <v>4768</v>
      </c>
      <c r="D3500" s="28" t="s">
        <v>4556</v>
      </c>
      <c r="E3500" s="28" t="s">
        <v>216</v>
      </c>
      <c r="F3500" s="28" t="s">
        <v>4432</v>
      </c>
      <c r="G3500" s="28"/>
      <c r="H3500" s="28">
        <v>4718950</v>
      </c>
      <c r="I3500" s="28">
        <v>286741</v>
      </c>
      <c r="J3500" s="28">
        <v>0.99</v>
      </c>
      <c r="K3500" s="28">
        <v>61</v>
      </c>
      <c r="L3500" s="28">
        <v>1</v>
      </c>
    </row>
    <row r="3501" spans="1:12" ht="14.25" customHeight="1" x14ac:dyDescent="0.2">
      <c r="A3501" s="28">
        <v>3500</v>
      </c>
      <c r="B3501" s="28" t="s">
        <v>4769</v>
      </c>
      <c r="C3501" s="28" t="s">
        <v>4770</v>
      </c>
      <c r="D3501" s="28" t="s">
        <v>4771</v>
      </c>
      <c r="E3501" s="28" t="s">
        <v>216</v>
      </c>
      <c r="F3501" s="28" t="s">
        <v>4432</v>
      </c>
      <c r="G3501" s="28" t="s">
        <v>4529</v>
      </c>
      <c r="H3501" s="28">
        <v>2283131</v>
      </c>
      <c r="I3501" s="28">
        <v>139200</v>
      </c>
      <c r="J3501" s="28">
        <v>0.99</v>
      </c>
      <c r="K3501" s="28">
        <v>96</v>
      </c>
      <c r="L3501" s="28">
        <v>2</v>
      </c>
    </row>
    <row r="3502" spans="1:12" ht="14.25" customHeight="1" x14ac:dyDescent="0.2">
      <c r="A3502" s="28">
        <v>3501</v>
      </c>
      <c r="B3502" s="28" t="s">
        <v>4772</v>
      </c>
      <c r="C3502" s="28" t="s">
        <v>4773</v>
      </c>
      <c r="D3502" s="28" t="s">
        <v>4774</v>
      </c>
      <c r="E3502" s="28" t="s">
        <v>216</v>
      </c>
      <c r="F3502" s="28" t="s">
        <v>4432</v>
      </c>
      <c r="G3502" s="28" t="s">
        <v>4775</v>
      </c>
      <c r="H3502" s="28">
        <v>1189062</v>
      </c>
      <c r="I3502" s="28">
        <v>66639</v>
      </c>
      <c r="J3502" s="28">
        <v>0.99</v>
      </c>
      <c r="K3502" s="28">
        <v>78</v>
      </c>
      <c r="L3502" s="28">
        <v>0</v>
      </c>
    </row>
    <row r="3503" spans="1:12" ht="14.25" customHeight="1" x14ac:dyDescent="0.2">
      <c r="A3503" s="28">
        <v>3502</v>
      </c>
      <c r="B3503" s="28" t="s">
        <v>4776</v>
      </c>
      <c r="C3503" s="28" t="s">
        <v>4777</v>
      </c>
      <c r="D3503" s="28" t="s">
        <v>4778</v>
      </c>
      <c r="E3503" s="28" t="s">
        <v>216</v>
      </c>
      <c r="F3503" s="28" t="s">
        <v>4432</v>
      </c>
      <c r="G3503" s="28" t="s">
        <v>4515</v>
      </c>
      <c r="H3503" s="28">
        <v>3665114</v>
      </c>
      <c r="I3503" s="28">
        <v>221331</v>
      </c>
      <c r="J3503" s="28">
        <v>0.99</v>
      </c>
      <c r="K3503" s="28">
        <v>99</v>
      </c>
      <c r="L3503" s="28">
        <v>0</v>
      </c>
    </row>
    <row r="3504" spans="1:12" ht="14.25" customHeight="1" x14ac:dyDescent="0.2">
      <c r="A3504" s="28">
        <v>3503</v>
      </c>
      <c r="B3504" s="28" t="s">
        <v>4779</v>
      </c>
      <c r="C3504" s="28" t="s">
        <v>4780</v>
      </c>
      <c r="D3504" s="28" t="s">
        <v>4781</v>
      </c>
      <c r="E3504" s="28" t="s">
        <v>216</v>
      </c>
      <c r="F3504" s="28" t="s">
        <v>708</v>
      </c>
      <c r="G3504" s="28" t="s">
        <v>4782</v>
      </c>
      <c r="H3504" s="28">
        <v>3305164</v>
      </c>
      <c r="I3504" s="28">
        <v>206005</v>
      </c>
      <c r="J3504" s="28">
        <v>0.99</v>
      </c>
      <c r="K3504" s="28">
        <v>25</v>
      </c>
      <c r="L3504" s="28">
        <v>0</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25FA-223E-C64A-8FEB-5E8CE23B7045}">
  <dimension ref="A1:I18"/>
  <sheetViews>
    <sheetView workbookViewId="0">
      <selection activeCell="M19" sqref="M19"/>
    </sheetView>
  </sheetViews>
  <sheetFormatPr baseColWidth="10" defaultRowHeight="15" x14ac:dyDescent="0.2"/>
  <cols>
    <col min="2" max="2" width="12.33203125" customWidth="1"/>
    <col min="3" max="3" width="13.83203125" customWidth="1"/>
    <col min="6" max="6" width="11.5" customWidth="1"/>
  </cols>
  <sheetData>
    <row r="1" spans="1:9" x14ac:dyDescent="0.2">
      <c r="A1" t="s">
        <v>4825</v>
      </c>
    </row>
    <row r="2" spans="1:9" ht="16" thickBot="1" x14ac:dyDescent="0.25"/>
    <row r="3" spans="1:9" x14ac:dyDescent="0.2">
      <c r="A3" s="40" t="s">
        <v>4826</v>
      </c>
      <c r="B3" s="40"/>
    </row>
    <row r="4" spans="1:9" x14ac:dyDescent="0.2">
      <c r="A4" s="37" t="s">
        <v>4827</v>
      </c>
      <c r="B4" s="37">
        <v>1.3873442960118845E-2</v>
      </c>
    </row>
    <row r="5" spans="1:9" x14ac:dyDescent="0.2">
      <c r="A5" s="37" t="s">
        <v>4828</v>
      </c>
      <c r="B5" s="37">
        <v>1.9247241956767114E-4</v>
      </c>
    </row>
    <row r="6" spans="1:9" x14ac:dyDescent="0.2">
      <c r="A6" s="37" t="s">
        <v>4829</v>
      </c>
      <c r="B6" s="37">
        <v>-9.3105280398176422E-5</v>
      </c>
    </row>
    <row r="7" spans="1:9" x14ac:dyDescent="0.2">
      <c r="A7" s="37" t="s">
        <v>4830</v>
      </c>
      <c r="B7" s="37">
        <v>2.3195362301551055</v>
      </c>
    </row>
    <row r="8" spans="1:9" ht="16" thickBot="1" x14ac:dyDescent="0.25">
      <c r="A8" s="38" t="s">
        <v>4831</v>
      </c>
      <c r="B8" s="38">
        <v>3503</v>
      </c>
    </row>
    <row r="10" spans="1:9" ht="16" thickBot="1" x14ac:dyDescent="0.25">
      <c r="A10" t="s">
        <v>4814</v>
      </c>
    </row>
    <row r="11" spans="1:9" x14ac:dyDescent="0.2">
      <c r="A11" s="39"/>
      <c r="B11" s="39" t="s">
        <v>4817</v>
      </c>
      <c r="C11" s="39" t="s">
        <v>4816</v>
      </c>
      <c r="D11" s="39" t="s">
        <v>4818</v>
      </c>
      <c r="E11" s="39" t="s">
        <v>4819</v>
      </c>
      <c r="F11" s="39" t="s">
        <v>4835</v>
      </c>
    </row>
    <row r="12" spans="1:9" x14ac:dyDescent="0.2">
      <c r="A12" s="37" t="s">
        <v>4832</v>
      </c>
      <c r="B12" s="37">
        <v>1</v>
      </c>
      <c r="C12" s="37">
        <v>3.6261564286251087</v>
      </c>
      <c r="D12" s="37">
        <v>3.6261564286251087</v>
      </c>
      <c r="E12" s="37">
        <v>0.6739756626329334</v>
      </c>
      <c r="F12" s="37">
        <v>0.41172483046608399</v>
      </c>
    </row>
    <row r="13" spans="1:9" x14ac:dyDescent="0.2">
      <c r="A13" s="37" t="s">
        <v>4833</v>
      </c>
      <c r="B13" s="37">
        <v>3501</v>
      </c>
      <c r="C13" s="37">
        <v>18836.249378830558</v>
      </c>
      <c r="D13" s="37">
        <v>5.3802483230021592</v>
      </c>
      <c r="E13" s="37"/>
      <c r="F13" s="37"/>
    </row>
    <row r="14" spans="1:9" ht="16" thickBot="1" x14ac:dyDescent="0.25">
      <c r="A14" s="38" t="s">
        <v>4824</v>
      </c>
      <c r="B14" s="38">
        <v>3502</v>
      </c>
      <c r="C14" s="38">
        <v>18839.875535259183</v>
      </c>
      <c r="D14" s="38"/>
      <c r="E14" s="38"/>
      <c r="F14" s="38"/>
    </row>
    <row r="15" spans="1:9" ht="16" thickBot="1" x14ac:dyDescent="0.25"/>
    <row r="16" spans="1:9" x14ac:dyDescent="0.2">
      <c r="A16" s="39"/>
      <c r="B16" s="39" t="s">
        <v>4836</v>
      </c>
      <c r="C16" s="39" t="s">
        <v>4830</v>
      </c>
      <c r="D16" s="39" t="s">
        <v>4837</v>
      </c>
      <c r="E16" s="39" t="s">
        <v>4820</v>
      </c>
      <c r="F16" s="39" t="s">
        <v>4838</v>
      </c>
      <c r="G16" s="39" t="s">
        <v>4839</v>
      </c>
      <c r="H16" s="39" t="s">
        <v>4840</v>
      </c>
      <c r="I16" s="39" t="s">
        <v>4841</v>
      </c>
    </row>
    <row r="17" spans="1:9" x14ac:dyDescent="0.2">
      <c r="A17" s="37" t="s">
        <v>4834</v>
      </c>
      <c r="B17" s="37">
        <v>0.71622267547685359</v>
      </c>
      <c r="C17" s="37">
        <v>4.8656221753584472E-2</v>
      </c>
      <c r="D17" s="37">
        <v>14.720063532760637</v>
      </c>
      <c r="E17" s="37">
        <v>1.2363700237834908E-47</v>
      </c>
      <c r="F17" s="37">
        <v>0.62082525264141752</v>
      </c>
      <c r="G17" s="37">
        <v>0.81162009831228965</v>
      </c>
      <c r="H17" s="37">
        <v>0.62082525264141752</v>
      </c>
      <c r="I17" s="37">
        <v>0.81162009831228965</v>
      </c>
    </row>
    <row r="18" spans="1:9" ht="16" thickBot="1" x14ac:dyDescent="0.25">
      <c r="A18" s="38" t="s">
        <v>204</v>
      </c>
      <c r="B18" s="38">
        <v>-6.0146034959635634E-8</v>
      </c>
      <c r="C18" s="38">
        <v>7.3263033245236539E-8</v>
      </c>
      <c r="D18" s="38">
        <v>-0.82096020728907293</v>
      </c>
      <c r="E18" s="38">
        <v>0.4117248307022443</v>
      </c>
      <c r="F18" s="38">
        <v>-2.037886012916086E-7</v>
      </c>
      <c r="G18" s="38">
        <v>8.3496531372337329E-8</v>
      </c>
      <c r="H18" s="38">
        <v>-2.037886012916086E-7</v>
      </c>
      <c r="I18" s="38">
        <v>8.3496531372337329E-8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K1000"/>
  <sheetViews>
    <sheetView workbookViewId="0">
      <selection activeCell="B16" sqref="B16"/>
    </sheetView>
  </sheetViews>
  <sheetFormatPr baseColWidth="10" defaultColWidth="14.5" defaultRowHeight="15" customHeight="1" x14ac:dyDescent="0.2"/>
  <cols>
    <col min="1" max="26" width="11.5" customWidth="1"/>
  </cols>
  <sheetData>
    <row r="1" spans="2:11" ht="14.25" customHeight="1" x14ac:dyDescent="0.2"/>
    <row r="2" spans="2:11" ht="15.75" customHeight="1" x14ac:dyDescent="0.2">
      <c r="B2" s="76" t="s">
        <v>4783</v>
      </c>
      <c r="C2" s="77"/>
      <c r="D2" s="77"/>
      <c r="E2" s="77"/>
      <c r="F2" s="77"/>
      <c r="G2" s="77"/>
      <c r="H2" s="77"/>
      <c r="I2" s="77"/>
      <c r="J2" s="77"/>
      <c r="K2" s="78"/>
    </row>
    <row r="3" spans="2:11" ht="14.25" customHeight="1" x14ac:dyDescent="0.2">
      <c r="B3" s="79" t="s">
        <v>4843</v>
      </c>
      <c r="C3" s="53"/>
      <c r="D3" s="53"/>
      <c r="E3" s="53"/>
      <c r="F3" s="53"/>
      <c r="G3" s="53"/>
      <c r="H3" s="53"/>
      <c r="I3" s="53"/>
      <c r="J3" s="53"/>
      <c r="K3" s="80"/>
    </row>
    <row r="4" spans="2:11" ht="14.25" customHeight="1" x14ac:dyDescent="0.2">
      <c r="B4" s="81"/>
      <c r="C4" s="53"/>
      <c r="D4" s="53"/>
      <c r="E4" s="53"/>
      <c r="F4" s="53"/>
      <c r="G4" s="53"/>
      <c r="H4" s="53"/>
      <c r="I4" s="53"/>
      <c r="J4" s="53"/>
      <c r="K4" s="80"/>
    </row>
    <row r="5" spans="2:11" ht="14.25" customHeight="1" x14ac:dyDescent="0.2">
      <c r="B5" s="82" t="s">
        <v>4784</v>
      </c>
      <c r="C5" s="47"/>
      <c r="D5" s="47"/>
      <c r="E5" s="47"/>
      <c r="F5" s="47"/>
      <c r="G5" s="47"/>
      <c r="H5" s="47"/>
      <c r="I5" s="47"/>
      <c r="J5" s="47"/>
      <c r="K5" s="83"/>
    </row>
    <row r="6" spans="2:11" ht="14.25" customHeight="1" x14ac:dyDescent="0.2">
      <c r="B6" s="79" t="s">
        <v>4842</v>
      </c>
      <c r="C6" s="53"/>
      <c r="D6" s="53"/>
      <c r="E6" s="53"/>
      <c r="F6" s="53"/>
      <c r="G6" s="53"/>
      <c r="H6" s="53"/>
      <c r="I6" s="53"/>
      <c r="J6" s="53"/>
      <c r="K6" s="80"/>
    </row>
    <row r="7" spans="2:11" ht="14.25" customHeight="1" x14ac:dyDescent="0.2">
      <c r="B7" s="81"/>
      <c r="C7" s="53"/>
      <c r="D7" s="53"/>
      <c r="E7" s="53"/>
      <c r="F7" s="53"/>
      <c r="G7" s="53"/>
      <c r="H7" s="53"/>
      <c r="I7" s="53"/>
      <c r="J7" s="53"/>
      <c r="K7" s="80"/>
    </row>
    <row r="8" spans="2:11" ht="14.25" customHeight="1" x14ac:dyDescent="0.2">
      <c r="B8" s="81"/>
      <c r="C8" s="53"/>
      <c r="D8" s="53"/>
      <c r="E8" s="53"/>
      <c r="F8" s="53"/>
      <c r="G8" s="53"/>
      <c r="H8" s="53"/>
      <c r="I8" s="53"/>
      <c r="J8" s="53"/>
      <c r="K8" s="80"/>
    </row>
    <row r="9" spans="2:11" ht="14.25" customHeight="1" x14ac:dyDescent="0.2">
      <c r="B9" s="81"/>
      <c r="C9" s="53"/>
      <c r="D9" s="53"/>
      <c r="E9" s="53"/>
      <c r="F9" s="53"/>
      <c r="G9" s="53"/>
      <c r="H9" s="53"/>
      <c r="I9" s="53"/>
      <c r="J9" s="53"/>
      <c r="K9" s="80"/>
    </row>
    <row r="10" spans="2:11" ht="14.25" customHeight="1" x14ac:dyDescent="0.2">
      <c r="B10" s="81"/>
      <c r="C10" s="53"/>
      <c r="D10" s="53"/>
      <c r="E10" s="53"/>
      <c r="F10" s="53"/>
      <c r="G10" s="53"/>
      <c r="H10" s="53"/>
      <c r="I10" s="53"/>
      <c r="J10" s="53"/>
      <c r="K10" s="80"/>
    </row>
    <row r="11" spans="2:11" ht="14.25" customHeight="1" x14ac:dyDescent="0.2">
      <c r="B11" s="34" t="s">
        <v>4785</v>
      </c>
      <c r="C11" s="35"/>
      <c r="D11" s="35"/>
      <c r="E11" s="35"/>
      <c r="F11" s="35"/>
      <c r="G11" s="35"/>
      <c r="H11" s="35"/>
      <c r="I11" s="35"/>
      <c r="J11" s="35"/>
      <c r="K11" s="36"/>
    </row>
    <row r="12" spans="2:11" ht="14.25" customHeight="1" x14ac:dyDescent="0.2">
      <c r="B12" s="79" t="s">
        <v>4844</v>
      </c>
      <c r="C12" s="53"/>
      <c r="D12" s="53"/>
      <c r="E12" s="53"/>
      <c r="F12" s="53"/>
      <c r="G12" s="53"/>
      <c r="H12" s="53"/>
      <c r="I12" s="53"/>
      <c r="J12" s="53"/>
      <c r="K12" s="80"/>
    </row>
    <row r="13" spans="2:11" ht="14.25" customHeight="1" x14ac:dyDescent="0.2">
      <c r="B13" s="81"/>
      <c r="C13" s="53"/>
      <c r="D13" s="53"/>
      <c r="E13" s="53"/>
      <c r="F13" s="53"/>
      <c r="G13" s="53"/>
      <c r="H13" s="53"/>
      <c r="I13" s="53"/>
      <c r="J13" s="53"/>
      <c r="K13" s="80"/>
    </row>
    <row r="14" spans="2:11" ht="14.25" customHeight="1" x14ac:dyDescent="0.2">
      <c r="B14" s="81"/>
      <c r="C14" s="53"/>
      <c r="D14" s="53"/>
      <c r="E14" s="53"/>
      <c r="F14" s="53"/>
      <c r="G14" s="53"/>
      <c r="H14" s="53"/>
      <c r="I14" s="53"/>
      <c r="J14" s="53"/>
      <c r="K14" s="80"/>
    </row>
    <row r="15" spans="2:11" ht="14.25" customHeight="1" x14ac:dyDescent="0.2">
      <c r="B15" s="74"/>
      <c r="C15" s="84"/>
      <c r="D15" s="84"/>
      <c r="E15" s="84"/>
      <c r="F15" s="84"/>
      <c r="G15" s="84"/>
      <c r="H15" s="84"/>
      <c r="I15" s="84"/>
      <c r="J15" s="84"/>
      <c r="K15" s="75"/>
    </row>
    <row r="16" spans="2:11"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5">
    <mergeCell ref="B2:K2"/>
    <mergeCell ref="B3:K4"/>
    <mergeCell ref="B5:K5"/>
    <mergeCell ref="B6:K10"/>
    <mergeCell ref="B12:K1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Question 1 Data &amp; Answer</vt:lpstr>
      <vt:lpstr>Question 2 &amp; 3 Data</vt:lpstr>
      <vt:lpstr>Answer 2 Descriptive Statistics</vt:lpstr>
      <vt:lpstr>Answer 3 Pivot Table</vt:lpstr>
      <vt:lpstr>Question 4 Data &amp; Answer</vt:lpstr>
      <vt:lpstr>Answer. 4 ANOVA</vt:lpstr>
      <vt:lpstr>Question 5 Data</vt:lpstr>
      <vt:lpstr>Answer 5 Regression Analysis</vt:lpstr>
      <vt:lpstr>Question 5.1 - 5.3 Answer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Nomusa Mavuso</dc:creator>
  <cp:lastModifiedBy>Beauty Gwebu</cp:lastModifiedBy>
  <dcterms:created xsi:type="dcterms:W3CDTF">2017-02-21T11:52:30Z</dcterms:created>
  <dcterms:modified xsi:type="dcterms:W3CDTF">2026-03-30T18:46:38Z</dcterms:modified>
</cp:coreProperties>
</file>